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35" windowWidth="5235" windowHeight="4740"/>
  </bookViews>
  <sheets>
    <sheet name="interaction_energies" sheetId="4" r:id="rId1"/>
    <sheet name="shape_factors" sheetId="1" r:id="rId2"/>
    <sheet name="Parameters_i" sheetId="9" r:id="rId3"/>
    <sheet name="Cys" sheetId="2" r:id="rId4"/>
    <sheet name="Met" sheetId="6" r:id="rId5"/>
    <sheet name="Phe" sheetId="7" r:id="rId6"/>
    <sheet name="Ile" sheetId="8" r:id="rId7"/>
  </sheets>
  <functionGroups builtInGroupCount="17"/>
  <calcPr calcId="145621"/>
</workbook>
</file>

<file path=xl/calcChain.xml><?xml version="1.0" encoding="utf-8"?>
<calcChain xmlns="http://schemas.openxmlformats.org/spreadsheetml/2006/main">
  <c r="H1" i="2" l="1"/>
  <c r="H2" i="2"/>
  <c r="C2" i="8"/>
  <c r="C4" i="8"/>
  <c r="C3" i="8"/>
  <c r="C1" i="8"/>
  <c r="C1" i="7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C4" i="7"/>
  <c r="C3" i="7"/>
  <c r="C4" i="6"/>
  <c r="C3" i="6"/>
  <c r="C2" i="7"/>
  <c r="C2" i="6"/>
  <c r="C4" i="2"/>
  <c r="C3" i="2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C6" i="7"/>
  <c r="B6" i="7"/>
  <c r="C1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C1" i="2"/>
  <c r="C2" i="2"/>
  <c r="U132" i="8"/>
  <c r="M132" i="8"/>
  <c r="E132" i="8"/>
  <c r="Q131" i="8"/>
  <c r="I131" i="8"/>
  <c r="U130" i="8"/>
  <c r="M130" i="8"/>
  <c r="E130" i="8"/>
  <c r="Q129" i="8"/>
  <c r="I129" i="8"/>
  <c r="U128" i="8"/>
  <c r="M128" i="8"/>
  <c r="E128" i="8"/>
  <c r="Q127" i="8"/>
  <c r="I127" i="8"/>
  <c r="U126" i="8"/>
  <c r="M126" i="8"/>
  <c r="E126" i="8"/>
  <c r="Q125" i="8"/>
  <c r="I125" i="8"/>
  <c r="U124" i="8"/>
  <c r="M124" i="8"/>
  <c r="E124" i="8"/>
  <c r="Q123" i="8"/>
  <c r="I123" i="8"/>
  <c r="U122" i="8"/>
  <c r="M122" i="8"/>
  <c r="E122" i="8"/>
  <c r="Q121" i="8"/>
  <c r="I121" i="8"/>
  <c r="U120" i="8"/>
  <c r="M120" i="8"/>
  <c r="E120" i="8"/>
  <c r="Q119" i="8"/>
  <c r="I119" i="8"/>
  <c r="U118" i="8"/>
  <c r="M118" i="8"/>
  <c r="E118" i="8"/>
  <c r="Q117" i="8"/>
  <c r="I117" i="8"/>
  <c r="U116" i="8"/>
  <c r="M116" i="8"/>
  <c r="E116" i="8"/>
  <c r="Q115" i="8"/>
  <c r="I115" i="8"/>
  <c r="U114" i="8"/>
  <c r="M114" i="8"/>
  <c r="E114" i="8"/>
  <c r="Q113" i="8"/>
  <c r="I113" i="8"/>
  <c r="U112" i="8"/>
  <c r="M112" i="8"/>
  <c r="E112" i="8"/>
  <c r="Q111" i="8"/>
  <c r="I111" i="8"/>
  <c r="U110" i="8"/>
  <c r="M110" i="8"/>
  <c r="E110" i="8"/>
  <c r="Q109" i="8"/>
  <c r="I109" i="8"/>
  <c r="U108" i="8"/>
  <c r="M108" i="8"/>
  <c r="E108" i="8"/>
  <c r="Q107" i="8"/>
  <c r="I107" i="8"/>
  <c r="U106" i="8"/>
  <c r="M106" i="8"/>
  <c r="E106" i="8"/>
  <c r="Q105" i="8"/>
  <c r="I105" i="8"/>
  <c r="U104" i="8"/>
  <c r="M104" i="8"/>
  <c r="E104" i="8"/>
  <c r="Q103" i="8"/>
  <c r="I103" i="8"/>
  <c r="U102" i="8"/>
  <c r="M102" i="8"/>
  <c r="E102" i="8"/>
  <c r="Q101" i="8"/>
  <c r="I101" i="8"/>
  <c r="U100" i="8"/>
  <c r="M100" i="8"/>
  <c r="E100" i="8"/>
  <c r="Q99" i="8"/>
  <c r="I99" i="8"/>
  <c r="U98" i="8"/>
  <c r="M98" i="8"/>
  <c r="E98" i="8"/>
  <c r="Q97" i="8"/>
  <c r="I97" i="8"/>
  <c r="U96" i="8"/>
  <c r="M96" i="8"/>
  <c r="E96" i="8"/>
  <c r="Q95" i="8"/>
  <c r="I95" i="8"/>
  <c r="U94" i="8"/>
  <c r="M94" i="8"/>
  <c r="E94" i="8"/>
  <c r="Q93" i="8"/>
  <c r="I93" i="8"/>
  <c r="U92" i="8"/>
  <c r="M92" i="8"/>
  <c r="E92" i="8"/>
  <c r="Q91" i="8"/>
  <c r="I91" i="8"/>
  <c r="U90" i="8"/>
  <c r="M90" i="8"/>
  <c r="E90" i="8"/>
  <c r="Q89" i="8"/>
  <c r="I89" i="8"/>
  <c r="U88" i="8"/>
  <c r="T132" i="8"/>
  <c r="L132" i="8"/>
  <c r="D132" i="8"/>
  <c r="P131" i="8"/>
  <c r="H131" i="8"/>
  <c r="T130" i="8"/>
  <c r="L130" i="8"/>
  <c r="D130" i="8"/>
  <c r="P129" i="8"/>
  <c r="H129" i="8"/>
  <c r="T128" i="8"/>
  <c r="L128" i="8"/>
  <c r="D128" i="8"/>
  <c r="P127" i="8"/>
  <c r="H127" i="8"/>
  <c r="T126" i="8"/>
  <c r="L126" i="8"/>
  <c r="D126" i="8"/>
  <c r="P125" i="8"/>
  <c r="H125" i="8"/>
  <c r="T124" i="8"/>
  <c r="L124" i="8"/>
  <c r="D124" i="8"/>
  <c r="P123" i="8"/>
  <c r="H123" i="8"/>
  <c r="T122" i="8"/>
  <c r="L122" i="8"/>
  <c r="D122" i="8"/>
  <c r="P121" i="8"/>
  <c r="H121" i="8"/>
  <c r="T120" i="8"/>
  <c r="L120" i="8"/>
  <c r="D120" i="8"/>
  <c r="P119" i="8"/>
  <c r="H119" i="8"/>
  <c r="T118" i="8"/>
  <c r="L118" i="8"/>
  <c r="D118" i="8"/>
  <c r="P117" i="8"/>
  <c r="H117" i="8"/>
  <c r="T116" i="8"/>
  <c r="L116" i="8"/>
  <c r="D116" i="8"/>
  <c r="P115" i="8"/>
  <c r="H115" i="8"/>
  <c r="T114" i="8"/>
  <c r="L114" i="8"/>
  <c r="D114" i="8"/>
  <c r="P113" i="8"/>
  <c r="H113" i="8"/>
  <c r="T112" i="8"/>
  <c r="L112" i="8"/>
  <c r="D112" i="8"/>
  <c r="P111" i="8"/>
  <c r="H111" i="8"/>
  <c r="T110" i="8"/>
  <c r="L110" i="8"/>
  <c r="D110" i="8"/>
  <c r="P109" i="8"/>
  <c r="H109" i="8"/>
  <c r="T108" i="8"/>
  <c r="L108" i="8"/>
  <c r="D108" i="8"/>
  <c r="P107" i="8"/>
  <c r="H107" i="8"/>
  <c r="T106" i="8"/>
  <c r="L106" i="8"/>
  <c r="D106" i="8"/>
  <c r="P105" i="8"/>
  <c r="H105" i="8"/>
  <c r="T104" i="8"/>
  <c r="L104" i="8"/>
  <c r="D104" i="8"/>
  <c r="P103" i="8"/>
  <c r="H103" i="8"/>
  <c r="T102" i="8"/>
  <c r="L102" i="8"/>
  <c r="D102" i="8"/>
  <c r="P101" i="8"/>
  <c r="H101" i="8"/>
  <c r="T100" i="8"/>
  <c r="L100" i="8"/>
  <c r="D100" i="8"/>
  <c r="P99" i="8"/>
  <c r="H99" i="8"/>
  <c r="T98" i="8"/>
  <c r="L98" i="8"/>
  <c r="D98" i="8"/>
  <c r="P97" i="8"/>
  <c r="H97" i="8"/>
  <c r="T96" i="8"/>
  <c r="L96" i="8"/>
  <c r="D96" i="8"/>
  <c r="P95" i="8"/>
  <c r="H95" i="8"/>
  <c r="T94" i="8"/>
  <c r="L94" i="8"/>
  <c r="D94" i="8"/>
  <c r="P93" i="8"/>
  <c r="H93" i="8"/>
  <c r="T92" i="8"/>
  <c r="L92" i="8"/>
  <c r="D92" i="8"/>
  <c r="P91" i="8"/>
  <c r="H91" i="8"/>
  <c r="T90" i="8"/>
  <c r="L90" i="8"/>
  <c r="D90" i="8"/>
  <c r="P89" i="8"/>
  <c r="H89" i="8"/>
  <c r="T88" i="8"/>
  <c r="Q132" i="8"/>
  <c r="I132" i="8"/>
  <c r="U131" i="8"/>
  <c r="M131" i="8"/>
  <c r="E131" i="8"/>
  <c r="Q130" i="8"/>
  <c r="I130" i="8"/>
  <c r="U129" i="8"/>
  <c r="M129" i="8"/>
  <c r="E129" i="8"/>
  <c r="Q128" i="8"/>
  <c r="I128" i="8"/>
  <c r="U127" i="8"/>
  <c r="M127" i="8"/>
  <c r="E127" i="8"/>
  <c r="Q126" i="8"/>
  <c r="I126" i="8"/>
  <c r="U125" i="8"/>
  <c r="M125" i="8"/>
  <c r="E125" i="8"/>
  <c r="Q124" i="8"/>
  <c r="I124" i="8"/>
  <c r="U123" i="8"/>
  <c r="M123" i="8"/>
  <c r="E123" i="8"/>
  <c r="Q122" i="8"/>
  <c r="I122" i="8"/>
  <c r="U121" i="8"/>
  <c r="M121" i="8"/>
  <c r="E121" i="8"/>
  <c r="Q120" i="8"/>
  <c r="I120" i="8"/>
  <c r="U119" i="8"/>
  <c r="M119" i="8"/>
  <c r="E119" i="8"/>
  <c r="Q118" i="8"/>
  <c r="I118" i="8"/>
  <c r="U117" i="8"/>
  <c r="M117" i="8"/>
  <c r="E117" i="8"/>
  <c r="Q116" i="8"/>
  <c r="I116" i="8"/>
  <c r="U115" i="8"/>
  <c r="M115" i="8"/>
  <c r="E115" i="8"/>
  <c r="Q114" i="8"/>
  <c r="I114" i="8"/>
  <c r="U113" i="8"/>
  <c r="M113" i="8"/>
  <c r="E113" i="8"/>
  <c r="Q112" i="8"/>
  <c r="I112" i="8"/>
  <c r="U111" i="8"/>
  <c r="M111" i="8"/>
  <c r="E111" i="8"/>
  <c r="Q110" i="8"/>
  <c r="I110" i="8"/>
  <c r="U109" i="8"/>
  <c r="M109" i="8"/>
  <c r="E109" i="8"/>
  <c r="Q108" i="8"/>
  <c r="I108" i="8"/>
  <c r="U107" i="8"/>
  <c r="M107" i="8"/>
  <c r="E107" i="8"/>
  <c r="Q106" i="8"/>
  <c r="I106" i="8"/>
  <c r="U105" i="8"/>
  <c r="M105" i="8"/>
  <c r="E105" i="8"/>
  <c r="Q104" i="8"/>
  <c r="I104" i="8"/>
  <c r="U103" i="8"/>
  <c r="M103" i="8"/>
  <c r="E103" i="8"/>
  <c r="Q102" i="8"/>
  <c r="I102" i="8"/>
  <c r="U101" i="8"/>
  <c r="M101" i="8"/>
  <c r="E101" i="8"/>
  <c r="Q100" i="8"/>
  <c r="I100" i="8"/>
  <c r="U99" i="8"/>
  <c r="M99" i="8"/>
  <c r="E99" i="8"/>
  <c r="Q98" i="8"/>
  <c r="I98" i="8"/>
  <c r="U97" i="8"/>
  <c r="M97" i="8"/>
  <c r="E97" i="8"/>
  <c r="Q96" i="8"/>
  <c r="I96" i="8"/>
  <c r="U95" i="8"/>
  <c r="M95" i="8"/>
  <c r="E95" i="8"/>
  <c r="Q94" i="8"/>
  <c r="I94" i="8"/>
  <c r="U93" i="8"/>
  <c r="M93" i="8"/>
  <c r="E93" i="8"/>
  <c r="Q92" i="8"/>
  <c r="I92" i="8"/>
  <c r="U91" i="8"/>
  <c r="M91" i="8"/>
  <c r="E91" i="8"/>
  <c r="Q90" i="8"/>
  <c r="I90" i="8"/>
  <c r="U89" i="8"/>
  <c r="M89" i="8"/>
  <c r="E89" i="8"/>
  <c r="Q88" i="8"/>
  <c r="I88" i="8"/>
  <c r="U87" i="8"/>
  <c r="M87" i="8"/>
  <c r="E87" i="8"/>
  <c r="Q86" i="8"/>
  <c r="I86" i="8"/>
  <c r="U85" i="8"/>
  <c r="M85" i="8"/>
  <c r="E85" i="8"/>
  <c r="Q84" i="8"/>
  <c r="I84" i="8"/>
  <c r="U83" i="8"/>
  <c r="M83" i="8"/>
  <c r="E83" i="8"/>
  <c r="Q82" i="8"/>
  <c r="I82" i="8"/>
  <c r="O132" i="8"/>
  <c r="G132" i="8"/>
  <c r="S131" i="8"/>
  <c r="K131" i="8"/>
  <c r="C131" i="8"/>
  <c r="O130" i="8"/>
  <c r="G130" i="8"/>
  <c r="S129" i="8"/>
  <c r="K129" i="8"/>
  <c r="C129" i="8"/>
  <c r="O128" i="8"/>
  <c r="G128" i="8"/>
  <c r="S127" i="8"/>
  <c r="K127" i="8"/>
  <c r="C127" i="8"/>
  <c r="O126" i="8"/>
  <c r="G126" i="8"/>
  <c r="S125" i="8"/>
  <c r="K125" i="8"/>
  <c r="C125" i="8"/>
  <c r="O124" i="8"/>
  <c r="G124" i="8"/>
  <c r="S123" i="8"/>
  <c r="K123" i="8"/>
  <c r="C123" i="8"/>
  <c r="O122" i="8"/>
  <c r="G122" i="8"/>
  <c r="S121" i="8"/>
  <c r="K121" i="8"/>
  <c r="C121" i="8"/>
  <c r="O120" i="8"/>
  <c r="G120" i="8"/>
  <c r="S119" i="8"/>
  <c r="K119" i="8"/>
  <c r="C119" i="8"/>
  <c r="O118" i="8"/>
  <c r="G118" i="8"/>
  <c r="S117" i="8"/>
  <c r="K117" i="8"/>
  <c r="C117" i="8"/>
  <c r="O116" i="8"/>
  <c r="G116" i="8"/>
  <c r="S115" i="8"/>
  <c r="K115" i="8"/>
  <c r="C115" i="8"/>
  <c r="O114" i="8"/>
  <c r="G114" i="8"/>
  <c r="S113" i="8"/>
  <c r="K113" i="8"/>
  <c r="C113" i="8"/>
  <c r="O112" i="8"/>
  <c r="G112" i="8"/>
  <c r="S111" i="8"/>
  <c r="K111" i="8"/>
  <c r="C111" i="8"/>
  <c r="O110" i="8"/>
  <c r="G110" i="8"/>
  <c r="S109" i="8"/>
  <c r="K109" i="8"/>
  <c r="C109" i="8"/>
  <c r="O108" i="8"/>
  <c r="G108" i="8"/>
  <c r="S107" i="8"/>
  <c r="K107" i="8"/>
  <c r="C107" i="8"/>
  <c r="O106" i="8"/>
  <c r="G106" i="8"/>
  <c r="S105" i="8"/>
  <c r="K105" i="8"/>
  <c r="C105" i="8"/>
  <c r="O104" i="8"/>
  <c r="G104" i="8"/>
  <c r="S103" i="8"/>
  <c r="K103" i="8"/>
  <c r="C103" i="8"/>
  <c r="O102" i="8"/>
  <c r="G102" i="8"/>
  <c r="S101" i="8"/>
  <c r="K101" i="8"/>
  <c r="C101" i="8"/>
  <c r="O100" i="8"/>
  <c r="G100" i="8"/>
  <c r="S99" i="8"/>
  <c r="K99" i="8"/>
  <c r="C99" i="8"/>
  <c r="O98" i="8"/>
  <c r="G98" i="8"/>
  <c r="S97" i="8"/>
  <c r="K97" i="8"/>
  <c r="C97" i="8"/>
  <c r="O96" i="8"/>
  <c r="G96" i="8"/>
  <c r="S95" i="8"/>
  <c r="K95" i="8"/>
  <c r="C95" i="8"/>
  <c r="O94" i="8"/>
  <c r="G94" i="8"/>
  <c r="S93" i="8"/>
  <c r="K93" i="8"/>
  <c r="C93" i="8"/>
  <c r="O92" i="8"/>
  <c r="G92" i="8"/>
  <c r="S91" i="8"/>
  <c r="K91" i="8"/>
  <c r="C91" i="8"/>
  <c r="O90" i="8"/>
  <c r="G90" i="8"/>
  <c r="S89" i="8"/>
  <c r="K89" i="8"/>
  <c r="C89" i="8"/>
  <c r="O88" i="8"/>
  <c r="G88" i="8"/>
  <c r="S87" i="8"/>
  <c r="K87" i="8"/>
  <c r="C87" i="8"/>
  <c r="O86" i="8"/>
  <c r="G86" i="8"/>
  <c r="S85" i="8"/>
  <c r="K85" i="8"/>
  <c r="C85" i="8"/>
  <c r="O84" i="8"/>
  <c r="G84" i="8"/>
  <c r="S83" i="8"/>
  <c r="K83" i="8"/>
  <c r="C83" i="8"/>
  <c r="O82" i="8"/>
  <c r="G82" i="8"/>
  <c r="S132" i="8"/>
  <c r="C132" i="8"/>
  <c r="G131" i="8"/>
  <c r="K130" i="8"/>
  <c r="O129" i="8"/>
  <c r="S128" i="8"/>
  <c r="C128" i="8"/>
  <c r="G127" i="8"/>
  <c r="K126" i="8"/>
  <c r="O125" i="8"/>
  <c r="S124" i="8"/>
  <c r="C124" i="8"/>
  <c r="G123" i="8"/>
  <c r="K122" i="8"/>
  <c r="O121" i="8"/>
  <c r="S120" i="8"/>
  <c r="C120" i="8"/>
  <c r="G119" i="8"/>
  <c r="K118" i="8"/>
  <c r="O117" i="8"/>
  <c r="S116" i="8"/>
  <c r="C116" i="8"/>
  <c r="G115" i="8"/>
  <c r="K114" i="8"/>
  <c r="O113" i="8"/>
  <c r="S112" i="8"/>
  <c r="C112" i="8"/>
  <c r="G111" i="8"/>
  <c r="K110" i="8"/>
  <c r="O109" i="8"/>
  <c r="S108" i="8"/>
  <c r="C108" i="8"/>
  <c r="G107" i="8"/>
  <c r="K106" i="8"/>
  <c r="O105" i="8"/>
  <c r="S104" i="8"/>
  <c r="C104" i="8"/>
  <c r="G103" i="8"/>
  <c r="K102" i="8"/>
  <c r="O101" i="8"/>
  <c r="S100" i="8"/>
  <c r="C100" i="8"/>
  <c r="G99" i="8"/>
  <c r="K98" i="8"/>
  <c r="O97" i="8"/>
  <c r="S96" i="8"/>
  <c r="C96" i="8"/>
  <c r="G95" i="8"/>
  <c r="K94" i="8"/>
  <c r="O93" i="8"/>
  <c r="S92" i="8"/>
  <c r="C92" i="8"/>
  <c r="G91" i="8"/>
  <c r="K90" i="8"/>
  <c r="O89" i="8"/>
  <c r="S88" i="8"/>
  <c r="H88" i="8"/>
  <c r="Q87" i="8"/>
  <c r="G87" i="8"/>
  <c r="P86" i="8"/>
  <c r="E86" i="8"/>
  <c r="O85" i="8"/>
  <c r="D85" i="8"/>
  <c r="M84" i="8"/>
  <c r="C84" i="8"/>
  <c r="L83" i="8"/>
  <c r="U82" i="8"/>
  <c r="K82" i="8"/>
  <c r="U81" i="8"/>
  <c r="M81" i="8"/>
  <c r="E81" i="8"/>
  <c r="Q80" i="8"/>
  <c r="I80" i="8"/>
  <c r="U79" i="8"/>
  <c r="M79" i="8"/>
  <c r="E79" i="8"/>
  <c r="Q78" i="8"/>
  <c r="I78" i="8"/>
  <c r="U77" i="8"/>
  <c r="M77" i="8"/>
  <c r="E77" i="8"/>
  <c r="Q76" i="8"/>
  <c r="I76" i="8"/>
  <c r="U75" i="8"/>
  <c r="M75" i="8"/>
  <c r="E75" i="8"/>
  <c r="Q74" i="8"/>
  <c r="I74" i="8"/>
  <c r="U73" i="8"/>
  <c r="M73" i="8"/>
  <c r="E73" i="8"/>
  <c r="Q72" i="8"/>
  <c r="I72" i="8"/>
  <c r="U71" i="8"/>
  <c r="M71" i="8"/>
  <c r="E71" i="8"/>
  <c r="Q70" i="8"/>
  <c r="I70" i="8"/>
  <c r="U69" i="8"/>
  <c r="M69" i="8"/>
  <c r="E69" i="8"/>
  <c r="Q68" i="8"/>
  <c r="I68" i="8"/>
  <c r="U67" i="8"/>
  <c r="M67" i="8"/>
  <c r="E67" i="8"/>
  <c r="Q66" i="8"/>
  <c r="I66" i="8"/>
  <c r="U65" i="8"/>
  <c r="M65" i="8"/>
  <c r="E65" i="8"/>
  <c r="Q64" i="8"/>
  <c r="R132" i="8"/>
  <c r="B132" i="8"/>
  <c r="F131" i="8"/>
  <c r="J130" i="8"/>
  <c r="N129" i="8"/>
  <c r="R128" i="8"/>
  <c r="B128" i="8"/>
  <c r="F127" i="8"/>
  <c r="J126" i="8"/>
  <c r="N125" i="8"/>
  <c r="R124" i="8"/>
  <c r="B124" i="8"/>
  <c r="F123" i="8"/>
  <c r="J122" i="8"/>
  <c r="N121" i="8"/>
  <c r="R120" i="8"/>
  <c r="B120" i="8"/>
  <c r="F119" i="8"/>
  <c r="J118" i="8"/>
  <c r="N117" i="8"/>
  <c r="R116" i="8"/>
  <c r="B116" i="8"/>
  <c r="F115" i="8"/>
  <c r="J114" i="8"/>
  <c r="N113" i="8"/>
  <c r="R112" i="8"/>
  <c r="B112" i="8"/>
  <c r="F111" i="8"/>
  <c r="J110" i="8"/>
  <c r="N109" i="8"/>
  <c r="R108" i="8"/>
  <c r="B108" i="8"/>
  <c r="F107" i="8"/>
  <c r="J106" i="8"/>
  <c r="N105" i="8"/>
  <c r="R104" i="8"/>
  <c r="B104" i="8"/>
  <c r="F103" i="8"/>
  <c r="J102" i="8"/>
  <c r="N101" i="8"/>
  <c r="R100" i="8"/>
  <c r="B100" i="8"/>
  <c r="F99" i="8"/>
  <c r="J98" i="8"/>
  <c r="N97" i="8"/>
  <c r="R96" i="8"/>
  <c r="B96" i="8"/>
  <c r="F95" i="8"/>
  <c r="J94" i="8"/>
  <c r="N93" i="8"/>
  <c r="R92" i="8"/>
  <c r="B92" i="8"/>
  <c r="F91" i="8"/>
  <c r="J90" i="8"/>
  <c r="N89" i="8"/>
  <c r="R88" i="8"/>
  <c r="F88" i="8"/>
  <c r="P87" i="8"/>
  <c r="F87" i="8"/>
  <c r="N86" i="8"/>
  <c r="D86" i="8"/>
  <c r="N85" i="8"/>
  <c r="B85" i="8"/>
  <c r="L84" i="8"/>
  <c r="B84" i="8"/>
  <c r="J83" i="8"/>
  <c r="T82" i="8"/>
  <c r="J82" i="8"/>
  <c r="T81" i="8"/>
  <c r="L81" i="8"/>
  <c r="D81" i="8"/>
  <c r="P80" i="8"/>
  <c r="H80" i="8"/>
  <c r="T79" i="8"/>
  <c r="L79" i="8"/>
  <c r="D79" i="8"/>
  <c r="P78" i="8"/>
  <c r="H78" i="8"/>
  <c r="T77" i="8"/>
  <c r="L77" i="8"/>
  <c r="D77" i="8"/>
  <c r="P76" i="8"/>
  <c r="H76" i="8"/>
  <c r="T75" i="8"/>
  <c r="L75" i="8"/>
  <c r="D75" i="8"/>
  <c r="P74" i="8"/>
  <c r="H74" i="8"/>
  <c r="T73" i="8"/>
  <c r="L73" i="8"/>
  <c r="D73" i="8"/>
  <c r="P72" i="8"/>
  <c r="H72" i="8"/>
  <c r="T71" i="8"/>
  <c r="L71" i="8"/>
  <c r="D71" i="8"/>
  <c r="P70" i="8"/>
  <c r="H70" i="8"/>
  <c r="T69" i="8"/>
  <c r="L69" i="8"/>
  <c r="D69" i="8"/>
  <c r="P68" i="8"/>
  <c r="H68" i="8"/>
  <c r="T67" i="8"/>
  <c r="L67" i="8"/>
  <c r="D67" i="8"/>
  <c r="P66" i="8"/>
  <c r="H66" i="8"/>
  <c r="T65" i="8"/>
  <c r="L65" i="8"/>
  <c r="D65" i="8"/>
  <c r="P64" i="8"/>
  <c r="P132" i="8"/>
  <c r="K132" i="8"/>
  <c r="O131" i="8"/>
  <c r="S130" i="8"/>
  <c r="C130" i="8"/>
  <c r="G129" i="8"/>
  <c r="K128" i="8"/>
  <c r="O127" i="8"/>
  <c r="S126" i="8"/>
  <c r="C126" i="8"/>
  <c r="G125" i="8"/>
  <c r="K124" i="8"/>
  <c r="O123" i="8"/>
  <c r="S122" i="8"/>
  <c r="C122" i="8"/>
  <c r="G121" i="8"/>
  <c r="K120" i="8"/>
  <c r="O119" i="8"/>
  <c r="S118" i="8"/>
  <c r="C118" i="8"/>
  <c r="G117" i="8"/>
  <c r="K116" i="8"/>
  <c r="O115" i="8"/>
  <c r="S114" i="8"/>
  <c r="C114" i="8"/>
  <c r="G113" i="8"/>
  <c r="K112" i="8"/>
  <c r="O111" i="8"/>
  <c r="S110" i="8"/>
  <c r="C110" i="8"/>
  <c r="G109" i="8"/>
  <c r="K108" i="8"/>
  <c r="O107" i="8"/>
  <c r="S106" i="8"/>
  <c r="C106" i="8"/>
  <c r="G105" i="8"/>
  <c r="K104" i="8"/>
  <c r="O103" i="8"/>
  <c r="S102" i="8"/>
  <c r="C102" i="8"/>
  <c r="G101" i="8"/>
  <c r="K100" i="8"/>
  <c r="O99" i="8"/>
  <c r="S98" i="8"/>
  <c r="C98" i="8"/>
  <c r="G97" i="8"/>
  <c r="K96" i="8"/>
  <c r="O95" i="8"/>
  <c r="S94" i="8"/>
  <c r="C94" i="8"/>
  <c r="G93" i="8"/>
  <c r="K92" i="8"/>
  <c r="O91" i="8"/>
  <c r="S90" i="8"/>
  <c r="C90" i="8"/>
  <c r="G89" i="8"/>
  <c r="M88" i="8"/>
  <c r="C88" i="8"/>
  <c r="L87" i="8"/>
  <c r="U86" i="8"/>
  <c r="K86" i="8"/>
  <c r="T85" i="8"/>
  <c r="I85" i="8"/>
  <c r="S84" i="8"/>
  <c r="H84" i="8"/>
  <c r="Q83" i="8"/>
  <c r="G83" i="8"/>
  <c r="P82" i="8"/>
  <c r="E82" i="8"/>
  <c r="Q81" i="8"/>
  <c r="I81" i="8"/>
  <c r="U80" i="8"/>
  <c r="M80" i="8"/>
  <c r="E80" i="8"/>
  <c r="Q79" i="8"/>
  <c r="I79" i="8"/>
  <c r="U78" i="8"/>
  <c r="M78" i="8"/>
  <c r="E78" i="8"/>
  <c r="Q77" i="8"/>
  <c r="I77" i="8"/>
  <c r="U76" i="8"/>
  <c r="M76" i="8"/>
  <c r="E76" i="8"/>
  <c r="Q75" i="8"/>
  <c r="I75" i="8"/>
  <c r="U74" i="8"/>
  <c r="M74" i="8"/>
  <c r="E74" i="8"/>
  <c r="Q73" i="8"/>
  <c r="I73" i="8"/>
  <c r="U72" i="8"/>
  <c r="M72" i="8"/>
  <c r="E72" i="8"/>
  <c r="Q71" i="8"/>
  <c r="I71" i="8"/>
  <c r="U70" i="8"/>
  <c r="M70" i="8"/>
  <c r="E70" i="8"/>
  <c r="Q69" i="8"/>
  <c r="I69" i="8"/>
  <c r="U68" i="8"/>
  <c r="M68" i="8"/>
  <c r="E68" i="8"/>
  <c r="Q67" i="8"/>
  <c r="I67" i="8"/>
  <c r="U66" i="8"/>
  <c r="M66" i="8"/>
  <c r="E66" i="8"/>
  <c r="Q65" i="8"/>
  <c r="I65" i="8"/>
  <c r="U64" i="8"/>
  <c r="M64" i="8"/>
  <c r="E64" i="8"/>
  <c r="Q63" i="8"/>
  <c r="I63" i="8"/>
  <c r="U62" i="8"/>
  <c r="M62" i="8"/>
  <c r="E62" i="8"/>
  <c r="Q61" i="8"/>
  <c r="I61" i="8"/>
  <c r="U60" i="8"/>
  <c r="M60" i="8"/>
  <c r="E60" i="8"/>
  <c r="Q59" i="8"/>
  <c r="I59" i="8"/>
  <c r="U58" i="8"/>
  <c r="M58" i="8"/>
  <c r="H132" i="8"/>
  <c r="L131" i="8"/>
  <c r="P130" i="8"/>
  <c r="T129" i="8"/>
  <c r="D129" i="8"/>
  <c r="H128" i="8"/>
  <c r="L127" i="8"/>
  <c r="P126" i="8"/>
  <c r="T125" i="8"/>
  <c r="D125" i="8"/>
  <c r="H124" i="8"/>
  <c r="L123" i="8"/>
  <c r="P122" i="8"/>
  <c r="T121" i="8"/>
  <c r="D121" i="8"/>
  <c r="H120" i="8"/>
  <c r="L119" i="8"/>
  <c r="P118" i="8"/>
  <c r="T117" i="8"/>
  <c r="D117" i="8"/>
  <c r="H116" i="8"/>
  <c r="L115" i="8"/>
  <c r="P114" i="8"/>
  <c r="T113" i="8"/>
  <c r="D113" i="8"/>
  <c r="H112" i="8"/>
  <c r="L111" i="8"/>
  <c r="P110" i="8"/>
  <c r="T109" i="8"/>
  <c r="D109" i="8"/>
  <c r="H108" i="8"/>
  <c r="L107" i="8"/>
  <c r="P106" i="8"/>
  <c r="T105" i="8"/>
  <c r="D105" i="8"/>
  <c r="H104" i="8"/>
  <c r="L103" i="8"/>
  <c r="P102" i="8"/>
  <c r="T101" i="8"/>
  <c r="D101" i="8"/>
  <c r="H100" i="8"/>
  <c r="L99" i="8"/>
  <c r="P98" i="8"/>
  <c r="T97" i="8"/>
  <c r="D97" i="8"/>
  <c r="H96" i="8"/>
  <c r="L95" i="8"/>
  <c r="P94" i="8"/>
  <c r="T93" i="8"/>
  <c r="D93" i="8"/>
  <c r="H92" i="8"/>
  <c r="L91" i="8"/>
  <c r="P90" i="8"/>
  <c r="T89" i="8"/>
  <c r="D89" i="8"/>
  <c r="K88" i="8"/>
  <c r="T87" i="8"/>
  <c r="I87" i="8"/>
  <c r="S86" i="8"/>
  <c r="H86" i="8"/>
  <c r="Q85" i="8"/>
  <c r="G85" i="8"/>
  <c r="P84" i="8"/>
  <c r="E84" i="8"/>
  <c r="O83" i="8"/>
  <c r="D83" i="8"/>
  <c r="M82" i="8"/>
  <c r="C82" i="8"/>
  <c r="O81" i="8"/>
  <c r="G81" i="8"/>
  <c r="S80" i="8"/>
  <c r="K80" i="8"/>
  <c r="C80" i="8"/>
  <c r="O79" i="8"/>
  <c r="G79" i="8"/>
  <c r="S78" i="8"/>
  <c r="K78" i="8"/>
  <c r="C78" i="8"/>
  <c r="O77" i="8"/>
  <c r="G77" i="8"/>
  <c r="S76" i="8"/>
  <c r="K76" i="8"/>
  <c r="C76" i="8"/>
  <c r="O75" i="8"/>
  <c r="G75" i="8"/>
  <c r="S74" i="8"/>
  <c r="K74" i="8"/>
  <c r="C74" i="8"/>
  <c r="O73" i="8"/>
  <c r="G73" i="8"/>
  <c r="S72" i="8"/>
  <c r="K72" i="8"/>
  <c r="C72" i="8"/>
  <c r="O71" i="8"/>
  <c r="G71" i="8"/>
  <c r="S70" i="8"/>
  <c r="K70" i="8"/>
  <c r="C70" i="8"/>
  <c r="O69" i="8"/>
  <c r="G69" i="8"/>
  <c r="S68" i="8"/>
  <c r="K68" i="8"/>
  <c r="C68" i="8"/>
  <c r="O67" i="8"/>
  <c r="G67" i="8"/>
  <c r="S66" i="8"/>
  <c r="K66" i="8"/>
  <c r="C66" i="8"/>
  <c r="O65" i="8"/>
  <c r="G65" i="8"/>
  <c r="S64" i="8"/>
  <c r="K64" i="8"/>
  <c r="C64" i="8"/>
  <c r="O63" i="8"/>
  <c r="G63" i="8"/>
  <c r="S62" i="8"/>
  <c r="K62" i="8"/>
  <c r="C62" i="8"/>
  <c r="O61" i="8"/>
  <c r="G61" i="8"/>
  <c r="S60" i="8"/>
  <c r="K60" i="8"/>
  <c r="C60" i="8"/>
  <c r="O59" i="8"/>
  <c r="G59" i="8"/>
  <c r="S58" i="8"/>
  <c r="K58" i="8"/>
  <c r="C58" i="8"/>
  <c r="N132" i="8"/>
  <c r="B131" i="8"/>
  <c r="J129" i="8"/>
  <c r="R127" i="8"/>
  <c r="F126" i="8"/>
  <c r="N124" i="8"/>
  <c r="B123" i="8"/>
  <c r="J121" i="8"/>
  <c r="R119" i="8"/>
  <c r="F118" i="8"/>
  <c r="N116" i="8"/>
  <c r="B115" i="8"/>
  <c r="J113" i="8"/>
  <c r="R111" i="8"/>
  <c r="F110" i="8"/>
  <c r="N108" i="8"/>
  <c r="B107" i="8"/>
  <c r="J105" i="8"/>
  <c r="R103" i="8"/>
  <c r="F102" i="8"/>
  <c r="N100" i="8"/>
  <c r="B99" i="8"/>
  <c r="J97" i="8"/>
  <c r="R95" i="8"/>
  <c r="F94" i="8"/>
  <c r="N92" i="8"/>
  <c r="B91" i="8"/>
  <c r="J89" i="8"/>
  <c r="D88" i="8"/>
  <c r="B87" i="8"/>
  <c r="B86" i="8"/>
  <c r="T84" i="8"/>
  <c r="R83" i="8"/>
  <c r="R82" i="8"/>
  <c r="R81" i="8"/>
  <c r="B81" i="8"/>
  <c r="F80" i="8"/>
  <c r="J79" i="8"/>
  <c r="N78" i="8"/>
  <c r="R77" i="8"/>
  <c r="B77" i="8"/>
  <c r="F76" i="8"/>
  <c r="J75" i="8"/>
  <c r="N74" i="8"/>
  <c r="R73" i="8"/>
  <c r="B73" i="8"/>
  <c r="F72" i="8"/>
  <c r="J71" i="8"/>
  <c r="N70" i="8"/>
  <c r="R69" i="8"/>
  <c r="B69" i="8"/>
  <c r="F68" i="8"/>
  <c r="J67" i="8"/>
  <c r="N66" i="8"/>
  <c r="R65" i="8"/>
  <c r="B65" i="8"/>
  <c r="H64" i="8"/>
  <c r="R63" i="8"/>
  <c r="F63" i="8"/>
  <c r="P62" i="8"/>
  <c r="F62" i="8"/>
  <c r="N61" i="8"/>
  <c r="D61" i="8"/>
  <c r="N60" i="8"/>
  <c r="B60" i="8"/>
  <c r="L59" i="8"/>
  <c r="B59" i="8"/>
  <c r="J58" i="8"/>
  <c r="U57" i="8"/>
  <c r="M57" i="8"/>
  <c r="E57" i="8"/>
  <c r="Q56" i="8"/>
  <c r="I56" i="8"/>
  <c r="U55" i="8"/>
  <c r="M55" i="8"/>
  <c r="E55" i="8"/>
  <c r="Q54" i="8"/>
  <c r="I54" i="8"/>
  <c r="U53" i="8"/>
  <c r="M53" i="8"/>
  <c r="E53" i="8"/>
  <c r="Q52" i="8"/>
  <c r="I52" i="8"/>
  <c r="U51" i="8"/>
  <c r="M51" i="8"/>
  <c r="E51" i="8"/>
  <c r="Q50" i="8"/>
  <c r="I50" i="8"/>
  <c r="U49" i="8"/>
  <c r="M49" i="8"/>
  <c r="E49" i="8"/>
  <c r="Q48" i="8"/>
  <c r="I48" i="8"/>
  <c r="U47" i="8"/>
  <c r="M47" i="8"/>
  <c r="E47" i="8"/>
  <c r="Q46" i="8"/>
  <c r="I46" i="8"/>
  <c r="U45" i="8"/>
  <c r="M45" i="8"/>
  <c r="E45" i="8"/>
  <c r="Q44" i="8"/>
  <c r="I44" i="8"/>
  <c r="U43" i="8"/>
  <c r="M43" i="8"/>
  <c r="E43" i="8"/>
  <c r="Q42" i="8"/>
  <c r="I42" i="8"/>
  <c r="U41" i="8"/>
  <c r="M41" i="8"/>
  <c r="E41" i="8"/>
  <c r="Q40" i="8"/>
  <c r="I40" i="8"/>
  <c r="U39" i="8"/>
  <c r="M39" i="8"/>
  <c r="E39" i="8"/>
  <c r="Q38" i="8"/>
  <c r="I38" i="8"/>
  <c r="U37" i="8"/>
  <c r="M37" i="8"/>
  <c r="E37" i="8"/>
  <c r="Q36" i="8"/>
  <c r="I36" i="8"/>
  <c r="U35" i="8"/>
  <c r="M35" i="8"/>
  <c r="E35" i="8"/>
  <c r="Q34" i="8"/>
  <c r="J132" i="8"/>
  <c r="R130" i="8"/>
  <c r="F129" i="8"/>
  <c r="N127" i="8"/>
  <c r="B126" i="8"/>
  <c r="J124" i="8"/>
  <c r="R122" i="8"/>
  <c r="F121" i="8"/>
  <c r="N119" i="8"/>
  <c r="B118" i="8"/>
  <c r="J116" i="8"/>
  <c r="R114" i="8"/>
  <c r="F113" i="8"/>
  <c r="N111" i="8"/>
  <c r="B110" i="8"/>
  <c r="J108" i="8"/>
  <c r="R106" i="8"/>
  <c r="F105" i="8"/>
  <c r="N103" i="8"/>
  <c r="B102" i="8"/>
  <c r="J100" i="8"/>
  <c r="R98" i="8"/>
  <c r="F97" i="8"/>
  <c r="N95" i="8"/>
  <c r="B94" i="8"/>
  <c r="J92" i="8"/>
  <c r="R90" i="8"/>
  <c r="F89" i="8"/>
  <c r="B88" i="8"/>
  <c r="T86" i="8"/>
  <c r="R85" i="8"/>
  <c r="R84" i="8"/>
  <c r="P83" i="8"/>
  <c r="N82" i="8"/>
  <c r="P81" i="8"/>
  <c r="T80" i="8"/>
  <c r="D80" i="8"/>
  <c r="H79" i="8"/>
  <c r="L78" i="8"/>
  <c r="P77" i="8"/>
  <c r="T76" i="8"/>
  <c r="D76" i="8"/>
  <c r="H75" i="8"/>
  <c r="L74" i="8"/>
  <c r="P73" i="8"/>
  <c r="T72" i="8"/>
  <c r="D72" i="8"/>
  <c r="H71" i="8"/>
  <c r="L70" i="8"/>
  <c r="P69" i="8"/>
  <c r="T68" i="8"/>
  <c r="D68" i="8"/>
  <c r="H67" i="8"/>
  <c r="L66" i="8"/>
  <c r="P65" i="8"/>
  <c r="T64" i="8"/>
  <c r="G64" i="8"/>
  <c r="P63" i="8"/>
  <c r="E63" i="8"/>
  <c r="O62" i="8"/>
  <c r="D62" i="8"/>
  <c r="M61" i="8"/>
  <c r="C61" i="8"/>
  <c r="L60" i="8"/>
  <c r="U59" i="8"/>
  <c r="K59" i="8"/>
  <c r="T58" i="8"/>
  <c r="I58" i="8"/>
  <c r="T57" i="8"/>
  <c r="L57" i="8"/>
  <c r="D57" i="8"/>
  <c r="P56" i="8"/>
  <c r="H56" i="8"/>
  <c r="T55" i="8"/>
  <c r="L55" i="8"/>
  <c r="D55" i="8"/>
  <c r="P54" i="8"/>
  <c r="H54" i="8"/>
  <c r="T53" i="8"/>
  <c r="L53" i="8"/>
  <c r="D53" i="8"/>
  <c r="P52" i="8"/>
  <c r="H52" i="8"/>
  <c r="T51" i="8"/>
  <c r="L51" i="8"/>
  <c r="D51" i="8"/>
  <c r="P50" i="8"/>
  <c r="H50" i="8"/>
  <c r="T49" i="8"/>
  <c r="L49" i="8"/>
  <c r="D49" i="8"/>
  <c r="P48" i="8"/>
  <c r="H48" i="8"/>
  <c r="T47" i="8"/>
  <c r="L47" i="8"/>
  <c r="D47" i="8"/>
  <c r="P46" i="8"/>
  <c r="H46" i="8"/>
  <c r="T45" i="8"/>
  <c r="L45" i="8"/>
  <c r="D45" i="8"/>
  <c r="P44" i="8"/>
  <c r="H44" i="8"/>
  <c r="T43" i="8"/>
  <c r="L43" i="8"/>
  <c r="D43" i="8"/>
  <c r="P42" i="8"/>
  <c r="H42" i="8"/>
  <c r="T41" i="8"/>
  <c r="L41" i="8"/>
  <c r="D41" i="8"/>
  <c r="P40" i="8"/>
  <c r="H40" i="8"/>
  <c r="T39" i="8"/>
  <c r="L39" i="8"/>
  <c r="D39" i="8"/>
  <c r="P38" i="8"/>
  <c r="H38" i="8"/>
  <c r="T37" i="8"/>
  <c r="L37" i="8"/>
  <c r="D37" i="8"/>
  <c r="P36" i="8"/>
  <c r="H36" i="8"/>
  <c r="T35" i="8"/>
  <c r="L35" i="8"/>
  <c r="D35" i="8"/>
  <c r="P34" i="8"/>
  <c r="F132" i="8"/>
  <c r="R131" i="8"/>
  <c r="F130" i="8"/>
  <c r="N128" i="8"/>
  <c r="B127" i="8"/>
  <c r="J125" i="8"/>
  <c r="R123" i="8"/>
  <c r="F122" i="8"/>
  <c r="N120" i="8"/>
  <c r="B119" i="8"/>
  <c r="J117" i="8"/>
  <c r="R115" i="8"/>
  <c r="F114" i="8"/>
  <c r="N112" i="8"/>
  <c r="B111" i="8"/>
  <c r="J109" i="8"/>
  <c r="R107" i="8"/>
  <c r="F106" i="8"/>
  <c r="N104" i="8"/>
  <c r="B103" i="8"/>
  <c r="J101" i="8"/>
  <c r="R99" i="8"/>
  <c r="F98" i="8"/>
  <c r="N96" i="8"/>
  <c r="B95" i="8"/>
  <c r="J93" i="8"/>
  <c r="R91" i="8"/>
  <c r="F90" i="8"/>
  <c r="N88" i="8"/>
  <c r="N87" i="8"/>
  <c r="L86" i="8"/>
  <c r="J85" i="8"/>
  <c r="J84" i="8"/>
  <c r="H83" i="8"/>
  <c r="F82" i="8"/>
  <c r="J81" i="8"/>
  <c r="N80" i="8"/>
  <c r="R79" i="8"/>
  <c r="B79" i="8"/>
  <c r="F78" i="8"/>
  <c r="J77" i="8"/>
  <c r="N76" i="8"/>
  <c r="R75" i="8"/>
  <c r="B75" i="8"/>
  <c r="F74" i="8"/>
  <c r="J73" i="8"/>
  <c r="N72" i="8"/>
  <c r="R71" i="8"/>
  <c r="B71" i="8"/>
  <c r="F70" i="8"/>
  <c r="J69" i="8"/>
  <c r="N68" i="8"/>
  <c r="R67" i="8"/>
  <c r="B67" i="8"/>
  <c r="F66" i="8"/>
  <c r="J65" i="8"/>
  <c r="N64" i="8"/>
  <c r="B64" i="8"/>
  <c r="L63" i="8"/>
  <c r="B63" i="8"/>
  <c r="J62" i="8"/>
  <c r="T61" i="8"/>
  <c r="J61" i="8"/>
  <c r="R60" i="8"/>
  <c r="H60" i="8"/>
  <c r="R59" i="8"/>
  <c r="F59" i="8"/>
  <c r="P58" i="8"/>
  <c r="F58" i="8"/>
  <c r="Q57" i="8"/>
  <c r="I57" i="8"/>
  <c r="U56" i="8"/>
  <c r="M56" i="8"/>
  <c r="E56" i="8"/>
  <c r="Q55" i="8"/>
  <c r="I55" i="8"/>
  <c r="U54" i="8"/>
  <c r="M54" i="8"/>
  <c r="E54" i="8"/>
  <c r="Q53" i="8"/>
  <c r="I53" i="8"/>
  <c r="U52" i="8"/>
  <c r="M52" i="8"/>
  <c r="E52" i="8"/>
  <c r="Q51" i="8"/>
  <c r="I51" i="8"/>
  <c r="U50" i="8"/>
  <c r="M50" i="8"/>
  <c r="E50" i="8"/>
  <c r="Q49" i="8"/>
  <c r="I49" i="8"/>
  <c r="U48" i="8"/>
  <c r="M48" i="8"/>
  <c r="E48" i="8"/>
  <c r="Q47" i="8"/>
  <c r="I47" i="8"/>
  <c r="U46" i="8"/>
  <c r="M46" i="8"/>
  <c r="E46" i="8"/>
  <c r="Q45" i="8"/>
  <c r="I45" i="8"/>
  <c r="U44" i="8"/>
  <c r="M44" i="8"/>
  <c r="E44" i="8"/>
  <c r="Q43" i="8"/>
  <c r="I43" i="8"/>
  <c r="U42" i="8"/>
  <c r="M42" i="8"/>
  <c r="E42" i="8"/>
  <c r="Q41" i="8"/>
  <c r="I41" i="8"/>
  <c r="U40" i="8"/>
  <c r="M40" i="8"/>
  <c r="E40" i="8"/>
  <c r="Q39" i="8"/>
  <c r="I39" i="8"/>
  <c r="U38" i="8"/>
  <c r="M38" i="8"/>
  <c r="E38" i="8"/>
  <c r="Q37" i="8"/>
  <c r="I37" i="8"/>
  <c r="U36" i="8"/>
  <c r="M36" i="8"/>
  <c r="E36" i="8"/>
  <c r="Q35" i="8"/>
  <c r="I35" i="8"/>
  <c r="U34" i="8"/>
  <c r="M34" i="8"/>
  <c r="E34" i="8"/>
  <c r="Q33" i="8"/>
  <c r="I33" i="8"/>
  <c r="U32" i="8"/>
  <c r="M32" i="8"/>
  <c r="E32" i="8"/>
  <c r="Q31" i="8"/>
  <c r="I31" i="8"/>
  <c r="U30" i="8"/>
  <c r="M30" i="8"/>
  <c r="E30" i="8"/>
  <c r="Q29" i="8"/>
  <c r="I29" i="8"/>
  <c r="U28" i="8"/>
  <c r="M28" i="8"/>
  <c r="E28" i="8"/>
  <c r="Q27" i="8"/>
  <c r="I27" i="8"/>
  <c r="U26" i="8"/>
  <c r="M26" i="8"/>
  <c r="J131" i="8"/>
  <c r="R129" i="8"/>
  <c r="F128" i="8"/>
  <c r="N126" i="8"/>
  <c r="B125" i="8"/>
  <c r="J123" i="8"/>
  <c r="R121" i="8"/>
  <c r="F120" i="8"/>
  <c r="N118" i="8"/>
  <c r="B117" i="8"/>
  <c r="J115" i="8"/>
  <c r="R113" i="8"/>
  <c r="F112" i="8"/>
  <c r="N110" i="8"/>
  <c r="B109" i="8"/>
  <c r="J107" i="8"/>
  <c r="R105" i="8"/>
  <c r="F104" i="8"/>
  <c r="N102" i="8"/>
  <c r="B101" i="8"/>
  <c r="J99" i="8"/>
  <c r="R97" i="8"/>
  <c r="F96" i="8"/>
  <c r="N94" i="8"/>
  <c r="B93" i="8"/>
  <c r="J91" i="8"/>
  <c r="R89" i="8"/>
  <c r="J88" i="8"/>
  <c r="H87" i="8"/>
  <c r="F86" i="8"/>
  <c r="F85" i="8"/>
  <c r="D84" i="8"/>
  <c r="B83" i="8"/>
  <c r="B82" i="8"/>
  <c r="F81" i="8"/>
  <c r="J80" i="8"/>
  <c r="N79" i="8"/>
  <c r="R78" i="8"/>
  <c r="B78" i="8"/>
  <c r="F77" i="8"/>
  <c r="J76" i="8"/>
  <c r="N75" i="8"/>
  <c r="R74" i="8"/>
  <c r="B74" i="8"/>
  <c r="F73" i="8"/>
  <c r="J72" i="8"/>
  <c r="N71" i="8"/>
  <c r="R70" i="8"/>
  <c r="B70" i="8"/>
  <c r="F69" i="8"/>
  <c r="J68" i="8"/>
  <c r="N67" i="8"/>
  <c r="R66" i="8"/>
  <c r="B66" i="8"/>
  <c r="F65" i="8"/>
  <c r="J64" i="8"/>
  <c r="T63" i="8"/>
  <c r="J63" i="8"/>
  <c r="R62" i="8"/>
  <c r="H62" i="8"/>
  <c r="R61" i="8"/>
  <c r="F61" i="8"/>
  <c r="P60" i="8"/>
  <c r="F60" i="8"/>
  <c r="N59" i="8"/>
  <c r="D59" i="8"/>
  <c r="N58" i="8"/>
  <c r="D58" i="8"/>
  <c r="O57" i="8"/>
  <c r="G57" i="8"/>
  <c r="S56" i="8"/>
  <c r="K56" i="8"/>
  <c r="C56" i="8"/>
  <c r="O55" i="8"/>
  <c r="G55" i="8"/>
  <c r="S54" i="8"/>
  <c r="K54" i="8"/>
  <c r="C54" i="8"/>
  <c r="O53" i="8"/>
  <c r="G53" i="8"/>
  <c r="S52" i="8"/>
  <c r="K52" i="8"/>
  <c r="C52" i="8"/>
  <c r="O51" i="8"/>
  <c r="G51" i="8"/>
  <c r="S50" i="8"/>
  <c r="K50" i="8"/>
  <c r="C50" i="8"/>
  <c r="O49" i="8"/>
  <c r="G49" i="8"/>
  <c r="S48" i="8"/>
  <c r="K48" i="8"/>
  <c r="C48" i="8"/>
  <c r="O47" i="8"/>
  <c r="G47" i="8"/>
  <c r="S46" i="8"/>
  <c r="K46" i="8"/>
  <c r="C46" i="8"/>
  <c r="O45" i="8"/>
  <c r="G45" i="8"/>
  <c r="S44" i="8"/>
  <c r="K44" i="8"/>
  <c r="C44" i="8"/>
  <c r="O43" i="8"/>
  <c r="G43" i="8"/>
  <c r="S42" i="8"/>
  <c r="K42" i="8"/>
  <c r="C42" i="8"/>
  <c r="O41" i="8"/>
  <c r="G41" i="8"/>
  <c r="S40" i="8"/>
  <c r="K40" i="8"/>
  <c r="C40" i="8"/>
  <c r="O39" i="8"/>
  <c r="G39" i="8"/>
  <c r="S38" i="8"/>
  <c r="K38" i="8"/>
  <c r="C38" i="8"/>
  <c r="O37" i="8"/>
  <c r="G37" i="8"/>
  <c r="S36" i="8"/>
  <c r="K36" i="8"/>
  <c r="C36" i="8"/>
  <c r="O35" i="8"/>
  <c r="G35" i="8"/>
  <c r="S34" i="8"/>
  <c r="K34" i="8"/>
  <c r="C34" i="8"/>
  <c r="O33" i="8"/>
  <c r="G33" i="8"/>
  <c r="S32" i="8"/>
  <c r="K32" i="8"/>
  <c r="C32" i="8"/>
  <c r="O31" i="8"/>
  <c r="G31" i="8"/>
  <c r="S30" i="8"/>
  <c r="K30" i="8"/>
  <c r="C30" i="8"/>
  <c r="O29" i="8"/>
  <c r="G29" i="8"/>
  <c r="S28" i="8"/>
  <c r="K28" i="8"/>
  <c r="C28" i="8"/>
  <c r="O27" i="8"/>
  <c r="G27" i="8"/>
  <c r="T131" i="8"/>
  <c r="P128" i="8"/>
  <c r="L125" i="8"/>
  <c r="H122" i="8"/>
  <c r="D119" i="8"/>
  <c r="T115" i="8"/>
  <c r="P112" i="8"/>
  <c r="L109" i="8"/>
  <c r="H106" i="8"/>
  <c r="D103" i="8"/>
  <c r="T99" i="8"/>
  <c r="P96" i="8"/>
  <c r="L93" i="8"/>
  <c r="H90" i="8"/>
  <c r="O87" i="8"/>
  <c r="L85" i="8"/>
  <c r="I83" i="8"/>
  <c r="K81" i="8"/>
  <c r="S79" i="8"/>
  <c r="G78" i="8"/>
  <c r="O76" i="8"/>
  <c r="C75" i="8"/>
  <c r="K73" i="8"/>
  <c r="S71" i="8"/>
  <c r="G70" i="8"/>
  <c r="O68" i="8"/>
  <c r="C67" i="8"/>
  <c r="K65" i="8"/>
  <c r="D64" i="8"/>
  <c r="C63" i="8"/>
  <c r="U61" i="8"/>
  <c r="T60" i="8"/>
  <c r="S59" i="8"/>
  <c r="Q58" i="8"/>
  <c r="R57" i="8"/>
  <c r="B57" i="8"/>
  <c r="F56" i="8"/>
  <c r="J55" i="8"/>
  <c r="N54" i="8"/>
  <c r="R53" i="8"/>
  <c r="B53" i="8"/>
  <c r="F52" i="8"/>
  <c r="J51" i="8"/>
  <c r="N50" i="8"/>
  <c r="R49" i="8"/>
  <c r="B49" i="8"/>
  <c r="F48" i="8"/>
  <c r="J47" i="8"/>
  <c r="N46" i="8"/>
  <c r="R45" i="8"/>
  <c r="B45" i="8"/>
  <c r="F44" i="8"/>
  <c r="J43" i="8"/>
  <c r="N42" i="8"/>
  <c r="R41" i="8"/>
  <c r="B41" i="8"/>
  <c r="F40" i="8"/>
  <c r="J39" i="8"/>
  <c r="N38" i="8"/>
  <c r="R37" i="8"/>
  <c r="B37" i="8"/>
  <c r="F36" i="8"/>
  <c r="J35" i="8"/>
  <c r="N34" i="8"/>
  <c r="B34" i="8"/>
  <c r="L33" i="8"/>
  <c r="B33" i="8"/>
  <c r="J32" i="8"/>
  <c r="T31" i="8"/>
  <c r="J31" i="8"/>
  <c r="R30" i="8"/>
  <c r="H30" i="8"/>
  <c r="R29" i="8"/>
  <c r="F29" i="8"/>
  <c r="P28" i="8"/>
  <c r="F28" i="8"/>
  <c r="N27" i="8"/>
  <c r="D27" i="8"/>
  <c r="O26" i="8"/>
  <c r="F26" i="8"/>
  <c r="R25" i="8"/>
  <c r="J25" i="8"/>
  <c r="B25" i="8"/>
  <c r="N24" i="8"/>
  <c r="F24" i="8"/>
  <c r="R23" i="8"/>
  <c r="J23" i="8"/>
  <c r="B23" i="8"/>
  <c r="N22" i="8"/>
  <c r="F22" i="8"/>
  <c r="R21" i="8"/>
  <c r="J21" i="8"/>
  <c r="B21" i="8"/>
  <c r="N20" i="8"/>
  <c r="F20" i="8"/>
  <c r="R19" i="8"/>
  <c r="J19" i="8"/>
  <c r="B19" i="8"/>
  <c r="N18" i="8"/>
  <c r="F18" i="8"/>
  <c r="R17" i="8"/>
  <c r="J17" i="8"/>
  <c r="B17" i="8"/>
  <c r="N16" i="8"/>
  <c r="F16" i="8"/>
  <c r="R15" i="8"/>
  <c r="J15" i="8"/>
  <c r="B15" i="8"/>
  <c r="N14" i="8"/>
  <c r="F14" i="8"/>
  <c r="R13" i="8"/>
  <c r="J13" i="8"/>
  <c r="B13" i="8"/>
  <c r="N12" i="8"/>
  <c r="F12" i="8"/>
  <c r="R11" i="8"/>
  <c r="J11" i="8"/>
  <c r="B11" i="8"/>
  <c r="N10" i="8"/>
  <c r="F10" i="8"/>
  <c r="R9" i="8"/>
  <c r="J9" i="8"/>
  <c r="B9" i="8"/>
  <c r="N8" i="8"/>
  <c r="F8" i="8"/>
  <c r="R7" i="8"/>
  <c r="J7" i="8"/>
  <c r="B7" i="8"/>
  <c r="N131" i="8"/>
  <c r="J128" i="8"/>
  <c r="F125" i="8"/>
  <c r="B122" i="8"/>
  <c r="R118" i="8"/>
  <c r="N115" i="8"/>
  <c r="J112" i="8"/>
  <c r="F109" i="8"/>
  <c r="B106" i="8"/>
  <c r="R102" i="8"/>
  <c r="N99" i="8"/>
  <c r="J96" i="8"/>
  <c r="F93" i="8"/>
  <c r="B90" i="8"/>
  <c r="J87" i="8"/>
  <c r="H85" i="8"/>
  <c r="F83" i="8"/>
  <c r="H81" i="8"/>
  <c r="P79" i="8"/>
  <c r="D78" i="8"/>
  <c r="L76" i="8"/>
  <c r="T74" i="8"/>
  <c r="H73" i="8"/>
  <c r="P71" i="8"/>
  <c r="D70" i="8"/>
  <c r="L68" i="8"/>
  <c r="T66" i="8"/>
  <c r="H65" i="8"/>
  <c r="U63" i="8"/>
  <c r="T62" i="8"/>
  <c r="S61" i="8"/>
  <c r="Q60" i="8"/>
  <c r="P59" i="8"/>
  <c r="O58" i="8"/>
  <c r="P57" i="8"/>
  <c r="T56" i="8"/>
  <c r="D56" i="8"/>
  <c r="H55" i="8"/>
  <c r="L54" i="8"/>
  <c r="P53" i="8"/>
  <c r="T52" i="8"/>
  <c r="D52" i="8"/>
  <c r="H51" i="8"/>
  <c r="L50" i="8"/>
  <c r="P49" i="8"/>
  <c r="T48" i="8"/>
  <c r="D48" i="8"/>
  <c r="H47" i="8"/>
  <c r="L46" i="8"/>
  <c r="P45" i="8"/>
  <c r="T44" i="8"/>
  <c r="D44" i="8"/>
  <c r="H43" i="8"/>
  <c r="L42" i="8"/>
  <c r="P41" i="8"/>
  <c r="T40" i="8"/>
  <c r="D40" i="8"/>
  <c r="H39" i="8"/>
  <c r="L38" i="8"/>
  <c r="P37" i="8"/>
  <c r="T36" i="8"/>
  <c r="D36" i="8"/>
  <c r="H35" i="8"/>
  <c r="L34" i="8"/>
  <c r="U33" i="8"/>
  <c r="K33" i="8"/>
  <c r="T32" i="8"/>
  <c r="I32" i="8"/>
  <c r="S31" i="8"/>
  <c r="H31" i="8"/>
  <c r="Q30" i="8"/>
  <c r="G30" i="8"/>
  <c r="P29" i="8"/>
  <c r="E29" i="8"/>
  <c r="O28" i="8"/>
  <c r="D28" i="8"/>
  <c r="M27" i="8"/>
  <c r="C27" i="8"/>
  <c r="N26" i="8"/>
  <c r="E26" i="8"/>
  <c r="Q25" i="8"/>
  <c r="I25" i="8"/>
  <c r="U24" i="8"/>
  <c r="M24" i="8"/>
  <c r="E24" i="8"/>
  <c r="Q23" i="8"/>
  <c r="I23" i="8"/>
  <c r="U22" i="8"/>
  <c r="M22" i="8"/>
  <c r="E22" i="8"/>
  <c r="Q21" i="8"/>
  <c r="I21" i="8"/>
  <c r="U20" i="8"/>
  <c r="M20" i="8"/>
  <c r="E20" i="8"/>
  <c r="Q19" i="8"/>
  <c r="I19" i="8"/>
  <c r="U18" i="8"/>
  <c r="M18" i="8"/>
  <c r="E18" i="8"/>
  <c r="Q17" i="8"/>
  <c r="I17" i="8"/>
  <c r="U16" i="8"/>
  <c r="M16" i="8"/>
  <c r="E16" i="8"/>
  <c r="Q15" i="8"/>
  <c r="I15" i="8"/>
  <c r="U14" i="8"/>
  <c r="M14" i="8"/>
  <c r="E14" i="8"/>
  <c r="Q13" i="8"/>
  <c r="I13" i="8"/>
  <c r="U12" i="8"/>
  <c r="M12" i="8"/>
  <c r="E12" i="8"/>
  <c r="Q11" i="8"/>
  <c r="I11" i="8"/>
  <c r="U10" i="8"/>
  <c r="M10" i="8"/>
  <c r="E10" i="8"/>
  <c r="Q9" i="8"/>
  <c r="I9" i="8"/>
  <c r="U8" i="8"/>
  <c r="M8" i="8"/>
  <c r="E8" i="8"/>
  <c r="Q7" i="8"/>
  <c r="I7" i="8"/>
  <c r="D131" i="8"/>
  <c r="H130" i="8"/>
  <c r="D127" i="8"/>
  <c r="T123" i="8"/>
  <c r="P120" i="8"/>
  <c r="L117" i="8"/>
  <c r="H114" i="8"/>
  <c r="D111" i="8"/>
  <c r="T107" i="8"/>
  <c r="P104" i="8"/>
  <c r="L101" i="8"/>
  <c r="H98" i="8"/>
  <c r="D95" i="8"/>
  <c r="T91" i="8"/>
  <c r="P88" i="8"/>
  <c r="M86" i="8"/>
  <c r="K84" i="8"/>
  <c r="H82" i="8"/>
  <c r="O80" i="8"/>
  <c r="C79" i="8"/>
  <c r="K77" i="8"/>
  <c r="S75" i="8"/>
  <c r="G74" i="8"/>
  <c r="O72" i="8"/>
  <c r="C71" i="8"/>
  <c r="K69" i="8"/>
  <c r="S67" i="8"/>
  <c r="G66" i="8"/>
  <c r="O64" i="8"/>
  <c r="M63" i="8"/>
  <c r="L62" i="8"/>
  <c r="K61" i="8"/>
  <c r="I60" i="8"/>
  <c r="H59" i="8"/>
  <c r="G58" i="8"/>
  <c r="J57" i="8"/>
  <c r="N56" i="8"/>
  <c r="R55" i="8"/>
  <c r="B55" i="8"/>
  <c r="F54" i="8"/>
  <c r="J53" i="8"/>
  <c r="N52" i="8"/>
  <c r="R51" i="8"/>
  <c r="B51" i="8"/>
  <c r="F50" i="8"/>
  <c r="J49" i="8"/>
  <c r="N48" i="8"/>
  <c r="R47" i="8"/>
  <c r="B47" i="8"/>
  <c r="F46" i="8"/>
  <c r="J45" i="8"/>
  <c r="N44" i="8"/>
  <c r="R43" i="8"/>
  <c r="B43" i="8"/>
  <c r="F42" i="8"/>
  <c r="J41" i="8"/>
  <c r="N40" i="8"/>
  <c r="R39" i="8"/>
  <c r="B39" i="8"/>
  <c r="F38" i="8"/>
  <c r="J37" i="8"/>
  <c r="N36" i="8"/>
  <c r="R35" i="8"/>
  <c r="B35" i="8"/>
  <c r="H34" i="8"/>
  <c r="R33" i="8"/>
  <c r="F33" i="8"/>
  <c r="P32" i="8"/>
  <c r="F32" i="8"/>
  <c r="N31" i="8"/>
  <c r="D31" i="8"/>
  <c r="N30" i="8"/>
  <c r="B30" i="8"/>
  <c r="L29" i="8"/>
  <c r="B29" i="8"/>
  <c r="J28" i="8"/>
  <c r="T27" i="8"/>
  <c r="J27" i="8"/>
  <c r="S26" i="8"/>
  <c r="J26" i="8"/>
  <c r="B26" i="8"/>
  <c r="N25" i="8"/>
  <c r="F25" i="8"/>
  <c r="R24" i="8"/>
  <c r="J24" i="8"/>
  <c r="B24" i="8"/>
  <c r="N23" i="8"/>
  <c r="F23" i="8"/>
  <c r="R22" i="8"/>
  <c r="J22" i="8"/>
  <c r="B22" i="8"/>
  <c r="N21" i="8"/>
  <c r="F21" i="8"/>
  <c r="R20" i="8"/>
  <c r="J20" i="8"/>
  <c r="B20" i="8"/>
  <c r="N19" i="8"/>
  <c r="F19" i="8"/>
  <c r="R18" i="8"/>
  <c r="J18" i="8"/>
  <c r="B18" i="8"/>
  <c r="N17" i="8"/>
  <c r="F17" i="8"/>
  <c r="R16" i="8"/>
  <c r="J16" i="8"/>
  <c r="B16" i="8"/>
  <c r="N15" i="8"/>
  <c r="F15" i="8"/>
  <c r="R14" i="8"/>
  <c r="J14" i="8"/>
  <c r="B14" i="8"/>
  <c r="N13" i="8"/>
  <c r="F13" i="8"/>
  <c r="R12" i="8"/>
  <c r="J12" i="8"/>
  <c r="B12" i="8"/>
  <c r="N11" i="8"/>
  <c r="F11" i="8"/>
  <c r="R10" i="8"/>
  <c r="J10" i="8"/>
  <c r="B10" i="8"/>
  <c r="N9" i="8"/>
  <c r="F9" i="8"/>
  <c r="R8" i="8"/>
  <c r="J8" i="8"/>
  <c r="B8" i="8"/>
  <c r="N7" i="8"/>
  <c r="F7" i="8"/>
  <c r="L129" i="8"/>
  <c r="H126" i="8"/>
  <c r="D123" i="8"/>
  <c r="T119" i="8"/>
  <c r="P116" i="8"/>
  <c r="L113" i="8"/>
  <c r="H110" i="8"/>
  <c r="D107" i="8"/>
  <c r="T103" i="8"/>
  <c r="P100" i="8"/>
  <c r="L97" i="8"/>
  <c r="H94" i="8"/>
  <c r="D91" i="8"/>
  <c r="E88" i="8"/>
  <c r="C86" i="8"/>
  <c r="T83" i="8"/>
  <c r="S81" i="8"/>
  <c r="G80" i="8"/>
  <c r="O78" i="8"/>
  <c r="C77" i="8"/>
  <c r="K75" i="8"/>
  <c r="S73" i="8"/>
  <c r="G72" i="8"/>
  <c r="O70" i="8"/>
  <c r="C69" i="8"/>
  <c r="K67" i="8"/>
  <c r="S65" i="8"/>
  <c r="I64" i="8"/>
  <c r="H63" i="8"/>
  <c r="G62" i="8"/>
  <c r="E61" i="8"/>
  <c r="D60" i="8"/>
  <c r="C59" i="8"/>
  <c r="B58" i="8"/>
  <c r="F57" i="8"/>
  <c r="J56" i="8"/>
  <c r="N55" i="8"/>
  <c r="R54" i="8"/>
  <c r="B54" i="8"/>
  <c r="F53" i="8"/>
  <c r="J52" i="8"/>
  <c r="N51" i="8"/>
  <c r="R50" i="8"/>
  <c r="B50" i="8"/>
  <c r="F49" i="8"/>
  <c r="J48" i="8"/>
  <c r="N47" i="8"/>
  <c r="R46" i="8"/>
  <c r="B46" i="8"/>
  <c r="F45" i="8"/>
  <c r="J44" i="8"/>
  <c r="N43" i="8"/>
  <c r="R42" i="8"/>
  <c r="B42" i="8"/>
  <c r="F41" i="8"/>
  <c r="J40" i="8"/>
  <c r="N39" i="8"/>
  <c r="R38" i="8"/>
  <c r="B38" i="8"/>
  <c r="F37" i="8"/>
  <c r="J36" i="8"/>
  <c r="N35" i="8"/>
  <c r="R34" i="8"/>
  <c r="F34" i="8"/>
  <c r="N33" i="8"/>
  <c r="D33" i="8"/>
  <c r="N32" i="8"/>
  <c r="B32" i="8"/>
  <c r="L31" i="8"/>
  <c r="B31" i="8"/>
  <c r="J30" i="8"/>
  <c r="T29" i="8"/>
  <c r="J29" i="8"/>
  <c r="R28" i="8"/>
  <c r="H28" i="8"/>
  <c r="R27" i="8"/>
  <c r="F27" i="8"/>
  <c r="Q26" i="8"/>
  <c r="H26" i="8"/>
  <c r="T25" i="8"/>
  <c r="L25" i="8"/>
  <c r="D25" i="8"/>
  <c r="P24" i="8"/>
  <c r="H24" i="8"/>
  <c r="T23" i="8"/>
  <c r="L23" i="8"/>
  <c r="D23" i="8"/>
  <c r="P22" i="8"/>
  <c r="H22" i="8"/>
  <c r="T21" i="8"/>
  <c r="L21" i="8"/>
  <c r="D21" i="8"/>
  <c r="P20" i="8"/>
  <c r="H20" i="8"/>
  <c r="T19" i="8"/>
  <c r="L19" i="8"/>
  <c r="D19" i="8"/>
  <c r="P18" i="8"/>
  <c r="H18" i="8"/>
  <c r="T17" i="8"/>
  <c r="L17" i="8"/>
  <c r="D17" i="8"/>
  <c r="P16" i="8"/>
  <c r="H16" i="8"/>
  <c r="T15" i="8"/>
  <c r="L15" i="8"/>
  <c r="D15" i="8"/>
  <c r="P14" i="8"/>
  <c r="H14" i="8"/>
  <c r="T13" i="8"/>
  <c r="L13" i="8"/>
  <c r="D13" i="8"/>
  <c r="P12" i="8"/>
  <c r="H12" i="8"/>
  <c r="T11" i="8"/>
  <c r="L11" i="8"/>
  <c r="D11" i="8"/>
  <c r="P10" i="8"/>
  <c r="H10" i="8"/>
  <c r="T9" i="8"/>
  <c r="L9" i="8"/>
  <c r="D9" i="8"/>
  <c r="P8" i="8"/>
  <c r="H8" i="8"/>
  <c r="T7" i="8"/>
  <c r="L7" i="8"/>
  <c r="D7" i="8"/>
  <c r="N130" i="8"/>
  <c r="F124" i="8"/>
  <c r="R117" i="8"/>
  <c r="J111" i="8"/>
  <c r="B105" i="8"/>
  <c r="N98" i="8"/>
  <c r="F92" i="8"/>
  <c r="R86" i="8"/>
  <c r="L82" i="8"/>
  <c r="F79" i="8"/>
  <c r="B76" i="8"/>
  <c r="R72" i="8"/>
  <c r="N69" i="8"/>
  <c r="J66" i="8"/>
  <c r="N63" i="8"/>
  <c r="L61" i="8"/>
  <c r="J59" i="8"/>
  <c r="K57" i="8"/>
  <c r="S55" i="8"/>
  <c r="G54" i="8"/>
  <c r="O52" i="8"/>
  <c r="C51" i="8"/>
  <c r="K49" i="8"/>
  <c r="S47" i="8"/>
  <c r="G46" i="8"/>
  <c r="O44" i="8"/>
  <c r="C43" i="8"/>
  <c r="K41" i="8"/>
  <c r="S39" i="8"/>
  <c r="G38" i="8"/>
  <c r="O36" i="8"/>
  <c r="C35" i="8"/>
  <c r="S33" i="8"/>
  <c r="Q32" i="8"/>
  <c r="P31" i="8"/>
  <c r="O30" i="8"/>
  <c r="M29" i="8"/>
  <c r="L28" i="8"/>
  <c r="K27" i="8"/>
  <c r="K26" i="8"/>
  <c r="O25" i="8"/>
  <c r="S24" i="8"/>
  <c r="C24" i="8"/>
  <c r="G23" i="8"/>
  <c r="K22" i="8"/>
  <c r="O21" i="8"/>
  <c r="S20" i="8"/>
  <c r="C20" i="8"/>
  <c r="G19" i="8"/>
  <c r="K18" i="8"/>
  <c r="O17" i="8"/>
  <c r="S16" i="8"/>
  <c r="C16" i="8"/>
  <c r="G15" i="8"/>
  <c r="K14" i="8"/>
  <c r="O13" i="8"/>
  <c r="S12" i="8"/>
  <c r="C12" i="8"/>
  <c r="G11" i="8"/>
  <c r="K10" i="8"/>
  <c r="O9" i="8"/>
  <c r="S8" i="8"/>
  <c r="C8" i="8"/>
  <c r="G7" i="8"/>
  <c r="N122" i="8"/>
  <c r="R109" i="8"/>
  <c r="J103" i="8"/>
  <c r="B97" i="8"/>
  <c r="P85" i="8"/>
  <c r="J78" i="8"/>
  <c r="B72" i="8"/>
  <c r="N65" i="8"/>
  <c r="B61" i="8"/>
  <c r="C57" i="8"/>
  <c r="S53" i="8"/>
  <c r="O50" i="8"/>
  <c r="K47" i="8"/>
  <c r="G44" i="8"/>
  <c r="C41" i="8"/>
  <c r="S37" i="8"/>
  <c r="O34" i="8"/>
  <c r="K31" i="8"/>
  <c r="H29" i="8"/>
  <c r="E27" i="8"/>
  <c r="K25" i="8"/>
  <c r="S23" i="8"/>
  <c r="C23" i="8"/>
  <c r="K21" i="8"/>
  <c r="S19" i="8"/>
  <c r="G18" i="8"/>
  <c r="S15" i="8"/>
  <c r="C15" i="8"/>
  <c r="K13" i="8"/>
  <c r="S11" i="8"/>
  <c r="G10" i="8"/>
  <c r="O8" i="8"/>
  <c r="C7" i="8"/>
  <c r="L121" i="8"/>
  <c r="T95" i="8"/>
  <c r="U84" i="8"/>
  <c r="S77" i="8"/>
  <c r="K71" i="8"/>
  <c r="C65" i="8"/>
  <c r="O60" i="8"/>
  <c r="F55" i="8"/>
  <c r="J50" i="8"/>
  <c r="B44" i="8"/>
  <c r="N37" i="8"/>
  <c r="J33" i="8"/>
  <c r="D29" i="8"/>
  <c r="H25" i="8"/>
  <c r="D22" i="8"/>
  <c r="T18" i="8"/>
  <c r="T14" i="8"/>
  <c r="T10" i="8"/>
  <c r="P7" i="8"/>
  <c r="B130" i="8"/>
  <c r="N123" i="8"/>
  <c r="F117" i="8"/>
  <c r="R110" i="8"/>
  <c r="J104" i="8"/>
  <c r="B98" i="8"/>
  <c r="N91" i="8"/>
  <c r="J86" i="8"/>
  <c r="D82" i="8"/>
  <c r="T78" i="8"/>
  <c r="P75" i="8"/>
  <c r="L72" i="8"/>
  <c r="H69" i="8"/>
  <c r="D66" i="8"/>
  <c r="K63" i="8"/>
  <c r="H61" i="8"/>
  <c r="E59" i="8"/>
  <c r="H57" i="8"/>
  <c r="P55" i="8"/>
  <c r="D54" i="8"/>
  <c r="L52" i="8"/>
  <c r="T50" i="8"/>
  <c r="H49" i="8"/>
  <c r="P47" i="8"/>
  <c r="D46" i="8"/>
  <c r="L44" i="8"/>
  <c r="T42" i="8"/>
  <c r="H41" i="8"/>
  <c r="P39" i="8"/>
  <c r="D38" i="8"/>
  <c r="L36" i="8"/>
  <c r="T34" i="8"/>
  <c r="P33" i="8"/>
  <c r="O32" i="8"/>
  <c r="M31" i="8"/>
  <c r="L30" i="8"/>
  <c r="K29" i="8"/>
  <c r="I28" i="8"/>
  <c r="H27" i="8"/>
  <c r="I26" i="8"/>
  <c r="M25" i="8"/>
  <c r="Q24" i="8"/>
  <c r="U23" i="8"/>
  <c r="E23" i="8"/>
  <c r="I22" i="8"/>
  <c r="M21" i="8"/>
  <c r="Q20" i="8"/>
  <c r="U19" i="8"/>
  <c r="E19" i="8"/>
  <c r="I18" i="8"/>
  <c r="M17" i="8"/>
  <c r="Q16" i="8"/>
  <c r="U15" i="8"/>
  <c r="E15" i="8"/>
  <c r="I14" i="8"/>
  <c r="M13" i="8"/>
  <c r="Q12" i="8"/>
  <c r="U11" i="8"/>
  <c r="E11" i="8"/>
  <c r="I10" i="8"/>
  <c r="M9" i="8"/>
  <c r="Q8" i="8"/>
  <c r="U7" i="8"/>
  <c r="E7" i="8"/>
  <c r="F116" i="8"/>
  <c r="N90" i="8"/>
  <c r="N81" i="8"/>
  <c r="F75" i="8"/>
  <c r="R68" i="8"/>
  <c r="D63" i="8"/>
  <c r="R58" i="8"/>
  <c r="K55" i="8"/>
  <c r="G52" i="8"/>
  <c r="C49" i="8"/>
  <c r="S45" i="8"/>
  <c r="O42" i="8"/>
  <c r="K39" i="8"/>
  <c r="G36" i="8"/>
  <c r="M33" i="8"/>
  <c r="L32" i="8"/>
  <c r="I30" i="8"/>
  <c r="G28" i="8"/>
  <c r="G26" i="8"/>
  <c r="O24" i="8"/>
  <c r="G22" i="8"/>
  <c r="O20" i="8"/>
  <c r="C19" i="8"/>
  <c r="K17" i="8"/>
  <c r="O16" i="8"/>
  <c r="G14" i="8"/>
  <c r="O12" i="8"/>
  <c r="C11" i="8"/>
  <c r="K9" i="8"/>
  <c r="S7" i="8"/>
  <c r="T127" i="8"/>
  <c r="H102" i="8"/>
  <c r="L89" i="8"/>
  <c r="C81" i="8"/>
  <c r="O74" i="8"/>
  <c r="G68" i="8"/>
  <c r="Q62" i="8"/>
  <c r="L58" i="8"/>
  <c r="B52" i="8"/>
  <c r="F47" i="8"/>
  <c r="R40" i="8"/>
  <c r="H32" i="8"/>
  <c r="B27" i="8"/>
  <c r="T22" i="8"/>
  <c r="P19" i="8"/>
  <c r="L16" i="8"/>
  <c r="H13" i="8"/>
  <c r="D10" i="8"/>
  <c r="B129" i="8"/>
  <c r="J127" i="8"/>
  <c r="B121" i="8"/>
  <c r="N114" i="8"/>
  <c r="F108" i="8"/>
  <c r="R101" i="8"/>
  <c r="J95" i="8"/>
  <c r="B89" i="8"/>
  <c r="N84" i="8"/>
  <c r="R80" i="8"/>
  <c r="N77" i="8"/>
  <c r="J74" i="8"/>
  <c r="F71" i="8"/>
  <c r="B68" i="8"/>
  <c r="R64" i="8"/>
  <c r="N62" i="8"/>
  <c r="J60" i="8"/>
  <c r="H58" i="8"/>
  <c r="O56" i="8"/>
  <c r="C55" i="8"/>
  <c r="K53" i="8"/>
  <c r="S51" i="8"/>
  <c r="G50" i="8"/>
  <c r="O48" i="8"/>
  <c r="C47" i="8"/>
  <c r="K45" i="8"/>
  <c r="S43" i="8"/>
  <c r="G42" i="8"/>
  <c r="O40" i="8"/>
  <c r="C39" i="8"/>
  <c r="K37" i="8"/>
  <c r="S35" i="8"/>
  <c r="I34" i="8"/>
  <c r="H33" i="8"/>
  <c r="G32" i="8"/>
  <c r="E31" i="8"/>
  <c r="D30" i="8"/>
  <c r="C29" i="8"/>
  <c r="U27" i="8"/>
  <c r="T26" i="8"/>
  <c r="C26" i="8"/>
  <c r="G25" i="8"/>
  <c r="K24" i="8"/>
  <c r="O23" i="8"/>
  <c r="S22" i="8"/>
  <c r="C22" i="8"/>
  <c r="G21" i="8"/>
  <c r="K20" i="8"/>
  <c r="O19" i="8"/>
  <c r="S18" i="8"/>
  <c r="C18" i="8"/>
  <c r="G17" i="8"/>
  <c r="K16" i="8"/>
  <c r="O15" i="8"/>
  <c r="S14" i="8"/>
  <c r="C14" i="8"/>
  <c r="G13" i="8"/>
  <c r="K12" i="8"/>
  <c r="O11" i="8"/>
  <c r="S10" i="8"/>
  <c r="C10" i="8"/>
  <c r="G9" i="8"/>
  <c r="K8" i="8"/>
  <c r="O7" i="8"/>
  <c r="R126" i="8"/>
  <c r="J120" i="8"/>
  <c r="B114" i="8"/>
  <c r="N107" i="8"/>
  <c r="F101" i="8"/>
  <c r="R94" i="8"/>
  <c r="L88" i="8"/>
  <c r="F84" i="8"/>
  <c r="L80" i="8"/>
  <c r="H77" i="8"/>
  <c r="D74" i="8"/>
  <c r="T70" i="8"/>
  <c r="P67" i="8"/>
  <c r="L64" i="8"/>
  <c r="I62" i="8"/>
  <c r="G60" i="8"/>
  <c r="E58" i="8"/>
  <c r="L56" i="8"/>
  <c r="T54" i="8"/>
  <c r="H53" i="8"/>
  <c r="P51" i="8"/>
  <c r="D50" i="8"/>
  <c r="L48" i="8"/>
  <c r="T46" i="8"/>
  <c r="H45" i="8"/>
  <c r="P43" i="8"/>
  <c r="D42" i="8"/>
  <c r="L40" i="8"/>
  <c r="T38" i="8"/>
  <c r="H37" i="8"/>
  <c r="P35" i="8"/>
  <c r="G34" i="8"/>
  <c r="E33" i="8"/>
  <c r="D32" i="8"/>
  <c r="C31" i="8"/>
  <c r="U29" i="8"/>
  <c r="T28" i="8"/>
  <c r="S27" i="8"/>
  <c r="R26" i="8"/>
  <c r="U25" i="8"/>
  <c r="E25" i="8"/>
  <c r="I24" i="8"/>
  <c r="M23" i="8"/>
  <c r="Q22" i="8"/>
  <c r="U21" i="8"/>
  <c r="E21" i="8"/>
  <c r="I20" i="8"/>
  <c r="M19" i="8"/>
  <c r="Q18" i="8"/>
  <c r="U17" i="8"/>
  <c r="E17" i="8"/>
  <c r="I16" i="8"/>
  <c r="M15" i="8"/>
  <c r="Q14" i="8"/>
  <c r="U13" i="8"/>
  <c r="E13" i="8"/>
  <c r="I12" i="8"/>
  <c r="M11" i="8"/>
  <c r="Q10" i="8"/>
  <c r="U9" i="8"/>
  <c r="E9" i="8"/>
  <c r="I8" i="8"/>
  <c r="M7" i="8"/>
  <c r="D115" i="8"/>
  <c r="R56" i="8"/>
  <c r="R48" i="8"/>
  <c r="J42" i="8"/>
  <c r="B36" i="8"/>
  <c r="F31" i="8"/>
  <c r="D26" i="8"/>
  <c r="P23" i="8"/>
  <c r="L20" i="8"/>
  <c r="H17" i="8"/>
  <c r="D14" i="8"/>
  <c r="P11" i="8"/>
  <c r="L8" i="8"/>
  <c r="R125" i="8"/>
  <c r="J119" i="8"/>
  <c r="B113" i="8"/>
  <c r="N106" i="8"/>
  <c r="F100" i="8"/>
  <c r="R93" i="8"/>
  <c r="R87" i="8"/>
  <c r="N83" i="8"/>
  <c r="B80" i="8"/>
  <c r="R76" i="8"/>
  <c r="N73" i="8"/>
  <c r="J70" i="8"/>
  <c r="F67" i="8"/>
  <c r="F64" i="8"/>
  <c r="B62" i="8"/>
  <c r="T59" i="8"/>
  <c r="S57" i="8"/>
  <c r="G56" i="8"/>
  <c r="O54" i="8"/>
  <c r="C53" i="8"/>
  <c r="K51" i="8"/>
  <c r="S49" i="8"/>
  <c r="G48" i="8"/>
  <c r="O46" i="8"/>
  <c r="C45" i="8"/>
  <c r="K43" i="8"/>
  <c r="S41" i="8"/>
  <c r="G40" i="8"/>
  <c r="O38" i="8"/>
  <c r="C37" i="8"/>
  <c r="K35" i="8"/>
  <c r="D34" i="8"/>
  <c r="C33" i="8"/>
  <c r="U31" i="8"/>
  <c r="T30" i="8"/>
  <c r="S29" i="8"/>
  <c r="Q28" i="8"/>
  <c r="P27" i="8"/>
  <c r="P26" i="8"/>
  <c r="S25" i="8"/>
  <c r="C25" i="8"/>
  <c r="G24" i="8"/>
  <c r="K23" i="8"/>
  <c r="O22" i="8"/>
  <c r="S21" i="8"/>
  <c r="C21" i="8"/>
  <c r="G20" i="8"/>
  <c r="K19" i="8"/>
  <c r="O18" i="8"/>
  <c r="S17" i="8"/>
  <c r="C17" i="8"/>
  <c r="G16" i="8"/>
  <c r="K15" i="8"/>
  <c r="O14" i="8"/>
  <c r="S13" i="8"/>
  <c r="C13" i="8"/>
  <c r="G12" i="8"/>
  <c r="K11" i="8"/>
  <c r="O10" i="8"/>
  <c r="S9" i="8"/>
  <c r="C9" i="8"/>
  <c r="G8" i="8"/>
  <c r="K7" i="8"/>
  <c r="P124" i="8"/>
  <c r="H118" i="8"/>
  <c r="T111" i="8"/>
  <c r="L105" i="8"/>
  <c r="D99" i="8"/>
  <c r="P92" i="8"/>
  <c r="D87" i="8"/>
  <c r="S82" i="8"/>
  <c r="K79" i="8"/>
  <c r="G76" i="8"/>
  <c r="C73" i="8"/>
  <c r="S69" i="8"/>
  <c r="O66" i="8"/>
  <c r="S63" i="8"/>
  <c r="P61" i="8"/>
  <c r="M59" i="8"/>
  <c r="N57" i="8"/>
  <c r="B56" i="8"/>
  <c r="J54" i="8"/>
  <c r="R52" i="8"/>
  <c r="F51" i="8"/>
  <c r="N49" i="8"/>
  <c r="B48" i="8"/>
  <c r="J46" i="8"/>
  <c r="R44" i="8"/>
  <c r="F43" i="8"/>
  <c r="N41" i="8"/>
  <c r="B40" i="8"/>
  <c r="J38" i="8"/>
  <c r="R36" i="8"/>
  <c r="F35" i="8"/>
  <c r="T33" i="8"/>
  <c r="R32" i="8"/>
  <c r="R31" i="8"/>
  <c r="P30" i="8"/>
  <c r="N29" i="8"/>
  <c r="N28" i="8"/>
  <c r="L27" i="8"/>
  <c r="L26" i="8"/>
  <c r="P25" i="8"/>
  <c r="T24" i="8"/>
  <c r="D24" i="8"/>
  <c r="H23" i="8"/>
  <c r="L22" i="8"/>
  <c r="P21" i="8"/>
  <c r="T20" i="8"/>
  <c r="D20" i="8"/>
  <c r="H19" i="8"/>
  <c r="L18" i="8"/>
  <c r="P17" i="8"/>
  <c r="T16" i="8"/>
  <c r="D16" i="8"/>
  <c r="H15" i="8"/>
  <c r="L14" i="8"/>
  <c r="P13" i="8"/>
  <c r="T12" i="8"/>
  <c r="D12" i="8"/>
  <c r="H11" i="8"/>
  <c r="L10" i="8"/>
  <c r="P9" i="8"/>
  <c r="T8" i="8"/>
  <c r="D8" i="8"/>
  <c r="H7" i="8"/>
  <c r="P108" i="8"/>
  <c r="N53" i="8"/>
  <c r="N45" i="8"/>
  <c r="F39" i="8"/>
  <c r="J34" i="8"/>
  <c r="F30" i="8"/>
  <c r="B28" i="8"/>
  <c r="L24" i="8"/>
  <c r="H21" i="8"/>
  <c r="D18" i="8"/>
  <c r="P15" i="8"/>
  <c r="L12" i="8"/>
  <c r="H9" i="8"/>
  <c r="U132" i="7"/>
  <c r="M132" i="7"/>
  <c r="E132" i="7"/>
  <c r="Q131" i="7"/>
  <c r="I131" i="7"/>
  <c r="U130" i="7"/>
  <c r="M130" i="7"/>
  <c r="E130" i="7"/>
  <c r="Q129" i="7"/>
  <c r="I129" i="7"/>
  <c r="U128" i="7"/>
  <c r="M128" i="7"/>
  <c r="E128" i="7"/>
  <c r="Q127" i="7"/>
  <c r="I127" i="7"/>
  <c r="U126" i="7"/>
  <c r="M126" i="7"/>
  <c r="E126" i="7"/>
  <c r="Q125" i="7"/>
  <c r="I125" i="7"/>
  <c r="U124" i="7"/>
  <c r="M124" i="7"/>
  <c r="E124" i="7"/>
  <c r="Q123" i="7"/>
  <c r="I123" i="7"/>
  <c r="U122" i="7"/>
  <c r="M122" i="7"/>
  <c r="E122" i="7"/>
  <c r="Q121" i="7"/>
  <c r="I121" i="7"/>
  <c r="U120" i="7"/>
  <c r="M120" i="7"/>
  <c r="E120" i="7"/>
  <c r="Q119" i="7"/>
  <c r="I119" i="7"/>
  <c r="U118" i="7"/>
  <c r="M118" i="7"/>
  <c r="E118" i="7"/>
  <c r="Q117" i="7"/>
  <c r="I117" i="7"/>
  <c r="U116" i="7"/>
  <c r="M116" i="7"/>
  <c r="E116" i="7"/>
  <c r="Q115" i="7"/>
  <c r="I115" i="7"/>
  <c r="U114" i="7"/>
  <c r="M114" i="7"/>
  <c r="E114" i="7"/>
  <c r="Q113" i="7"/>
  <c r="I113" i="7"/>
  <c r="U112" i="7"/>
  <c r="M112" i="7"/>
  <c r="E112" i="7"/>
  <c r="Q111" i="7"/>
  <c r="I111" i="7"/>
  <c r="U110" i="7"/>
  <c r="M110" i="7"/>
  <c r="E110" i="7"/>
  <c r="Q109" i="7"/>
  <c r="I109" i="7"/>
  <c r="U108" i="7"/>
  <c r="M108" i="7"/>
  <c r="E108" i="7"/>
  <c r="Q107" i="7"/>
  <c r="I107" i="7"/>
  <c r="U106" i="7"/>
  <c r="M106" i="7"/>
  <c r="E106" i="7"/>
  <c r="Q105" i="7"/>
  <c r="I105" i="7"/>
  <c r="U104" i="7"/>
  <c r="M104" i="7"/>
  <c r="E104" i="7"/>
  <c r="Q103" i="7"/>
  <c r="I103" i="7"/>
  <c r="U102" i="7"/>
  <c r="M102" i="7"/>
  <c r="E102" i="7"/>
  <c r="Q101" i="7"/>
  <c r="I101" i="7"/>
  <c r="U100" i="7"/>
  <c r="M100" i="7"/>
  <c r="E100" i="7"/>
  <c r="Q99" i="7"/>
  <c r="I99" i="7"/>
  <c r="U98" i="7"/>
  <c r="M98" i="7"/>
  <c r="E98" i="7"/>
  <c r="Q97" i="7"/>
  <c r="I97" i="7"/>
  <c r="U96" i="7"/>
  <c r="M96" i="7"/>
  <c r="E96" i="7"/>
  <c r="Q95" i="7"/>
  <c r="I95" i="7"/>
  <c r="U94" i="7"/>
  <c r="M94" i="7"/>
  <c r="E94" i="7"/>
  <c r="Q93" i="7"/>
  <c r="I93" i="7"/>
  <c r="U92" i="7"/>
  <c r="M92" i="7"/>
  <c r="E92" i="7"/>
  <c r="Q91" i="7"/>
  <c r="I91" i="7"/>
  <c r="U90" i="7"/>
  <c r="M90" i="7"/>
  <c r="E90" i="7"/>
  <c r="Q89" i="7"/>
  <c r="I89" i="7"/>
  <c r="U88" i="7"/>
  <c r="M88" i="7"/>
  <c r="E88" i="7"/>
  <c r="Q87" i="7"/>
  <c r="I87" i="7"/>
  <c r="U86" i="7"/>
  <c r="M86" i="7"/>
  <c r="E86" i="7"/>
  <c r="Q85" i="7"/>
  <c r="I85" i="7"/>
  <c r="U84" i="7"/>
  <c r="M84" i="7"/>
  <c r="E84" i="7"/>
  <c r="Q83" i="7"/>
  <c r="I83" i="7"/>
  <c r="U82" i="7"/>
  <c r="M82" i="7"/>
  <c r="S132" i="7"/>
  <c r="K132" i="7"/>
  <c r="C132" i="7"/>
  <c r="O131" i="7"/>
  <c r="G131" i="7"/>
  <c r="S130" i="7"/>
  <c r="K130" i="7"/>
  <c r="C130" i="7"/>
  <c r="O129" i="7"/>
  <c r="G129" i="7"/>
  <c r="S128" i="7"/>
  <c r="K128" i="7"/>
  <c r="C128" i="7"/>
  <c r="O127" i="7"/>
  <c r="G127" i="7"/>
  <c r="S126" i="7"/>
  <c r="K126" i="7"/>
  <c r="C126" i="7"/>
  <c r="O125" i="7"/>
  <c r="G125" i="7"/>
  <c r="S124" i="7"/>
  <c r="K124" i="7"/>
  <c r="C124" i="7"/>
  <c r="O123" i="7"/>
  <c r="G123" i="7"/>
  <c r="S122" i="7"/>
  <c r="K122" i="7"/>
  <c r="C122" i="7"/>
  <c r="O121" i="7"/>
  <c r="G121" i="7"/>
  <c r="S120" i="7"/>
  <c r="K120" i="7"/>
  <c r="C120" i="7"/>
  <c r="O119" i="7"/>
  <c r="G119" i="7"/>
  <c r="S118" i="7"/>
  <c r="K118" i="7"/>
  <c r="C118" i="7"/>
  <c r="O117" i="7"/>
  <c r="G117" i="7"/>
  <c r="S116" i="7"/>
  <c r="K116" i="7"/>
  <c r="C116" i="7"/>
  <c r="O115" i="7"/>
  <c r="G115" i="7"/>
  <c r="S114" i="7"/>
  <c r="K114" i="7"/>
  <c r="C114" i="7"/>
  <c r="O113" i="7"/>
  <c r="G113" i="7"/>
  <c r="S112" i="7"/>
  <c r="K112" i="7"/>
  <c r="C112" i="7"/>
  <c r="O111" i="7"/>
  <c r="G111" i="7"/>
  <c r="S110" i="7"/>
  <c r="K110" i="7"/>
  <c r="C110" i="7"/>
  <c r="O109" i="7"/>
  <c r="G109" i="7"/>
  <c r="S108" i="7"/>
  <c r="K108" i="7"/>
  <c r="C108" i="7"/>
  <c r="O107" i="7"/>
  <c r="G107" i="7"/>
  <c r="S106" i="7"/>
  <c r="K106" i="7"/>
  <c r="C106" i="7"/>
  <c r="O105" i="7"/>
  <c r="G105" i="7"/>
  <c r="S104" i="7"/>
  <c r="K104" i="7"/>
  <c r="C104" i="7"/>
  <c r="O103" i="7"/>
  <c r="G103" i="7"/>
  <c r="S102" i="7"/>
  <c r="K102" i="7"/>
  <c r="C102" i="7"/>
  <c r="O101" i="7"/>
  <c r="G101" i="7"/>
  <c r="S100" i="7"/>
  <c r="K100" i="7"/>
  <c r="C100" i="7"/>
  <c r="O99" i="7"/>
  <c r="G99" i="7"/>
  <c r="S98" i="7"/>
  <c r="K98" i="7"/>
  <c r="C98" i="7"/>
  <c r="O97" i="7"/>
  <c r="G97" i="7"/>
  <c r="S96" i="7"/>
  <c r="K96" i="7"/>
  <c r="C96" i="7"/>
  <c r="O95" i="7"/>
  <c r="G95" i="7"/>
  <c r="S94" i="7"/>
  <c r="K94" i="7"/>
  <c r="C94" i="7"/>
  <c r="O93" i="7"/>
  <c r="G93" i="7"/>
  <c r="S92" i="7"/>
  <c r="K92" i="7"/>
  <c r="C92" i="7"/>
  <c r="O91" i="7"/>
  <c r="G91" i="7"/>
  <c r="S90" i="7"/>
  <c r="K90" i="7"/>
  <c r="C90" i="7"/>
  <c r="O89" i="7"/>
  <c r="G89" i="7"/>
  <c r="S88" i="7"/>
  <c r="K88" i="7"/>
  <c r="C88" i="7"/>
  <c r="O87" i="7"/>
  <c r="G87" i="7"/>
  <c r="S86" i="7"/>
  <c r="K86" i="7"/>
  <c r="C86" i="7"/>
  <c r="O85" i="7"/>
  <c r="G85" i="7"/>
  <c r="S84" i="7"/>
  <c r="K84" i="7"/>
  <c r="C84" i="7"/>
  <c r="O83" i="7"/>
  <c r="G83" i="7"/>
  <c r="S82" i="7"/>
  <c r="K82" i="7"/>
  <c r="Q132" i="7"/>
  <c r="I132" i="7"/>
  <c r="U131" i="7"/>
  <c r="M131" i="7"/>
  <c r="E131" i="7"/>
  <c r="Q130" i="7"/>
  <c r="I130" i="7"/>
  <c r="U129" i="7"/>
  <c r="M129" i="7"/>
  <c r="E129" i="7"/>
  <c r="Q128" i="7"/>
  <c r="I128" i="7"/>
  <c r="U127" i="7"/>
  <c r="M127" i="7"/>
  <c r="E127" i="7"/>
  <c r="Q126" i="7"/>
  <c r="I126" i="7"/>
  <c r="U125" i="7"/>
  <c r="M125" i="7"/>
  <c r="E125" i="7"/>
  <c r="Q124" i="7"/>
  <c r="I124" i="7"/>
  <c r="U123" i="7"/>
  <c r="M123" i="7"/>
  <c r="E123" i="7"/>
  <c r="Q122" i="7"/>
  <c r="I122" i="7"/>
  <c r="U121" i="7"/>
  <c r="M121" i="7"/>
  <c r="E121" i="7"/>
  <c r="Q120" i="7"/>
  <c r="I120" i="7"/>
  <c r="U119" i="7"/>
  <c r="M119" i="7"/>
  <c r="E119" i="7"/>
  <c r="Q118" i="7"/>
  <c r="I118" i="7"/>
  <c r="U117" i="7"/>
  <c r="M117" i="7"/>
  <c r="E117" i="7"/>
  <c r="Q116" i="7"/>
  <c r="I116" i="7"/>
  <c r="U115" i="7"/>
  <c r="M115" i="7"/>
  <c r="E115" i="7"/>
  <c r="Q114" i="7"/>
  <c r="I114" i="7"/>
  <c r="U113" i="7"/>
  <c r="M113" i="7"/>
  <c r="E113" i="7"/>
  <c r="Q112" i="7"/>
  <c r="I112" i="7"/>
  <c r="U111" i="7"/>
  <c r="M111" i="7"/>
  <c r="E111" i="7"/>
  <c r="Q110" i="7"/>
  <c r="I110" i="7"/>
  <c r="U109" i="7"/>
  <c r="M109" i="7"/>
  <c r="E109" i="7"/>
  <c r="Q108" i="7"/>
  <c r="I108" i="7"/>
  <c r="U107" i="7"/>
  <c r="M107" i="7"/>
  <c r="E107" i="7"/>
  <c r="Q106" i="7"/>
  <c r="I106" i="7"/>
  <c r="U105" i="7"/>
  <c r="M105" i="7"/>
  <c r="E105" i="7"/>
  <c r="Q104" i="7"/>
  <c r="I104" i="7"/>
  <c r="U103" i="7"/>
  <c r="M103" i="7"/>
  <c r="E103" i="7"/>
  <c r="Q102" i="7"/>
  <c r="I102" i="7"/>
  <c r="U101" i="7"/>
  <c r="M101" i="7"/>
  <c r="E101" i="7"/>
  <c r="Q100" i="7"/>
  <c r="I100" i="7"/>
  <c r="U99" i="7"/>
  <c r="M99" i="7"/>
  <c r="E99" i="7"/>
  <c r="Q98" i="7"/>
  <c r="I98" i="7"/>
  <c r="U97" i="7"/>
  <c r="M97" i="7"/>
  <c r="E97" i="7"/>
  <c r="Q96" i="7"/>
  <c r="I96" i="7"/>
  <c r="U95" i="7"/>
  <c r="M95" i="7"/>
  <c r="E95" i="7"/>
  <c r="Q94" i="7"/>
  <c r="I94" i="7"/>
  <c r="U93" i="7"/>
  <c r="M93" i="7"/>
  <c r="E93" i="7"/>
  <c r="Q92" i="7"/>
  <c r="I92" i="7"/>
  <c r="U91" i="7"/>
  <c r="M91" i="7"/>
  <c r="E91" i="7"/>
  <c r="Q90" i="7"/>
  <c r="I90" i="7"/>
  <c r="U89" i="7"/>
  <c r="M89" i="7"/>
  <c r="E89" i="7"/>
  <c r="Q88" i="7"/>
  <c r="I88" i="7"/>
  <c r="U87" i="7"/>
  <c r="M87" i="7"/>
  <c r="E87" i="7"/>
  <c r="Q86" i="7"/>
  <c r="I86" i="7"/>
  <c r="U85" i="7"/>
  <c r="M85" i="7"/>
  <c r="E85" i="7"/>
  <c r="Q84" i="7"/>
  <c r="I84" i="7"/>
  <c r="U83" i="7"/>
  <c r="M83" i="7"/>
  <c r="E83" i="7"/>
  <c r="Q82" i="7"/>
  <c r="I82" i="7"/>
  <c r="O132" i="7"/>
  <c r="G132" i="7"/>
  <c r="S131" i="7"/>
  <c r="K131" i="7"/>
  <c r="C131" i="7"/>
  <c r="O130" i="7"/>
  <c r="G130" i="7"/>
  <c r="S129" i="7"/>
  <c r="K129" i="7"/>
  <c r="C129" i="7"/>
  <c r="O128" i="7"/>
  <c r="G128" i="7"/>
  <c r="S127" i="7"/>
  <c r="K127" i="7"/>
  <c r="C127" i="7"/>
  <c r="O126" i="7"/>
  <c r="G126" i="7"/>
  <c r="S125" i="7"/>
  <c r="K125" i="7"/>
  <c r="C125" i="7"/>
  <c r="O124" i="7"/>
  <c r="G124" i="7"/>
  <c r="S123" i="7"/>
  <c r="K123" i="7"/>
  <c r="C123" i="7"/>
  <c r="O122" i="7"/>
  <c r="G122" i="7"/>
  <c r="S121" i="7"/>
  <c r="K121" i="7"/>
  <c r="C121" i="7"/>
  <c r="O120" i="7"/>
  <c r="G120" i="7"/>
  <c r="S119" i="7"/>
  <c r="K119" i="7"/>
  <c r="C119" i="7"/>
  <c r="O118" i="7"/>
  <c r="G118" i="7"/>
  <c r="S117" i="7"/>
  <c r="K117" i="7"/>
  <c r="C117" i="7"/>
  <c r="O116" i="7"/>
  <c r="G116" i="7"/>
  <c r="S115" i="7"/>
  <c r="K115" i="7"/>
  <c r="C115" i="7"/>
  <c r="O114" i="7"/>
  <c r="G114" i="7"/>
  <c r="S113" i="7"/>
  <c r="K113" i="7"/>
  <c r="C113" i="7"/>
  <c r="O112" i="7"/>
  <c r="G112" i="7"/>
  <c r="S111" i="7"/>
  <c r="K111" i="7"/>
  <c r="C111" i="7"/>
  <c r="O110" i="7"/>
  <c r="G110" i="7"/>
  <c r="S109" i="7"/>
  <c r="K109" i="7"/>
  <c r="C109" i="7"/>
  <c r="O108" i="7"/>
  <c r="G108" i="7"/>
  <c r="S107" i="7"/>
  <c r="K107" i="7"/>
  <c r="C107" i="7"/>
  <c r="O106" i="7"/>
  <c r="G106" i="7"/>
  <c r="S105" i="7"/>
  <c r="K105" i="7"/>
  <c r="C105" i="7"/>
  <c r="O104" i="7"/>
  <c r="G104" i="7"/>
  <c r="S103" i="7"/>
  <c r="K103" i="7"/>
  <c r="C103" i="7"/>
  <c r="O102" i="7"/>
  <c r="G102" i="7"/>
  <c r="S101" i="7"/>
  <c r="K101" i="7"/>
  <c r="C101" i="7"/>
  <c r="O100" i="7"/>
  <c r="G100" i="7"/>
  <c r="S99" i="7"/>
  <c r="K99" i="7"/>
  <c r="C99" i="7"/>
  <c r="O98" i="7"/>
  <c r="G98" i="7"/>
  <c r="S97" i="7"/>
  <c r="K97" i="7"/>
  <c r="C97" i="7"/>
  <c r="O96" i="7"/>
  <c r="G96" i="7"/>
  <c r="S95" i="7"/>
  <c r="K95" i="7"/>
  <c r="C95" i="7"/>
  <c r="O94" i="7"/>
  <c r="G94" i="7"/>
  <c r="S93" i="7"/>
  <c r="K93" i="7"/>
  <c r="C93" i="7"/>
  <c r="O92" i="7"/>
  <c r="G92" i="7"/>
  <c r="S91" i="7"/>
  <c r="K91" i="7"/>
  <c r="C91" i="7"/>
  <c r="O90" i="7"/>
  <c r="G90" i="7"/>
  <c r="S89" i="7"/>
  <c r="K89" i="7"/>
  <c r="C89" i="7"/>
  <c r="O88" i="7"/>
  <c r="G88" i="7"/>
  <c r="S87" i="7"/>
  <c r="K87" i="7"/>
  <c r="C87" i="7"/>
  <c r="O86" i="7"/>
  <c r="G86" i="7"/>
  <c r="S85" i="7"/>
  <c r="K85" i="7"/>
  <c r="C85" i="7"/>
  <c r="O84" i="7"/>
  <c r="G84" i="7"/>
  <c r="S83" i="7"/>
  <c r="K83" i="7"/>
  <c r="C83" i="7"/>
  <c r="O82" i="7"/>
  <c r="G82" i="7"/>
  <c r="T132" i="7"/>
  <c r="D132" i="7"/>
  <c r="H131" i="7"/>
  <c r="L130" i="7"/>
  <c r="P129" i="7"/>
  <c r="T128" i="7"/>
  <c r="D128" i="7"/>
  <c r="H127" i="7"/>
  <c r="L126" i="7"/>
  <c r="P125" i="7"/>
  <c r="T124" i="7"/>
  <c r="D124" i="7"/>
  <c r="H123" i="7"/>
  <c r="L122" i="7"/>
  <c r="P121" i="7"/>
  <c r="T120" i="7"/>
  <c r="D120" i="7"/>
  <c r="H119" i="7"/>
  <c r="L118" i="7"/>
  <c r="P117" i="7"/>
  <c r="T116" i="7"/>
  <c r="D116" i="7"/>
  <c r="H115" i="7"/>
  <c r="L114" i="7"/>
  <c r="P113" i="7"/>
  <c r="T112" i="7"/>
  <c r="D112" i="7"/>
  <c r="H111" i="7"/>
  <c r="L110" i="7"/>
  <c r="P109" i="7"/>
  <c r="T108" i="7"/>
  <c r="D108" i="7"/>
  <c r="H107" i="7"/>
  <c r="L106" i="7"/>
  <c r="P105" i="7"/>
  <c r="T104" i="7"/>
  <c r="D104" i="7"/>
  <c r="H103" i="7"/>
  <c r="L102" i="7"/>
  <c r="P101" i="7"/>
  <c r="T100" i="7"/>
  <c r="D100" i="7"/>
  <c r="H99" i="7"/>
  <c r="L98" i="7"/>
  <c r="P97" i="7"/>
  <c r="T96" i="7"/>
  <c r="D96" i="7"/>
  <c r="H95" i="7"/>
  <c r="L94" i="7"/>
  <c r="P93" i="7"/>
  <c r="T92" i="7"/>
  <c r="D92" i="7"/>
  <c r="H91" i="7"/>
  <c r="L90" i="7"/>
  <c r="P89" i="7"/>
  <c r="T88" i="7"/>
  <c r="D88" i="7"/>
  <c r="H87" i="7"/>
  <c r="L86" i="7"/>
  <c r="P85" i="7"/>
  <c r="T84" i="7"/>
  <c r="D84" i="7"/>
  <c r="H83" i="7"/>
  <c r="L82" i="7"/>
  <c r="U81" i="7"/>
  <c r="M81" i="7"/>
  <c r="E81" i="7"/>
  <c r="Q80" i="7"/>
  <c r="I80" i="7"/>
  <c r="U79" i="7"/>
  <c r="M79" i="7"/>
  <c r="E79" i="7"/>
  <c r="Q78" i="7"/>
  <c r="I78" i="7"/>
  <c r="U77" i="7"/>
  <c r="M77" i="7"/>
  <c r="E77" i="7"/>
  <c r="Q76" i="7"/>
  <c r="I76" i="7"/>
  <c r="U75" i="7"/>
  <c r="M75" i="7"/>
  <c r="E75" i="7"/>
  <c r="Q74" i="7"/>
  <c r="I74" i="7"/>
  <c r="U73" i="7"/>
  <c r="M73" i="7"/>
  <c r="E73" i="7"/>
  <c r="Q72" i="7"/>
  <c r="I72" i="7"/>
  <c r="U71" i="7"/>
  <c r="M71" i="7"/>
  <c r="E71" i="7"/>
  <c r="Q70" i="7"/>
  <c r="I70" i="7"/>
  <c r="U69" i="7"/>
  <c r="M69" i="7"/>
  <c r="E69" i="7"/>
  <c r="Q68" i="7"/>
  <c r="I68" i="7"/>
  <c r="U67" i="7"/>
  <c r="M67" i="7"/>
  <c r="E67" i="7"/>
  <c r="Q66" i="7"/>
  <c r="I66" i="7"/>
  <c r="U65" i="7"/>
  <c r="M65" i="7"/>
  <c r="E65" i="7"/>
  <c r="Q64" i="7"/>
  <c r="I64" i="7"/>
  <c r="U63" i="7"/>
  <c r="M63" i="7"/>
  <c r="E63" i="7"/>
  <c r="Q62" i="7"/>
  <c r="I62" i="7"/>
  <c r="U61" i="7"/>
  <c r="M61" i="7"/>
  <c r="E61" i="7"/>
  <c r="Q60" i="7"/>
  <c r="I60" i="7"/>
  <c r="U59" i="7"/>
  <c r="M59" i="7"/>
  <c r="E59" i="7"/>
  <c r="Q58" i="7"/>
  <c r="I58" i="7"/>
  <c r="U57" i="7"/>
  <c r="M57" i="7"/>
  <c r="E57" i="7"/>
  <c r="Q56" i="7"/>
  <c r="I56" i="7"/>
  <c r="R132" i="7"/>
  <c r="P132" i="7"/>
  <c r="T131" i="7"/>
  <c r="D131" i="7"/>
  <c r="H130" i="7"/>
  <c r="L129" i="7"/>
  <c r="P128" i="7"/>
  <c r="T127" i="7"/>
  <c r="D127" i="7"/>
  <c r="H126" i="7"/>
  <c r="L125" i="7"/>
  <c r="P124" i="7"/>
  <c r="T123" i="7"/>
  <c r="D123" i="7"/>
  <c r="H122" i="7"/>
  <c r="L121" i="7"/>
  <c r="P120" i="7"/>
  <c r="T119" i="7"/>
  <c r="D119" i="7"/>
  <c r="H118" i="7"/>
  <c r="L117" i="7"/>
  <c r="P116" i="7"/>
  <c r="T115" i="7"/>
  <c r="D115" i="7"/>
  <c r="H114" i="7"/>
  <c r="L113" i="7"/>
  <c r="P112" i="7"/>
  <c r="T111" i="7"/>
  <c r="D111" i="7"/>
  <c r="H110" i="7"/>
  <c r="L109" i="7"/>
  <c r="P108" i="7"/>
  <c r="T107" i="7"/>
  <c r="D107" i="7"/>
  <c r="H106" i="7"/>
  <c r="L105" i="7"/>
  <c r="P104" i="7"/>
  <c r="T103" i="7"/>
  <c r="D103" i="7"/>
  <c r="H102" i="7"/>
  <c r="L101" i="7"/>
  <c r="P100" i="7"/>
  <c r="T99" i="7"/>
  <c r="D99" i="7"/>
  <c r="H98" i="7"/>
  <c r="L97" i="7"/>
  <c r="P96" i="7"/>
  <c r="T95" i="7"/>
  <c r="D95" i="7"/>
  <c r="H94" i="7"/>
  <c r="L93" i="7"/>
  <c r="P92" i="7"/>
  <c r="T91" i="7"/>
  <c r="D91" i="7"/>
  <c r="H90" i="7"/>
  <c r="L89" i="7"/>
  <c r="P88" i="7"/>
  <c r="T87" i="7"/>
  <c r="D87" i="7"/>
  <c r="H86" i="7"/>
  <c r="L85" i="7"/>
  <c r="P84" i="7"/>
  <c r="T83" i="7"/>
  <c r="D83" i="7"/>
  <c r="H82" i="7"/>
  <c r="S81" i="7"/>
  <c r="K81" i="7"/>
  <c r="C81" i="7"/>
  <c r="O80" i="7"/>
  <c r="G80" i="7"/>
  <c r="S79" i="7"/>
  <c r="K79" i="7"/>
  <c r="C79" i="7"/>
  <c r="O78" i="7"/>
  <c r="G78" i="7"/>
  <c r="S77" i="7"/>
  <c r="K77" i="7"/>
  <c r="C77" i="7"/>
  <c r="O76" i="7"/>
  <c r="G76" i="7"/>
  <c r="S75" i="7"/>
  <c r="K75" i="7"/>
  <c r="C75" i="7"/>
  <c r="O74" i="7"/>
  <c r="G74" i="7"/>
  <c r="S73" i="7"/>
  <c r="K73" i="7"/>
  <c r="C73" i="7"/>
  <c r="O72" i="7"/>
  <c r="G72" i="7"/>
  <c r="S71" i="7"/>
  <c r="K71" i="7"/>
  <c r="C71" i="7"/>
  <c r="O70" i="7"/>
  <c r="G70" i="7"/>
  <c r="S69" i="7"/>
  <c r="K69" i="7"/>
  <c r="C69" i="7"/>
  <c r="O68" i="7"/>
  <c r="G68" i="7"/>
  <c r="S67" i="7"/>
  <c r="K67" i="7"/>
  <c r="C67" i="7"/>
  <c r="O66" i="7"/>
  <c r="G66" i="7"/>
  <c r="S65" i="7"/>
  <c r="K65" i="7"/>
  <c r="C65" i="7"/>
  <c r="O64" i="7"/>
  <c r="G64" i="7"/>
  <c r="S63" i="7"/>
  <c r="K63" i="7"/>
  <c r="C63" i="7"/>
  <c r="O62" i="7"/>
  <c r="G62" i="7"/>
  <c r="S61" i="7"/>
  <c r="K61" i="7"/>
  <c r="C61" i="7"/>
  <c r="O60" i="7"/>
  <c r="G60" i="7"/>
  <c r="S59" i="7"/>
  <c r="K59" i="7"/>
  <c r="C59" i="7"/>
  <c r="O58" i="7"/>
  <c r="G58" i="7"/>
  <c r="S57" i="7"/>
  <c r="K57" i="7"/>
  <c r="C57" i="7"/>
  <c r="L132" i="7"/>
  <c r="P131" i="7"/>
  <c r="T130" i="7"/>
  <c r="D130" i="7"/>
  <c r="H129" i="7"/>
  <c r="L128" i="7"/>
  <c r="P127" i="7"/>
  <c r="T126" i="7"/>
  <c r="D126" i="7"/>
  <c r="H125" i="7"/>
  <c r="L124" i="7"/>
  <c r="P123" i="7"/>
  <c r="T122" i="7"/>
  <c r="D122" i="7"/>
  <c r="H121" i="7"/>
  <c r="L120" i="7"/>
  <c r="P119" i="7"/>
  <c r="T118" i="7"/>
  <c r="D118" i="7"/>
  <c r="H117" i="7"/>
  <c r="L116" i="7"/>
  <c r="P115" i="7"/>
  <c r="T114" i="7"/>
  <c r="D114" i="7"/>
  <c r="H113" i="7"/>
  <c r="L112" i="7"/>
  <c r="P111" i="7"/>
  <c r="T110" i="7"/>
  <c r="D110" i="7"/>
  <c r="H109" i="7"/>
  <c r="L108" i="7"/>
  <c r="P107" i="7"/>
  <c r="T106" i="7"/>
  <c r="D106" i="7"/>
  <c r="H105" i="7"/>
  <c r="L104" i="7"/>
  <c r="P103" i="7"/>
  <c r="T102" i="7"/>
  <c r="D102" i="7"/>
  <c r="H101" i="7"/>
  <c r="L100" i="7"/>
  <c r="P99" i="7"/>
  <c r="T98" i="7"/>
  <c r="D98" i="7"/>
  <c r="H97" i="7"/>
  <c r="L96" i="7"/>
  <c r="P95" i="7"/>
  <c r="T94" i="7"/>
  <c r="D94" i="7"/>
  <c r="H93" i="7"/>
  <c r="L92" i="7"/>
  <c r="P91" i="7"/>
  <c r="T90" i="7"/>
  <c r="D90" i="7"/>
  <c r="H89" i="7"/>
  <c r="L88" i="7"/>
  <c r="P87" i="7"/>
  <c r="T86" i="7"/>
  <c r="D86" i="7"/>
  <c r="H85" i="7"/>
  <c r="L84" i="7"/>
  <c r="P83" i="7"/>
  <c r="T82" i="7"/>
  <c r="E82" i="7"/>
  <c r="Q81" i="7"/>
  <c r="I81" i="7"/>
  <c r="U80" i="7"/>
  <c r="M80" i="7"/>
  <c r="E80" i="7"/>
  <c r="Q79" i="7"/>
  <c r="I79" i="7"/>
  <c r="U78" i="7"/>
  <c r="M78" i="7"/>
  <c r="E78" i="7"/>
  <c r="Q77" i="7"/>
  <c r="I77" i="7"/>
  <c r="U76" i="7"/>
  <c r="M76" i="7"/>
  <c r="E76" i="7"/>
  <c r="Q75" i="7"/>
  <c r="I75" i="7"/>
  <c r="U74" i="7"/>
  <c r="M74" i="7"/>
  <c r="E74" i="7"/>
  <c r="Q73" i="7"/>
  <c r="I73" i="7"/>
  <c r="U72" i="7"/>
  <c r="M72" i="7"/>
  <c r="E72" i="7"/>
  <c r="Q71" i="7"/>
  <c r="I71" i="7"/>
  <c r="U70" i="7"/>
  <c r="M70" i="7"/>
  <c r="E70" i="7"/>
  <c r="Q69" i="7"/>
  <c r="I69" i="7"/>
  <c r="U68" i="7"/>
  <c r="M68" i="7"/>
  <c r="E68" i="7"/>
  <c r="Q67" i="7"/>
  <c r="I67" i="7"/>
  <c r="U66" i="7"/>
  <c r="M66" i="7"/>
  <c r="E66" i="7"/>
  <c r="Q65" i="7"/>
  <c r="I65" i="7"/>
  <c r="U64" i="7"/>
  <c r="M64" i="7"/>
  <c r="E64" i="7"/>
  <c r="Q63" i="7"/>
  <c r="I63" i="7"/>
  <c r="U62" i="7"/>
  <c r="M62" i="7"/>
  <c r="E62" i="7"/>
  <c r="Q61" i="7"/>
  <c r="I61" i="7"/>
  <c r="U60" i="7"/>
  <c r="M60" i="7"/>
  <c r="E60" i="7"/>
  <c r="Q59" i="7"/>
  <c r="I59" i="7"/>
  <c r="U58" i="7"/>
  <c r="M58" i="7"/>
  <c r="E58" i="7"/>
  <c r="Q57" i="7"/>
  <c r="I57" i="7"/>
  <c r="U56" i="7"/>
  <c r="H132" i="7"/>
  <c r="L131" i="7"/>
  <c r="P130" i="7"/>
  <c r="T129" i="7"/>
  <c r="D129" i="7"/>
  <c r="H128" i="7"/>
  <c r="L127" i="7"/>
  <c r="P126" i="7"/>
  <c r="T125" i="7"/>
  <c r="D125" i="7"/>
  <c r="H124" i="7"/>
  <c r="L123" i="7"/>
  <c r="P122" i="7"/>
  <c r="T121" i="7"/>
  <c r="D121" i="7"/>
  <c r="H120" i="7"/>
  <c r="L119" i="7"/>
  <c r="P118" i="7"/>
  <c r="T117" i="7"/>
  <c r="D117" i="7"/>
  <c r="H116" i="7"/>
  <c r="L115" i="7"/>
  <c r="P114" i="7"/>
  <c r="T113" i="7"/>
  <c r="D113" i="7"/>
  <c r="H112" i="7"/>
  <c r="L111" i="7"/>
  <c r="P110" i="7"/>
  <c r="T109" i="7"/>
  <c r="D109" i="7"/>
  <c r="H108" i="7"/>
  <c r="L107" i="7"/>
  <c r="P106" i="7"/>
  <c r="T105" i="7"/>
  <c r="D105" i="7"/>
  <c r="H104" i="7"/>
  <c r="L103" i="7"/>
  <c r="P102" i="7"/>
  <c r="T101" i="7"/>
  <c r="D101" i="7"/>
  <c r="H100" i="7"/>
  <c r="L99" i="7"/>
  <c r="P98" i="7"/>
  <c r="T97" i="7"/>
  <c r="D97" i="7"/>
  <c r="H96" i="7"/>
  <c r="L95" i="7"/>
  <c r="P94" i="7"/>
  <c r="T93" i="7"/>
  <c r="D93" i="7"/>
  <c r="H92" i="7"/>
  <c r="L91" i="7"/>
  <c r="P90" i="7"/>
  <c r="T89" i="7"/>
  <c r="D89" i="7"/>
  <c r="H88" i="7"/>
  <c r="L87" i="7"/>
  <c r="P86" i="7"/>
  <c r="T85" i="7"/>
  <c r="D85" i="7"/>
  <c r="H84" i="7"/>
  <c r="L83" i="7"/>
  <c r="P82" i="7"/>
  <c r="C82" i="7"/>
  <c r="O81" i="7"/>
  <c r="G81" i="7"/>
  <c r="S80" i="7"/>
  <c r="K80" i="7"/>
  <c r="C80" i="7"/>
  <c r="O79" i="7"/>
  <c r="G79" i="7"/>
  <c r="S78" i="7"/>
  <c r="K78" i="7"/>
  <c r="C78" i="7"/>
  <c r="O77" i="7"/>
  <c r="G77" i="7"/>
  <c r="S76" i="7"/>
  <c r="K76" i="7"/>
  <c r="C76" i="7"/>
  <c r="O75" i="7"/>
  <c r="G75" i="7"/>
  <c r="S74" i="7"/>
  <c r="K74" i="7"/>
  <c r="C74" i="7"/>
  <c r="O73" i="7"/>
  <c r="G73" i="7"/>
  <c r="S72" i="7"/>
  <c r="K72" i="7"/>
  <c r="C72" i="7"/>
  <c r="O71" i="7"/>
  <c r="G71" i="7"/>
  <c r="S70" i="7"/>
  <c r="K70" i="7"/>
  <c r="C70" i="7"/>
  <c r="O69" i="7"/>
  <c r="G69" i="7"/>
  <c r="S68" i="7"/>
  <c r="K68" i="7"/>
  <c r="C68" i="7"/>
  <c r="O67" i="7"/>
  <c r="G67" i="7"/>
  <c r="S66" i="7"/>
  <c r="K66" i="7"/>
  <c r="C66" i="7"/>
  <c r="O65" i="7"/>
  <c r="G65" i="7"/>
  <c r="S64" i="7"/>
  <c r="K64" i="7"/>
  <c r="C64" i="7"/>
  <c r="O63" i="7"/>
  <c r="G63" i="7"/>
  <c r="S62" i="7"/>
  <c r="K62" i="7"/>
  <c r="C62" i="7"/>
  <c r="O61" i="7"/>
  <c r="G61" i="7"/>
  <c r="S60" i="7"/>
  <c r="K60" i="7"/>
  <c r="C60" i="7"/>
  <c r="O59" i="7"/>
  <c r="G59" i="7"/>
  <c r="S58" i="7"/>
  <c r="K58" i="7"/>
  <c r="C58" i="7"/>
  <c r="O57" i="7"/>
  <c r="G57" i="7"/>
  <c r="S56" i="7"/>
  <c r="N132" i="7"/>
  <c r="B131" i="7"/>
  <c r="J129" i="7"/>
  <c r="R127" i="7"/>
  <c r="F126" i="7"/>
  <c r="N124" i="7"/>
  <c r="B123" i="7"/>
  <c r="J121" i="7"/>
  <c r="R119" i="7"/>
  <c r="F118" i="7"/>
  <c r="N116" i="7"/>
  <c r="B115" i="7"/>
  <c r="J113" i="7"/>
  <c r="R111" i="7"/>
  <c r="F110" i="7"/>
  <c r="N108" i="7"/>
  <c r="B107" i="7"/>
  <c r="J105" i="7"/>
  <c r="R103" i="7"/>
  <c r="F102" i="7"/>
  <c r="N100" i="7"/>
  <c r="B99" i="7"/>
  <c r="J97" i="7"/>
  <c r="R95" i="7"/>
  <c r="F94" i="7"/>
  <c r="N92" i="7"/>
  <c r="B91" i="7"/>
  <c r="J89" i="7"/>
  <c r="R87" i="7"/>
  <c r="F86" i="7"/>
  <c r="N84" i="7"/>
  <c r="B83" i="7"/>
  <c r="R81" i="7"/>
  <c r="B81" i="7"/>
  <c r="F80" i="7"/>
  <c r="J79" i="7"/>
  <c r="N78" i="7"/>
  <c r="R77" i="7"/>
  <c r="B77" i="7"/>
  <c r="F76" i="7"/>
  <c r="J75" i="7"/>
  <c r="N74" i="7"/>
  <c r="R73" i="7"/>
  <c r="B73" i="7"/>
  <c r="F72" i="7"/>
  <c r="J71" i="7"/>
  <c r="N70" i="7"/>
  <c r="R69" i="7"/>
  <c r="B69" i="7"/>
  <c r="F68" i="7"/>
  <c r="J67" i="7"/>
  <c r="N66" i="7"/>
  <c r="R65" i="7"/>
  <c r="B65" i="7"/>
  <c r="F64" i="7"/>
  <c r="J63" i="7"/>
  <c r="N62" i="7"/>
  <c r="R61" i="7"/>
  <c r="B61" i="7"/>
  <c r="F60" i="7"/>
  <c r="J59" i="7"/>
  <c r="N58" i="7"/>
  <c r="R57" i="7"/>
  <c r="B57" i="7"/>
  <c r="K56" i="7"/>
  <c r="B56" i="7"/>
  <c r="N55" i="7"/>
  <c r="F55" i="7"/>
  <c r="R54" i="7"/>
  <c r="J54" i="7"/>
  <c r="B54" i="7"/>
  <c r="N53" i="7"/>
  <c r="F53" i="7"/>
  <c r="R52" i="7"/>
  <c r="J52" i="7"/>
  <c r="B52" i="7"/>
  <c r="N51" i="7"/>
  <c r="F51" i="7"/>
  <c r="R50" i="7"/>
  <c r="J50" i="7"/>
  <c r="B50" i="7"/>
  <c r="N49" i="7"/>
  <c r="F49" i="7"/>
  <c r="R48" i="7"/>
  <c r="J48" i="7"/>
  <c r="B48" i="7"/>
  <c r="N47" i="7"/>
  <c r="F47" i="7"/>
  <c r="R46" i="7"/>
  <c r="J46" i="7"/>
  <c r="B46" i="7"/>
  <c r="N45" i="7"/>
  <c r="F45" i="7"/>
  <c r="R44" i="7"/>
  <c r="J44" i="7"/>
  <c r="B44" i="7"/>
  <c r="N43" i="7"/>
  <c r="F43" i="7"/>
  <c r="R42" i="7"/>
  <c r="J42" i="7"/>
  <c r="B42" i="7"/>
  <c r="N41" i="7"/>
  <c r="F41" i="7"/>
  <c r="R40" i="7"/>
  <c r="J40" i="7"/>
  <c r="B40" i="7"/>
  <c r="N39" i="7"/>
  <c r="F39" i="7"/>
  <c r="R38" i="7"/>
  <c r="J38" i="7"/>
  <c r="B38" i="7"/>
  <c r="N37" i="7"/>
  <c r="F37" i="7"/>
  <c r="R36" i="7"/>
  <c r="J36" i="7"/>
  <c r="B36" i="7"/>
  <c r="N35" i="7"/>
  <c r="F35" i="7"/>
  <c r="R34" i="7"/>
  <c r="J34" i="7"/>
  <c r="B34" i="7"/>
  <c r="N33" i="7"/>
  <c r="F33" i="7"/>
  <c r="R32" i="7"/>
  <c r="J32" i="7"/>
  <c r="B32" i="7"/>
  <c r="N31" i="7"/>
  <c r="F31" i="7"/>
  <c r="R30" i="7"/>
  <c r="J30" i="7"/>
  <c r="B30" i="7"/>
  <c r="N29" i="7"/>
  <c r="F29" i="7"/>
  <c r="R28" i="7"/>
  <c r="J28" i="7"/>
  <c r="B28" i="7"/>
  <c r="N27" i="7"/>
  <c r="F27" i="7"/>
  <c r="R26" i="7"/>
  <c r="J26" i="7"/>
  <c r="B26" i="7"/>
  <c r="N25" i="7"/>
  <c r="F25" i="7"/>
  <c r="R24" i="7"/>
  <c r="J24" i="7"/>
  <c r="B24" i="7"/>
  <c r="N23" i="7"/>
  <c r="F23" i="7"/>
  <c r="R22" i="7"/>
  <c r="B132" i="7"/>
  <c r="J130" i="7"/>
  <c r="R128" i="7"/>
  <c r="F127" i="7"/>
  <c r="N125" i="7"/>
  <c r="B124" i="7"/>
  <c r="J122" i="7"/>
  <c r="R120" i="7"/>
  <c r="F119" i="7"/>
  <c r="N117" i="7"/>
  <c r="B116" i="7"/>
  <c r="J114" i="7"/>
  <c r="R112" i="7"/>
  <c r="F111" i="7"/>
  <c r="N109" i="7"/>
  <c r="B108" i="7"/>
  <c r="J106" i="7"/>
  <c r="R104" i="7"/>
  <c r="F103" i="7"/>
  <c r="N101" i="7"/>
  <c r="B100" i="7"/>
  <c r="J98" i="7"/>
  <c r="R96" i="7"/>
  <c r="F95" i="7"/>
  <c r="N93" i="7"/>
  <c r="B92" i="7"/>
  <c r="J90" i="7"/>
  <c r="R88" i="7"/>
  <c r="F87" i="7"/>
  <c r="N85" i="7"/>
  <c r="B84" i="7"/>
  <c r="J82" i="7"/>
  <c r="L81" i="7"/>
  <c r="P80" i="7"/>
  <c r="T79" i="7"/>
  <c r="D79" i="7"/>
  <c r="H78" i="7"/>
  <c r="L77" i="7"/>
  <c r="P76" i="7"/>
  <c r="T75" i="7"/>
  <c r="D75" i="7"/>
  <c r="H74" i="7"/>
  <c r="L73" i="7"/>
  <c r="P72" i="7"/>
  <c r="T71" i="7"/>
  <c r="D71" i="7"/>
  <c r="H70" i="7"/>
  <c r="L69" i="7"/>
  <c r="P68" i="7"/>
  <c r="T67" i="7"/>
  <c r="D67" i="7"/>
  <c r="H66" i="7"/>
  <c r="L65" i="7"/>
  <c r="P64" i="7"/>
  <c r="T63" i="7"/>
  <c r="D63" i="7"/>
  <c r="H62" i="7"/>
  <c r="L61" i="7"/>
  <c r="P60" i="7"/>
  <c r="T59" i="7"/>
  <c r="D59" i="7"/>
  <c r="H58" i="7"/>
  <c r="L57" i="7"/>
  <c r="P56" i="7"/>
  <c r="G56" i="7"/>
  <c r="S55" i="7"/>
  <c r="K55" i="7"/>
  <c r="C55" i="7"/>
  <c r="O54" i="7"/>
  <c r="G54" i="7"/>
  <c r="S53" i="7"/>
  <c r="K53" i="7"/>
  <c r="C53" i="7"/>
  <c r="O52" i="7"/>
  <c r="G52" i="7"/>
  <c r="S51" i="7"/>
  <c r="K51" i="7"/>
  <c r="C51" i="7"/>
  <c r="O50" i="7"/>
  <c r="G50" i="7"/>
  <c r="S49" i="7"/>
  <c r="K49" i="7"/>
  <c r="C49" i="7"/>
  <c r="O48" i="7"/>
  <c r="G48" i="7"/>
  <c r="S47" i="7"/>
  <c r="K47" i="7"/>
  <c r="C47" i="7"/>
  <c r="O46" i="7"/>
  <c r="G46" i="7"/>
  <c r="S45" i="7"/>
  <c r="K45" i="7"/>
  <c r="C45" i="7"/>
  <c r="O44" i="7"/>
  <c r="G44" i="7"/>
  <c r="S43" i="7"/>
  <c r="K43" i="7"/>
  <c r="C43" i="7"/>
  <c r="O42" i="7"/>
  <c r="G42" i="7"/>
  <c r="S41" i="7"/>
  <c r="K41" i="7"/>
  <c r="C41" i="7"/>
  <c r="O40" i="7"/>
  <c r="G40" i="7"/>
  <c r="S39" i="7"/>
  <c r="K39" i="7"/>
  <c r="C39" i="7"/>
  <c r="O38" i="7"/>
  <c r="G38" i="7"/>
  <c r="S37" i="7"/>
  <c r="K37" i="7"/>
  <c r="C37" i="7"/>
  <c r="O36" i="7"/>
  <c r="G36" i="7"/>
  <c r="S35" i="7"/>
  <c r="K35" i="7"/>
  <c r="C35" i="7"/>
  <c r="O34" i="7"/>
  <c r="G34" i="7"/>
  <c r="S33" i="7"/>
  <c r="K33" i="7"/>
  <c r="C33" i="7"/>
  <c r="O32" i="7"/>
  <c r="G32" i="7"/>
  <c r="S31" i="7"/>
  <c r="K31" i="7"/>
  <c r="R131" i="7"/>
  <c r="F130" i="7"/>
  <c r="N128" i="7"/>
  <c r="B127" i="7"/>
  <c r="J125" i="7"/>
  <c r="R123" i="7"/>
  <c r="F122" i="7"/>
  <c r="N120" i="7"/>
  <c r="B119" i="7"/>
  <c r="J117" i="7"/>
  <c r="R115" i="7"/>
  <c r="F114" i="7"/>
  <c r="N112" i="7"/>
  <c r="B111" i="7"/>
  <c r="J109" i="7"/>
  <c r="R107" i="7"/>
  <c r="F106" i="7"/>
  <c r="N104" i="7"/>
  <c r="B103" i="7"/>
  <c r="J101" i="7"/>
  <c r="R99" i="7"/>
  <c r="F98" i="7"/>
  <c r="N96" i="7"/>
  <c r="B95" i="7"/>
  <c r="J93" i="7"/>
  <c r="R91" i="7"/>
  <c r="F90" i="7"/>
  <c r="N88" i="7"/>
  <c r="B87" i="7"/>
  <c r="J85" i="7"/>
  <c r="R83" i="7"/>
  <c r="F82" i="7"/>
  <c r="J81" i="7"/>
  <c r="N80" i="7"/>
  <c r="R79" i="7"/>
  <c r="B79" i="7"/>
  <c r="F78" i="7"/>
  <c r="J77" i="7"/>
  <c r="N76" i="7"/>
  <c r="R75" i="7"/>
  <c r="B75" i="7"/>
  <c r="F74" i="7"/>
  <c r="J73" i="7"/>
  <c r="N72" i="7"/>
  <c r="R71" i="7"/>
  <c r="B71" i="7"/>
  <c r="F70" i="7"/>
  <c r="J69" i="7"/>
  <c r="N68" i="7"/>
  <c r="R67" i="7"/>
  <c r="B67" i="7"/>
  <c r="F66" i="7"/>
  <c r="J65" i="7"/>
  <c r="N64" i="7"/>
  <c r="R63" i="7"/>
  <c r="B63" i="7"/>
  <c r="F62" i="7"/>
  <c r="J61" i="7"/>
  <c r="N60" i="7"/>
  <c r="R59" i="7"/>
  <c r="B59" i="7"/>
  <c r="F58" i="7"/>
  <c r="J57" i="7"/>
  <c r="O56" i="7"/>
  <c r="F56" i="7"/>
  <c r="R55" i="7"/>
  <c r="J55" i="7"/>
  <c r="B55" i="7"/>
  <c r="N54" i="7"/>
  <c r="F54" i="7"/>
  <c r="R53" i="7"/>
  <c r="J53" i="7"/>
  <c r="B53" i="7"/>
  <c r="N52" i="7"/>
  <c r="F52" i="7"/>
  <c r="R51" i="7"/>
  <c r="J51" i="7"/>
  <c r="B51" i="7"/>
  <c r="N50" i="7"/>
  <c r="F50" i="7"/>
  <c r="R49" i="7"/>
  <c r="J49" i="7"/>
  <c r="B49" i="7"/>
  <c r="N48" i="7"/>
  <c r="F48" i="7"/>
  <c r="R47" i="7"/>
  <c r="J47" i="7"/>
  <c r="B47" i="7"/>
  <c r="N46" i="7"/>
  <c r="F46" i="7"/>
  <c r="R45" i="7"/>
  <c r="J45" i="7"/>
  <c r="B45" i="7"/>
  <c r="N44" i="7"/>
  <c r="F44" i="7"/>
  <c r="R43" i="7"/>
  <c r="J43" i="7"/>
  <c r="B43" i="7"/>
  <c r="N42" i="7"/>
  <c r="F42" i="7"/>
  <c r="R41" i="7"/>
  <c r="J41" i="7"/>
  <c r="B41" i="7"/>
  <c r="N40" i="7"/>
  <c r="F40" i="7"/>
  <c r="R39" i="7"/>
  <c r="J39" i="7"/>
  <c r="B39" i="7"/>
  <c r="N38" i="7"/>
  <c r="F38" i="7"/>
  <c r="R37" i="7"/>
  <c r="J37" i="7"/>
  <c r="B37" i="7"/>
  <c r="N36" i="7"/>
  <c r="F36" i="7"/>
  <c r="R35" i="7"/>
  <c r="J35" i="7"/>
  <c r="B35" i="7"/>
  <c r="N34" i="7"/>
  <c r="F34" i="7"/>
  <c r="R33" i="7"/>
  <c r="J33" i="7"/>
  <c r="B33" i="7"/>
  <c r="N32" i="7"/>
  <c r="F32" i="7"/>
  <c r="R31" i="7"/>
  <c r="J31" i="7"/>
  <c r="J131" i="7"/>
  <c r="R129" i="7"/>
  <c r="F128" i="7"/>
  <c r="N126" i="7"/>
  <c r="B125" i="7"/>
  <c r="J123" i="7"/>
  <c r="R121" i="7"/>
  <c r="F120" i="7"/>
  <c r="N118" i="7"/>
  <c r="B117" i="7"/>
  <c r="J115" i="7"/>
  <c r="R113" i="7"/>
  <c r="F112" i="7"/>
  <c r="N110" i="7"/>
  <c r="B109" i="7"/>
  <c r="J107" i="7"/>
  <c r="R105" i="7"/>
  <c r="F104" i="7"/>
  <c r="N102" i="7"/>
  <c r="B101" i="7"/>
  <c r="J99" i="7"/>
  <c r="R97" i="7"/>
  <c r="F96" i="7"/>
  <c r="N94" i="7"/>
  <c r="B93" i="7"/>
  <c r="J91" i="7"/>
  <c r="R89" i="7"/>
  <c r="F88" i="7"/>
  <c r="N86" i="7"/>
  <c r="B85" i="7"/>
  <c r="J83" i="7"/>
  <c r="B82" i="7"/>
  <c r="F81" i="7"/>
  <c r="J80" i="7"/>
  <c r="N79" i="7"/>
  <c r="R78" i="7"/>
  <c r="B78" i="7"/>
  <c r="F77" i="7"/>
  <c r="J76" i="7"/>
  <c r="N75" i="7"/>
  <c r="R74" i="7"/>
  <c r="B74" i="7"/>
  <c r="F73" i="7"/>
  <c r="J72" i="7"/>
  <c r="N71" i="7"/>
  <c r="R70" i="7"/>
  <c r="B70" i="7"/>
  <c r="F69" i="7"/>
  <c r="J68" i="7"/>
  <c r="N67" i="7"/>
  <c r="R66" i="7"/>
  <c r="B66" i="7"/>
  <c r="F65" i="7"/>
  <c r="J64" i="7"/>
  <c r="N63" i="7"/>
  <c r="R62" i="7"/>
  <c r="B62" i="7"/>
  <c r="F61" i="7"/>
  <c r="J60" i="7"/>
  <c r="N59" i="7"/>
  <c r="R58" i="7"/>
  <c r="B58" i="7"/>
  <c r="F57" i="7"/>
  <c r="M56" i="7"/>
  <c r="D56" i="7"/>
  <c r="P55" i="7"/>
  <c r="H55" i="7"/>
  <c r="T54" i="7"/>
  <c r="L54" i="7"/>
  <c r="D54" i="7"/>
  <c r="P53" i="7"/>
  <c r="H53" i="7"/>
  <c r="T52" i="7"/>
  <c r="L52" i="7"/>
  <c r="D52" i="7"/>
  <c r="P51" i="7"/>
  <c r="H51" i="7"/>
  <c r="T50" i="7"/>
  <c r="L50" i="7"/>
  <c r="D50" i="7"/>
  <c r="P49" i="7"/>
  <c r="H49" i="7"/>
  <c r="T48" i="7"/>
  <c r="L48" i="7"/>
  <c r="D48" i="7"/>
  <c r="P47" i="7"/>
  <c r="H47" i="7"/>
  <c r="T46" i="7"/>
  <c r="L46" i="7"/>
  <c r="D46" i="7"/>
  <c r="P45" i="7"/>
  <c r="H45" i="7"/>
  <c r="T44" i="7"/>
  <c r="L44" i="7"/>
  <c r="D44" i="7"/>
  <c r="P43" i="7"/>
  <c r="H43" i="7"/>
  <c r="T42" i="7"/>
  <c r="L42" i="7"/>
  <c r="D42" i="7"/>
  <c r="P41" i="7"/>
  <c r="H41" i="7"/>
  <c r="T40" i="7"/>
  <c r="L40" i="7"/>
  <c r="D40" i="7"/>
  <c r="P39" i="7"/>
  <c r="H39" i="7"/>
  <c r="T38" i="7"/>
  <c r="L38" i="7"/>
  <c r="D38" i="7"/>
  <c r="P37" i="7"/>
  <c r="H37" i="7"/>
  <c r="T36" i="7"/>
  <c r="L36" i="7"/>
  <c r="D36" i="7"/>
  <c r="P35" i="7"/>
  <c r="H35" i="7"/>
  <c r="T34" i="7"/>
  <c r="L34" i="7"/>
  <c r="J132" i="7"/>
  <c r="F129" i="7"/>
  <c r="B126" i="7"/>
  <c r="R122" i="7"/>
  <c r="N119" i="7"/>
  <c r="J116" i="7"/>
  <c r="F113" i="7"/>
  <c r="B110" i="7"/>
  <c r="R106" i="7"/>
  <c r="N103" i="7"/>
  <c r="J100" i="7"/>
  <c r="F97" i="7"/>
  <c r="B94" i="7"/>
  <c r="R90" i="7"/>
  <c r="N87" i="7"/>
  <c r="J84" i="7"/>
  <c r="P81" i="7"/>
  <c r="D80" i="7"/>
  <c r="L78" i="7"/>
  <c r="T76" i="7"/>
  <c r="H75" i="7"/>
  <c r="P73" i="7"/>
  <c r="D72" i="7"/>
  <c r="L70" i="7"/>
  <c r="T68" i="7"/>
  <c r="H67" i="7"/>
  <c r="P65" i="7"/>
  <c r="D64" i="7"/>
  <c r="L62" i="7"/>
  <c r="T60" i="7"/>
  <c r="H59" i="7"/>
  <c r="P57" i="7"/>
  <c r="J56" i="7"/>
  <c r="M55" i="7"/>
  <c r="Q54" i="7"/>
  <c r="U53" i="7"/>
  <c r="E53" i="7"/>
  <c r="I52" i="7"/>
  <c r="M51" i="7"/>
  <c r="Q50" i="7"/>
  <c r="U49" i="7"/>
  <c r="E49" i="7"/>
  <c r="I48" i="7"/>
  <c r="M47" i="7"/>
  <c r="Q46" i="7"/>
  <c r="U45" i="7"/>
  <c r="E45" i="7"/>
  <c r="I44" i="7"/>
  <c r="M43" i="7"/>
  <c r="Q42" i="7"/>
  <c r="U41" i="7"/>
  <c r="E41" i="7"/>
  <c r="I40" i="7"/>
  <c r="M39" i="7"/>
  <c r="Q38" i="7"/>
  <c r="U37" i="7"/>
  <c r="E37" i="7"/>
  <c r="I36" i="7"/>
  <c r="M35" i="7"/>
  <c r="Q34" i="7"/>
  <c r="C34" i="7"/>
  <c r="I33" i="7"/>
  <c r="Q32" i="7"/>
  <c r="D32" i="7"/>
  <c r="L31" i="7"/>
  <c r="U30" i="7"/>
  <c r="L30" i="7"/>
  <c r="C30" i="7"/>
  <c r="M29" i="7"/>
  <c r="D29" i="7"/>
  <c r="O28" i="7"/>
  <c r="F28" i="7"/>
  <c r="Q27" i="7"/>
  <c r="H27" i="7"/>
  <c r="S26" i="7"/>
  <c r="I26" i="7"/>
  <c r="T25" i="7"/>
  <c r="K25" i="7"/>
  <c r="B25" i="7"/>
  <c r="M24" i="7"/>
  <c r="D24" i="7"/>
  <c r="O23" i="7"/>
  <c r="E23" i="7"/>
  <c r="P22" i="7"/>
  <c r="H22" i="7"/>
  <c r="T21" i="7"/>
  <c r="L21" i="7"/>
  <c r="D21" i="7"/>
  <c r="P20" i="7"/>
  <c r="H20" i="7"/>
  <c r="T19" i="7"/>
  <c r="L19" i="7"/>
  <c r="D19" i="7"/>
  <c r="P18" i="7"/>
  <c r="H18" i="7"/>
  <c r="T17" i="7"/>
  <c r="L17" i="7"/>
  <c r="D17" i="7"/>
  <c r="P16" i="7"/>
  <c r="H16" i="7"/>
  <c r="T15" i="7"/>
  <c r="L15" i="7"/>
  <c r="D15" i="7"/>
  <c r="P14" i="7"/>
  <c r="H14" i="7"/>
  <c r="T13" i="7"/>
  <c r="L13" i="7"/>
  <c r="D13" i="7"/>
  <c r="P12" i="7"/>
  <c r="H12" i="7"/>
  <c r="T11" i="7"/>
  <c r="L11" i="7"/>
  <c r="D11" i="7"/>
  <c r="P10" i="7"/>
  <c r="H10" i="7"/>
  <c r="T9" i="7"/>
  <c r="L9" i="7"/>
  <c r="D9" i="7"/>
  <c r="P8" i="7"/>
  <c r="H8" i="7"/>
  <c r="T7" i="7"/>
  <c r="L7" i="7"/>
  <c r="D7" i="7"/>
  <c r="F132" i="7"/>
  <c r="B129" i="7"/>
  <c r="R125" i="7"/>
  <c r="N122" i="7"/>
  <c r="J119" i="7"/>
  <c r="F116" i="7"/>
  <c r="F131" i="7"/>
  <c r="B128" i="7"/>
  <c r="R124" i="7"/>
  <c r="N121" i="7"/>
  <c r="J118" i="7"/>
  <c r="F115" i="7"/>
  <c r="B112" i="7"/>
  <c r="R108" i="7"/>
  <c r="N105" i="7"/>
  <c r="J102" i="7"/>
  <c r="F99" i="7"/>
  <c r="B96" i="7"/>
  <c r="R92" i="7"/>
  <c r="N89" i="7"/>
  <c r="J86" i="7"/>
  <c r="F83" i="7"/>
  <c r="D81" i="7"/>
  <c r="L79" i="7"/>
  <c r="T77" i="7"/>
  <c r="H76" i="7"/>
  <c r="P74" i="7"/>
  <c r="D73" i="7"/>
  <c r="L71" i="7"/>
  <c r="T69" i="7"/>
  <c r="H68" i="7"/>
  <c r="P66" i="7"/>
  <c r="D65" i="7"/>
  <c r="L63" i="7"/>
  <c r="T61" i="7"/>
  <c r="H60" i="7"/>
  <c r="P58" i="7"/>
  <c r="D57" i="7"/>
  <c r="C56" i="7"/>
  <c r="G55" i="7"/>
  <c r="K54" i="7"/>
  <c r="O53" i="7"/>
  <c r="S52" i="7"/>
  <c r="C52" i="7"/>
  <c r="G51" i="7"/>
  <c r="K50" i="7"/>
  <c r="O49" i="7"/>
  <c r="S48" i="7"/>
  <c r="C48" i="7"/>
  <c r="G47" i="7"/>
  <c r="K46" i="7"/>
  <c r="O45" i="7"/>
  <c r="S44" i="7"/>
  <c r="C44" i="7"/>
  <c r="G43" i="7"/>
  <c r="K42" i="7"/>
  <c r="O41" i="7"/>
  <c r="S40" i="7"/>
  <c r="C40" i="7"/>
  <c r="G39" i="7"/>
  <c r="K38" i="7"/>
  <c r="O37" i="7"/>
  <c r="S36" i="7"/>
  <c r="C36" i="7"/>
  <c r="G35" i="7"/>
  <c r="K34" i="7"/>
  <c r="Q33" i="7"/>
  <c r="E33" i="7"/>
  <c r="L32" i="7"/>
  <c r="T31" i="7"/>
  <c r="G31" i="7"/>
  <c r="Q30" i="7"/>
  <c r="H30" i="7"/>
  <c r="S29" i="7"/>
  <c r="J29" i="7"/>
  <c r="U28" i="7"/>
  <c r="L28" i="7"/>
  <c r="C28" i="7"/>
  <c r="M27" i="7"/>
  <c r="D27" i="7"/>
  <c r="O26" i="7"/>
  <c r="F26" i="7"/>
  <c r="Q25" i="7"/>
  <c r="H25" i="7"/>
  <c r="S24" i="7"/>
  <c r="I24" i="7"/>
  <c r="T23" i="7"/>
  <c r="K23" i="7"/>
  <c r="B23" i="7"/>
  <c r="M22" i="7"/>
  <c r="E22" i="7"/>
  <c r="Q21" i="7"/>
  <c r="I21" i="7"/>
  <c r="U20" i="7"/>
  <c r="M20" i="7"/>
  <c r="E20" i="7"/>
  <c r="Q19" i="7"/>
  <c r="I19" i="7"/>
  <c r="U18" i="7"/>
  <c r="M18" i="7"/>
  <c r="E18" i="7"/>
  <c r="Q17" i="7"/>
  <c r="I17" i="7"/>
  <c r="U16" i="7"/>
  <c r="M16" i="7"/>
  <c r="E16" i="7"/>
  <c r="Q15" i="7"/>
  <c r="I15" i="7"/>
  <c r="U14" i="7"/>
  <c r="M14" i="7"/>
  <c r="E14" i="7"/>
  <c r="Q13" i="7"/>
  <c r="I13" i="7"/>
  <c r="U12" i="7"/>
  <c r="M12" i="7"/>
  <c r="E12" i="7"/>
  <c r="Q11" i="7"/>
  <c r="I11" i="7"/>
  <c r="U10" i="7"/>
  <c r="M10" i="7"/>
  <c r="E10" i="7"/>
  <c r="Q9" i="7"/>
  <c r="I9" i="7"/>
  <c r="U8" i="7"/>
  <c r="M8" i="7"/>
  <c r="E8" i="7"/>
  <c r="Q7" i="7"/>
  <c r="I7" i="7"/>
  <c r="N130" i="7"/>
  <c r="F124" i="7"/>
  <c r="R117" i="7"/>
  <c r="J111" i="7"/>
  <c r="B105" i="7"/>
  <c r="N98" i="7"/>
  <c r="R130" i="7"/>
  <c r="N127" i="7"/>
  <c r="J124" i="7"/>
  <c r="F121" i="7"/>
  <c r="B118" i="7"/>
  <c r="R114" i="7"/>
  <c r="N111" i="7"/>
  <c r="J108" i="7"/>
  <c r="F105" i="7"/>
  <c r="B102" i="7"/>
  <c r="R98" i="7"/>
  <c r="N95" i="7"/>
  <c r="J92" i="7"/>
  <c r="F89" i="7"/>
  <c r="B86" i="7"/>
  <c r="R82" i="7"/>
  <c r="T80" i="7"/>
  <c r="H79" i="7"/>
  <c r="P77" i="7"/>
  <c r="D76" i="7"/>
  <c r="L74" i="7"/>
  <c r="T72" i="7"/>
  <c r="H71" i="7"/>
  <c r="P69" i="7"/>
  <c r="D68" i="7"/>
  <c r="L66" i="7"/>
  <c r="T64" i="7"/>
  <c r="H63" i="7"/>
  <c r="P61" i="7"/>
  <c r="D60" i="7"/>
  <c r="L58" i="7"/>
  <c r="T56" i="7"/>
  <c r="U55" i="7"/>
  <c r="E55" i="7"/>
  <c r="I54" i="7"/>
  <c r="M53" i="7"/>
  <c r="Q52" i="7"/>
  <c r="U51" i="7"/>
  <c r="E51" i="7"/>
  <c r="I50" i="7"/>
  <c r="M49" i="7"/>
  <c r="Q48" i="7"/>
  <c r="U47" i="7"/>
  <c r="E47" i="7"/>
  <c r="I46" i="7"/>
  <c r="M45" i="7"/>
  <c r="Q44" i="7"/>
  <c r="U43" i="7"/>
  <c r="E43" i="7"/>
  <c r="I42" i="7"/>
  <c r="M41" i="7"/>
  <c r="Q40" i="7"/>
  <c r="U39" i="7"/>
  <c r="E39" i="7"/>
  <c r="I38" i="7"/>
  <c r="M37" i="7"/>
  <c r="Q36" i="7"/>
  <c r="U35" i="7"/>
  <c r="E35" i="7"/>
  <c r="I34" i="7"/>
  <c r="P33" i="7"/>
  <c r="D33" i="7"/>
  <c r="K32" i="7"/>
  <c r="Q31" i="7"/>
  <c r="E31" i="7"/>
  <c r="P30" i="7"/>
  <c r="G30" i="7"/>
  <c r="R29" i="7"/>
  <c r="I29" i="7"/>
  <c r="T28" i="7"/>
  <c r="K28" i="7"/>
  <c r="U27" i="7"/>
  <c r="L27" i="7"/>
  <c r="C27" i="7"/>
  <c r="N26" i="7"/>
  <c r="E26" i="7"/>
  <c r="P25" i="7"/>
  <c r="G25" i="7"/>
  <c r="Q24" i="7"/>
  <c r="H24" i="7"/>
  <c r="S23" i="7"/>
  <c r="J23" i="7"/>
  <c r="U22" i="7"/>
  <c r="L22" i="7"/>
  <c r="D22" i="7"/>
  <c r="P21" i="7"/>
  <c r="H21" i="7"/>
  <c r="T20" i="7"/>
  <c r="L20" i="7"/>
  <c r="D20" i="7"/>
  <c r="P19" i="7"/>
  <c r="H19" i="7"/>
  <c r="T18" i="7"/>
  <c r="L18" i="7"/>
  <c r="D18" i="7"/>
  <c r="P17" i="7"/>
  <c r="H17" i="7"/>
  <c r="T16" i="7"/>
  <c r="L16" i="7"/>
  <c r="D16" i="7"/>
  <c r="P15" i="7"/>
  <c r="H15" i="7"/>
  <c r="T14" i="7"/>
  <c r="L14" i="7"/>
  <c r="D14" i="7"/>
  <c r="P13" i="7"/>
  <c r="H13" i="7"/>
  <c r="T12" i="7"/>
  <c r="L12" i="7"/>
  <c r="D12" i="7"/>
  <c r="P11" i="7"/>
  <c r="H11" i="7"/>
  <c r="T10" i="7"/>
  <c r="L10" i="7"/>
  <c r="D10" i="7"/>
  <c r="P9" i="7"/>
  <c r="H9" i="7"/>
  <c r="T8" i="7"/>
  <c r="L8" i="7"/>
  <c r="D8" i="7"/>
  <c r="P7" i="7"/>
  <c r="H7" i="7"/>
  <c r="J127" i="7"/>
  <c r="B121" i="7"/>
  <c r="N114" i="7"/>
  <c r="F108" i="7"/>
  <c r="R101" i="7"/>
  <c r="B130" i="7"/>
  <c r="R126" i="7"/>
  <c r="N123" i="7"/>
  <c r="J120" i="7"/>
  <c r="F117" i="7"/>
  <c r="B114" i="7"/>
  <c r="R110" i="7"/>
  <c r="N107" i="7"/>
  <c r="J104" i="7"/>
  <c r="F101" i="7"/>
  <c r="B98" i="7"/>
  <c r="R94" i="7"/>
  <c r="N91" i="7"/>
  <c r="J88" i="7"/>
  <c r="F85" i="7"/>
  <c r="D82" i="7"/>
  <c r="L80" i="7"/>
  <c r="T78" i="7"/>
  <c r="H77" i="7"/>
  <c r="P75" i="7"/>
  <c r="D74" i="7"/>
  <c r="L72" i="7"/>
  <c r="T70" i="7"/>
  <c r="H69" i="7"/>
  <c r="P67" i="7"/>
  <c r="D66" i="7"/>
  <c r="L64" i="7"/>
  <c r="T62" i="7"/>
  <c r="H61" i="7"/>
  <c r="P59" i="7"/>
  <c r="D58" i="7"/>
  <c r="N56" i="7"/>
  <c r="Q55" i="7"/>
  <c r="U54" i="7"/>
  <c r="E54" i="7"/>
  <c r="I53" i="7"/>
  <c r="M52" i="7"/>
  <c r="Q51" i="7"/>
  <c r="U50" i="7"/>
  <c r="E50" i="7"/>
  <c r="I49" i="7"/>
  <c r="M48" i="7"/>
  <c r="Q47" i="7"/>
  <c r="U46" i="7"/>
  <c r="E46" i="7"/>
  <c r="I45" i="7"/>
  <c r="M44" i="7"/>
  <c r="Q43" i="7"/>
  <c r="U42" i="7"/>
  <c r="E42" i="7"/>
  <c r="I41" i="7"/>
  <c r="M40" i="7"/>
  <c r="Q39" i="7"/>
  <c r="U38" i="7"/>
  <c r="E38" i="7"/>
  <c r="I37" i="7"/>
  <c r="M36" i="7"/>
  <c r="Q35" i="7"/>
  <c r="U34" i="7"/>
  <c r="E34" i="7"/>
  <c r="M33" i="7"/>
  <c r="T32" i="7"/>
  <c r="H32" i="7"/>
  <c r="O31" i="7"/>
  <c r="C31" i="7"/>
  <c r="N30" i="7"/>
  <c r="E30" i="7"/>
  <c r="P29" i="7"/>
  <c r="G29" i="7"/>
  <c r="Q28" i="7"/>
  <c r="H28" i="7"/>
  <c r="S27" i="7"/>
  <c r="J27" i="7"/>
  <c r="U26" i="7"/>
  <c r="L26" i="7"/>
  <c r="C26" i="7"/>
  <c r="M25" i="7"/>
  <c r="D25" i="7"/>
  <c r="O24" i="7"/>
  <c r="F24" i="7"/>
  <c r="Q23" i="7"/>
  <c r="H23" i="7"/>
  <c r="S22" i="7"/>
  <c r="J22" i="7"/>
  <c r="B22" i="7"/>
  <c r="N21" i="7"/>
  <c r="F21" i="7"/>
  <c r="R20" i="7"/>
  <c r="J20" i="7"/>
  <c r="B20" i="7"/>
  <c r="N19" i="7"/>
  <c r="F19" i="7"/>
  <c r="R18" i="7"/>
  <c r="J18" i="7"/>
  <c r="B18" i="7"/>
  <c r="N17" i="7"/>
  <c r="F17" i="7"/>
  <c r="R16" i="7"/>
  <c r="J16" i="7"/>
  <c r="B16" i="7"/>
  <c r="N15" i="7"/>
  <c r="F15" i="7"/>
  <c r="R14" i="7"/>
  <c r="J14" i="7"/>
  <c r="B14" i="7"/>
  <c r="N13" i="7"/>
  <c r="F13" i="7"/>
  <c r="R12" i="7"/>
  <c r="J12" i="7"/>
  <c r="B12" i="7"/>
  <c r="N11" i="7"/>
  <c r="F11" i="7"/>
  <c r="R10" i="7"/>
  <c r="J10" i="7"/>
  <c r="B10" i="7"/>
  <c r="N9" i="7"/>
  <c r="F9" i="7"/>
  <c r="R8" i="7"/>
  <c r="J8" i="7"/>
  <c r="B8" i="7"/>
  <c r="N7" i="7"/>
  <c r="F7" i="7"/>
  <c r="N131" i="7"/>
  <c r="R118" i="7"/>
  <c r="F109" i="7"/>
  <c r="F100" i="7"/>
  <c r="F93" i="7"/>
  <c r="R86" i="7"/>
  <c r="H81" i="7"/>
  <c r="D78" i="7"/>
  <c r="T74" i="7"/>
  <c r="P71" i="7"/>
  <c r="L68" i="7"/>
  <c r="H65" i="7"/>
  <c r="D62" i="7"/>
  <c r="T58" i="7"/>
  <c r="E56" i="7"/>
  <c r="M54" i="7"/>
  <c r="U52" i="7"/>
  <c r="I51" i="7"/>
  <c r="Q49" i="7"/>
  <c r="E48" i="7"/>
  <c r="M46" i="7"/>
  <c r="U44" i="7"/>
  <c r="I43" i="7"/>
  <c r="Q41" i="7"/>
  <c r="E40" i="7"/>
  <c r="M38" i="7"/>
  <c r="U36" i="7"/>
  <c r="I35" i="7"/>
  <c r="T33" i="7"/>
  <c r="M32" i="7"/>
  <c r="H31" i="7"/>
  <c r="I30" i="7"/>
  <c r="K29" i="7"/>
  <c r="M28" i="7"/>
  <c r="O27" i="7"/>
  <c r="P26" i="7"/>
  <c r="R25" i="7"/>
  <c r="T24" i="7"/>
  <c r="U23" i="7"/>
  <c r="C23" i="7"/>
  <c r="F22" i="7"/>
  <c r="J21" i="7"/>
  <c r="N20" i="7"/>
  <c r="R19" i="7"/>
  <c r="B19" i="7"/>
  <c r="F18" i="7"/>
  <c r="J17" i="7"/>
  <c r="N16" i="7"/>
  <c r="R15" i="7"/>
  <c r="B15" i="7"/>
  <c r="F14" i="7"/>
  <c r="J13" i="7"/>
  <c r="N12" i="7"/>
  <c r="R11" i="7"/>
  <c r="B11" i="7"/>
  <c r="F10" i="7"/>
  <c r="J9" i="7"/>
  <c r="N8" i="7"/>
  <c r="R7" i="7"/>
  <c r="B7" i="7"/>
  <c r="N129" i="7"/>
  <c r="R116" i="7"/>
  <c r="F107" i="7"/>
  <c r="N99" i="7"/>
  <c r="F92" i="7"/>
  <c r="R85" i="7"/>
  <c r="R80" i="7"/>
  <c r="N77" i="7"/>
  <c r="J74" i="7"/>
  <c r="F71" i="7"/>
  <c r="B68" i="7"/>
  <c r="R64" i="7"/>
  <c r="N61" i="7"/>
  <c r="J58" i="7"/>
  <c r="T55" i="7"/>
  <c r="H54" i="7"/>
  <c r="P52" i="7"/>
  <c r="D51" i="7"/>
  <c r="L49" i="7"/>
  <c r="T47" i="7"/>
  <c r="H46" i="7"/>
  <c r="P44" i="7"/>
  <c r="D43" i="7"/>
  <c r="L41" i="7"/>
  <c r="T39" i="7"/>
  <c r="H38" i="7"/>
  <c r="P36" i="7"/>
  <c r="D35" i="7"/>
  <c r="O33" i="7"/>
  <c r="I32" i="7"/>
  <c r="D31" i="7"/>
  <c r="F30" i="7"/>
  <c r="H29" i="7"/>
  <c r="I28" i="7"/>
  <c r="K27" i="7"/>
  <c r="M26" i="7"/>
  <c r="O25" i="7"/>
  <c r="P24" i="7"/>
  <c r="R23" i="7"/>
  <c r="T22" i="7"/>
  <c r="C22" i="7"/>
  <c r="G21" i="7"/>
  <c r="K20" i="7"/>
  <c r="O19" i="7"/>
  <c r="S18" i="7"/>
  <c r="C18" i="7"/>
  <c r="G17" i="7"/>
  <c r="K16" i="7"/>
  <c r="O15" i="7"/>
  <c r="S14" i="7"/>
  <c r="C14" i="7"/>
  <c r="G13" i="7"/>
  <c r="K12" i="7"/>
  <c r="O11" i="7"/>
  <c r="S10" i="7"/>
  <c r="C10" i="7"/>
  <c r="G9" i="7"/>
  <c r="K8" i="7"/>
  <c r="O7" i="7"/>
  <c r="J128" i="7"/>
  <c r="N115" i="7"/>
  <c r="N106" i="7"/>
  <c r="N97" i="7"/>
  <c r="H80" i="7"/>
  <c r="D77" i="7"/>
  <c r="P70" i="7"/>
  <c r="L67" i="7"/>
  <c r="H64" i="7"/>
  <c r="D61" i="7"/>
  <c r="T57" i="7"/>
  <c r="O55" i="7"/>
  <c r="C54" i="7"/>
  <c r="G49" i="7"/>
  <c r="O47" i="7"/>
  <c r="S42" i="7"/>
  <c r="K36" i="7"/>
  <c r="E32" i="7"/>
  <c r="D30" i="7"/>
  <c r="I27" i="7"/>
  <c r="P23" i="7"/>
  <c r="I20" i="7"/>
  <c r="U17" i="7"/>
  <c r="Q14" i="7"/>
  <c r="M11" i="7"/>
  <c r="M7" i="7"/>
  <c r="J126" i="7"/>
  <c r="N113" i="7"/>
  <c r="B106" i="7"/>
  <c r="B97" i="7"/>
  <c r="N90" i="7"/>
  <c r="F84" i="7"/>
  <c r="B80" i="7"/>
  <c r="R76" i="7"/>
  <c r="N73" i="7"/>
  <c r="J70" i="7"/>
  <c r="F67" i="7"/>
  <c r="B64" i="7"/>
  <c r="R60" i="7"/>
  <c r="N57" i="7"/>
  <c r="L55" i="7"/>
  <c r="T53" i="7"/>
  <c r="H52" i="7"/>
  <c r="P50" i="7"/>
  <c r="D49" i="7"/>
  <c r="L47" i="7"/>
  <c r="T45" i="7"/>
  <c r="H44" i="7"/>
  <c r="P42" i="7"/>
  <c r="D41" i="7"/>
  <c r="L39" i="7"/>
  <c r="T37" i="7"/>
  <c r="H36" i="7"/>
  <c r="P34" i="7"/>
  <c r="H33" i="7"/>
  <c r="C32" i="7"/>
  <c r="T30" i="7"/>
  <c r="U29" i="7"/>
  <c r="C29" i="7"/>
  <c r="E28" i="7"/>
  <c r="G27" i="7"/>
  <c r="H26" i="7"/>
  <c r="J25" i="7"/>
  <c r="L24" i="7"/>
  <c r="M23" i="7"/>
  <c r="O22" i="7"/>
  <c r="S21" i="7"/>
  <c r="C21" i="7"/>
  <c r="G20" i="7"/>
  <c r="K19" i="7"/>
  <c r="O18" i="7"/>
  <c r="S17" i="7"/>
  <c r="C17" i="7"/>
  <c r="G16" i="7"/>
  <c r="K15" i="7"/>
  <c r="O14" i="7"/>
  <c r="S13" i="7"/>
  <c r="C13" i="7"/>
  <c r="G12" i="7"/>
  <c r="K11" i="7"/>
  <c r="O10" i="7"/>
  <c r="S9" i="7"/>
  <c r="C9" i="7"/>
  <c r="G8" i="7"/>
  <c r="K7" i="7"/>
  <c r="J112" i="7"/>
  <c r="F79" i="7"/>
  <c r="R72" i="7"/>
  <c r="J66" i="7"/>
  <c r="B60" i="7"/>
  <c r="D55" i="7"/>
  <c r="T51" i="7"/>
  <c r="P48" i="7"/>
  <c r="L45" i="7"/>
  <c r="H42" i="7"/>
  <c r="D39" i="7"/>
  <c r="T35" i="7"/>
  <c r="U32" i="7"/>
  <c r="O30" i="7"/>
  <c r="S28" i="7"/>
  <c r="B27" i="7"/>
  <c r="E25" i="7"/>
  <c r="I23" i="7"/>
  <c r="K22" i="7"/>
  <c r="S20" i="7"/>
  <c r="G19" i="7"/>
  <c r="O17" i="7"/>
  <c r="C16" i="7"/>
  <c r="O13" i="7"/>
  <c r="C12" i="7"/>
  <c r="K10" i="7"/>
  <c r="S8" i="7"/>
  <c r="G7" i="7"/>
  <c r="P54" i="7"/>
  <c r="D37" i="7"/>
  <c r="P32" i="7"/>
  <c r="L29" i="7"/>
  <c r="P27" i="7"/>
  <c r="U24" i="7"/>
  <c r="G22" i="7"/>
  <c r="O20" i="7"/>
  <c r="C19" i="7"/>
  <c r="O16" i="7"/>
  <c r="C15" i="7"/>
  <c r="O12" i="7"/>
  <c r="C11" i="7"/>
  <c r="O8" i="7"/>
  <c r="C7" i="7"/>
  <c r="R84" i="7"/>
  <c r="K52" i="7"/>
  <c r="C46" i="7"/>
  <c r="G41" i="7"/>
  <c r="L33" i="7"/>
  <c r="G28" i="7"/>
  <c r="L25" i="7"/>
  <c r="Q22" i="7"/>
  <c r="M19" i="7"/>
  <c r="I16" i="7"/>
  <c r="E13" i="7"/>
  <c r="Q10" i="7"/>
  <c r="I8" i="7"/>
  <c r="F125" i="7"/>
  <c r="B113" i="7"/>
  <c r="B104" i="7"/>
  <c r="J96" i="7"/>
  <c r="B90" i="7"/>
  <c r="N83" i="7"/>
  <c r="P79" i="7"/>
  <c r="L76" i="7"/>
  <c r="H73" i="7"/>
  <c r="D70" i="7"/>
  <c r="T66" i="7"/>
  <c r="P63" i="7"/>
  <c r="L60" i="7"/>
  <c r="H57" i="7"/>
  <c r="I55" i="7"/>
  <c r="Q53" i="7"/>
  <c r="E52" i="7"/>
  <c r="M50" i="7"/>
  <c r="U48" i="7"/>
  <c r="I47" i="7"/>
  <c r="Q45" i="7"/>
  <c r="E44" i="7"/>
  <c r="M42" i="7"/>
  <c r="U40" i="7"/>
  <c r="I39" i="7"/>
  <c r="Q37" i="7"/>
  <c r="E36" i="7"/>
  <c r="M34" i="7"/>
  <c r="G33" i="7"/>
  <c r="U31" i="7"/>
  <c r="S30" i="7"/>
  <c r="T29" i="7"/>
  <c r="B29" i="7"/>
  <c r="D28" i="7"/>
  <c r="E27" i="7"/>
  <c r="G26" i="7"/>
  <c r="I25" i="7"/>
  <c r="K24" i="7"/>
  <c r="L23" i="7"/>
  <c r="N22" i="7"/>
  <c r="R21" i="7"/>
  <c r="B21" i="7"/>
  <c r="F20" i="7"/>
  <c r="J19" i="7"/>
  <c r="N18" i="7"/>
  <c r="R17" i="7"/>
  <c r="B17" i="7"/>
  <c r="F16" i="7"/>
  <c r="J15" i="7"/>
  <c r="N14" i="7"/>
  <c r="R13" i="7"/>
  <c r="B13" i="7"/>
  <c r="F12" i="7"/>
  <c r="J11" i="7"/>
  <c r="N10" i="7"/>
  <c r="R9" i="7"/>
  <c r="B9" i="7"/>
  <c r="F8" i="7"/>
  <c r="J7" i="7"/>
  <c r="F123" i="7"/>
  <c r="J103" i="7"/>
  <c r="J95" i="7"/>
  <c r="B89" i="7"/>
  <c r="N82" i="7"/>
  <c r="B76" i="7"/>
  <c r="N69" i="7"/>
  <c r="F63" i="7"/>
  <c r="R56" i="7"/>
  <c r="L53" i="7"/>
  <c r="H50" i="7"/>
  <c r="D47" i="7"/>
  <c r="T43" i="7"/>
  <c r="P40" i="7"/>
  <c r="L37" i="7"/>
  <c r="H34" i="7"/>
  <c r="P31" i="7"/>
  <c r="Q29" i="7"/>
  <c r="T27" i="7"/>
  <c r="D26" i="7"/>
  <c r="G24" i="7"/>
  <c r="O21" i="7"/>
  <c r="C20" i="7"/>
  <c r="K18" i="7"/>
  <c r="S16" i="7"/>
  <c r="G15" i="7"/>
  <c r="K14" i="7"/>
  <c r="S12" i="7"/>
  <c r="G11" i="7"/>
  <c r="O9" i="7"/>
  <c r="C8" i="7"/>
  <c r="L51" i="7"/>
  <c r="P38" i="7"/>
  <c r="U33" i="7"/>
  <c r="K30" i="7"/>
  <c r="Q26" i="7"/>
  <c r="C24" i="7"/>
  <c r="K21" i="7"/>
  <c r="G18" i="7"/>
  <c r="S15" i="7"/>
  <c r="K13" i="7"/>
  <c r="G10" i="7"/>
  <c r="S7" i="7"/>
  <c r="F91" i="7"/>
  <c r="S50" i="7"/>
  <c r="K44" i="7"/>
  <c r="O39" i="7"/>
  <c r="S34" i="7"/>
  <c r="B31" i="7"/>
  <c r="K26" i="7"/>
  <c r="U21" i="7"/>
  <c r="Q18" i="7"/>
  <c r="M15" i="7"/>
  <c r="I12" i="7"/>
  <c r="E9" i="7"/>
  <c r="B122" i="7"/>
  <c r="J110" i="7"/>
  <c r="R102" i="7"/>
  <c r="J94" i="7"/>
  <c r="B88" i="7"/>
  <c r="T81" i="7"/>
  <c r="P78" i="7"/>
  <c r="L75" i="7"/>
  <c r="H72" i="7"/>
  <c r="D69" i="7"/>
  <c r="T65" i="7"/>
  <c r="P62" i="7"/>
  <c r="L59" i="7"/>
  <c r="L56" i="7"/>
  <c r="S54" i="7"/>
  <c r="G53" i="7"/>
  <c r="O51" i="7"/>
  <c r="C50" i="7"/>
  <c r="K48" i="7"/>
  <c r="S46" i="7"/>
  <c r="G45" i="7"/>
  <c r="O43" i="7"/>
  <c r="C42" i="7"/>
  <c r="K40" i="7"/>
  <c r="S38" i="7"/>
  <c r="G37" i="7"/>
  <c r="O35" i="7"/>
  <c r="D34" i="7"/>
  <c r="S32" i="7"/>
  <c r="M31" i="7"/>
  <c r="M30" i="7"/>
  <c r="O29" i="7"/>
  <c r="P28" i="7"/>
  <c r="R27" i="7"/>
  <c r="T26" i="7"/>
  <c r="U25" i="7"/>
  <c r="C25" i="7"/>
  <c r="E24" i="7"/>
  <c r="G23" i="7"/>
  <c r="I22" i="7"/>
  <c r="M21" i="7"/>
  <c r="Q20" i="7"/>
  <c r="U19" i="7"/>
  <c r="E19" i="7"/>
  <c r="I18" i="7"/>
  <c r="M17" i="7"/>
  <c r="Q16" i="7"/>
  <c r="U15" i="7"/>
  <c r="E15" i="7"/>
  <c r="I14" i="7"/>
  <c r="M13" i="7"/>
  <c r="Q12" i="7"/>
  <c r="U11" i="7"/>
  <c r="E11" i="7"/>
  <c r="I10" i="7"/>
  <c r="M9" i="7"/>
  <c r="Q8" i="7"/>
  <c r="U7" i="7"/>
  <c r="E7" i="7"/>
  <c r="B120" i="7"/>
  <c r="R109" i="7"/>
  <c r="R100" i="7"/>
  <c r="R93" i="7"/>
  <c r="J87" i="7"/>
  <c r="N81" i="7"/>
  <c r="J78" i="7"/>
  <c r="F75" i="7"/>
  <c r="B72" i="7"/>
  <c r="R68" i="7"/>
  <c r="N65" i="7"/>
  <c r="J62" i="7"/>
  <c r="F59" i="7"/>
  <c r="H56" i="7"/>
  <c r="D53" i="7"/>
  <c r="T49" i="7"/>
  <c r="H48" i="7"/>
  <c r="P46" i="7"/>
  <c r="D45" i="7"/>
  <c r="L43" i="7"/>
  <c r="T41" i="7"/>
  <c r="H40" i="7"/>
  <c r="L35" i="7"/>
  <c r="I31" i="7"/>
  <c r="N28" i="7"/>
  <c r="S25" i="7"/>
  <c r="D23" i="7"/>
  <c r="S19" i="7"/>
  <c r="K17" i="7"/>
  <c r="G14" i="7"/>
  <c r="S11" i="7"/>
  <c r="K9" i="7"/>
  <c r="T73" i="7"/>
  <c r="C38" i="7"/>
  <c r="E29" i="7"/>
  <c r="N24" i="7"/>
  <c r="E21" i="7"/>
  <c r="E17" i="7"/>
  <c r="U13" i="7"/>
  <c r="U9" i="7"/>
  <c r="U132" i="6"/>
  <c r="M132" i="6"/>
  <c r="E132" i="6"/>
  <c r="Q131" i="6"/>
  <c r="I131" i="6"/>
  <c r="U130" i="6"/>
  <c r="M130" i="6"/>
  <c r="E130" i="6"/>
  <c r="Q129" i="6"/>
  <c r="I129" i="6"/>
  <c r="U128" i="6"/>
  <c r="M128" i="6"/>
  <c r="E128" i="6"/>
  <c r="Q127" i="6"/>
  <c r="I127" i="6"/>
  <c r="U126" i="6"/>
  <c r="M126" i="6"/>
  <c r="E126" i="6"/>
  <c r="Q125" i="6"/>
  <c r="I125" i="6"/>
  <c r="U124" i="6"/>
  <c r="M124" i="6"/>
  <c r="E124" i="6"/>
  <c r="Q123" i="6"/>
  <c r="I123" i="6"/>
  <c r="U122" i="6"/>
  <c r="M122" i="6"/>
  <c r="E122" i="6"/>
  <c r="Q121" i="6"/>
  <c r="I121" i="6"/>
  <c r="U120" i="6"/>
  <c r="M120" i="6"/>
  <c r="E120" i="6"/>
  <c r="Q119" i="6"/>
  <c r="I119" i="6"/>
  <c r="U118" i="6"/>
  <c r="M118" i="6"/>
  <c r="E118" i="6"/>
  <c r="Q117" i="6"/>
  <c r="I117" i="6"/>
  <c r="U116" i="6"/>
  <c r="M116" i="6"/>
  <c r="E116" i="6"/>
  <c r="Q115" i="6"/>
  <c r="I115" i="6"/>
  <c r="U114" i="6"/>
  <c r="M114" i="6"/>
  <c r="E114" i="6"/>
  <c r="Q113" i="6"/>
  <c r="I113" i="6"/>
  <c r="U112" i="6"/>
  <c r="M112" i="6"/>
  <c r="E112" i="6"/>
  <c r="Q111" i="6"/>
  <c r="I111" i="6"/>
  <c r="U110" i="6"/>
  <c r="M110" i="6"/>
  <c r="E110" i="6"/>
  <c r="Q109" i="6"/>
  <c r="I109" i="6"/>
  <c r="U108" i="6"/>
  <c r="M108" i="6"/>
  <c r="E108" i="6"/>
  <c r="Q107" i="6"/>
  <c r="I107" i="6"/>
  <c r="U106" i="6"/>
  <c r="M106" i="6"/>
  <c r="E106" i="6"/>
  <c r="Q105" i="6"/>
  <c r="I105" i="6"/>
  <c r="U104" i="6"/>
  <c r="M104" i="6"/>
  <c r="E104" i="6"/>
  <c r="Q103" i="6"/>
  <c r="I103" i="6"/>
  <c r="U102" i="6"/>
  <c r="M102" i="6"/>
  <c r="E102" i="6"/>
  <c r="Q101" i="6"/>
  <c r="I101" i="6"/>
  <c r="U100" i="6"/>
  <c r="M100" i="6"/>
  <c r="E100" i="6"/>
  <c r="Q99" i="6"/>
  <c r="I99" i="6"/>
  <c r="U98" i="6"/>
  <c r="M98" i="6"/>
  <c r="E98" i="6"/>
  <c r="Q97" i="6"/>
  <c r="I97" i="6"/>
  <c r="U96" i="6"/>
  <c r="M96" i="6"/>
  <c r="E96" i="6"/>
  <c r="Q95" i="6"/>
  <c r="I95" i="6"/>
  <c r="U94" i="6"/>
  <c r="M94" i="6"/>
  <c r="E94" i="6"/>
  <c r="Q93" i="6"/>
  <c r="I93" i="6"/>
  <c r="U92" i="6"/>
  <c r="M92" i="6"/>
  <c r="E92" i="6"/>
  <c r="Q91" i="6"/>
  <c r="I91" i="6"/>
  <c r="U90" i="6"/>
  <c r="M90" i="6"/>
  <c r="E90" i="6"/>
  <c r="Q89" i="6"/>
  <c r="I89" i="6"/>
  <c r="U88" i="6"/>
  <c r="M88" i="6"/>
  <c r="E88" i="6"/>
  <c r="Q87" i="6"/>
  <c r="I87" i="6"/>
  <c r="T132" i="6"/>
  <c r="L132" i="6"/>
  <c r="D132" i="6"/>
  <c r="P131" i="6"/>
  <c r="H131" i="6"/>
  <c r="T130" i="6"/>
  <c r="L130" i="6"/>
  <c r="D130" i="6"/>
  <c r="P129" i="6"/>
  <c r="H129" i="6"/>
  <c r="T128" i="6"/>
  <c r="L128" i="6"/>
  <c r="D128" i="6"/>
  <c r="P127" i="6"/>
  <c r="H127" i="6"/>
  <c r="T126" i="6"/>
  <c r="L126" i="6"/>
  <c r="D126" i="6"/>
  <c r="P125" i="6"/>
  <c r="H125" i="6"/>
  <c r="T124" i="6"/>
  <c r="L124" i="6"/>
  <c r="D124" i="6"/>
  <c r="P123" i="6"/>
  <c r="H123" i="6"/>
  <c r="T122" i="6"/>
  <c r="L122" i="6"/>
  <c r="D122" i="6"/>
  <c r="P121" i="6"/>
  <c r="H121" i="6"/>
  <c r="T120" i="6"/>
  <c r="L120" i="6"/>
  <c r="D120" i="6"/>
  <c r="P119" i="6"/>
  <c r="H119" i="6"/>
  <c r="T118" i="6"/>
  <c r="L118" i="6"/>
  <c r="D118" i="6"/>
  <c r="P117" i="6"/>
  <c r="H117" i="6"/>
  <c r="T116" i="6"/>
  <c r="L116" i="6"/>
  <c r="D116" i="6"/>
  <c r="P115" i="6"/>
  <c r="H115" i="6"/>
  <c r="T114" i="6"/>
  <c r="L114" i="6"/>
  <c r="D114" i="6"/>
  <c r="P113" i="6"/>
  <c r="H113" i="6"/>
  <c r="T112" i="6"/>
  <c r="L112" i="6"/>
  <c r="D112" i="6"/>
  <c r="P111" i="6"/>
  <c r="H111" i="6"/>
  <c r="T110" i="6"/>
  <c r="L110" i="6"/>
  <c r="D110" i="6"/>
  <c r="P109" i="6"/>
  <c r="H109" i="6"/>
  <c r="T108" i="6"/>
  <c r="L108" i="6"/>
  <c r="D108" i="6"/>
  <c r="P107" i="6"/>
  <c r="H107" i="6"/>
  <c r="T106" i="6"/>
  <c r="L106" i="6"/>
  <c r="D106" i="6"/>
  <c r="P105" i="6"/>
  <c r="H105" i="6"/>
  <c r="T104" i="6"/>
  <c r="L104" i="6"/>
  <c r="D104" i="6"/>
  <c r="P103" i="6"/>
  <c r="H103" i="6"/>
  <c r="T102" i="6"/>
  <c r="L102" i="6"/>
  <c r="D102" i="6"/>
  <c r="P101" i="6"/>
  <c r="H101" i="6"/>
  <c r="T100" i="6"/>
  <c r="L100" i="6"/>
  <c r="D100" i="6"/>
  <c r="P99" i="6"/>
  <c r="H99" i="6"/>
  <c r="T98" i="6"/>
  <c r="L98" i="6"/>
  <c r="D98" i="6"/>
  <c r="P97" i="6"/>
  <c r="H97" i="6"/>
  <c r="T96" i="6"/>
  <c r="L96" i="6"/>
  <c r="D96" i="6"/>
  <c r="P95" i="6"/>
  <c r="H95" i="6"/>
  <c r="T94" i="6"/>
  <c r="L94" i="6"/>
  <c r="D94" i="6"/>
  <c r="P93" i="6"/>
  <c r="H93" i="6"/>
  <c r="T92" i="6"/>
  <c r="L92" i="6"/>
  <c r="D92" i="6"/>
  <c r="P91" i="6"/>
  <c r="H91" i="6"/>
  <c r="T90" i="6"/>
  <c r="L90" i="6"/>
  <c r="D90" i="6"/>
  <c r="P89" i="6"/>
  <c r="H89" i="6"/>
  <c r="T88" i="6"/>
  <c r="L88" i="6"/>
  <c r="D88" i="6"/>
  <c r="P87" i="6"/>
  <c r="Q132" i="6"/>
  <c r="I132" i="6"/>
  <c r="U131" i="6"/>
  <c r="M131" i="6"/>
  <c r="E131" i="6"/>
  <c r="Q130" i="6"/>
  <c r="I130" i="6"/>
  <c r="U129" i="6"/>
  <c r="M129" i="6"/>
  <c r="E129" i="6"/>
  <c r="Q128" i="6"/>
  <c r="I128" i="6"/>
  <c r="U127" i="6"/>
  <c r="M127" i="6"/>
  <c r="E127" i="6"/>
  <c r="Q126" i="6"/>
  <c r="I126" i="6"/>
  <c r="U125" i="6"/>
  <c r="M125" i="6"/>
  <c r="E125" i="6"/>
  <c r="Q124" i="6"/>
  <c r="I124" i="6"/>
  <c r="U123" i="6"/>
  <c r="M123" i="6"/>
  <c r="E123" i="6"/>
  <c r="Q122" i="6"/>
  <c r="I122" i="6"/>
  <c r="U121" i="6"/>
  <c r="M121" i="6"/>
  <c r="E121" i="6"/>
  <c r="Q120" i="6"/>
  <c r="I120" i="6"/>
  <c r="U119" i="6"/>
  <c r="M119" i="6"/>
  <c r="E119" i="6"/>
  <c r="Q118" i="6"/>
  <c r="I118" i="6"/>
  <c r="U117" i="6"/>
  <c r="M117" i="6"/>
  <c r="E117" i="6"/>
  <c r="Q116" i="6"/>
  <c r="I116" i="6"/>
  <c r="U115" i="6"/>
  <c r="M115" i="6"/>
  <c r="E115" i="6"/>
  <c r="Q114" i="6"/>
  <c r="I114" i="6"/>
  <c r="U113" i="6"/>
  <c r="M113" i="6"/>
  <c r="E113" i="6"/>
  <c r="Q112" i="6"/>
  <c r="I112" i="6"/>
  <c r="U111" i="6"/>
  <c r="M111" i="6"/>
  <c r="E111" i="6"/>
  <c r="Q110" i="6"/>
  <c r="I110" i="6"/>
  <c r="U109" i="6"/>
  <c r="M109" i="6"/>
  <c r="E109" i="6"/>
  <c r="Q108" i="6"/>
  <c r="I108" i="6"/>
  <c r="U107" i="6"/>
  <c r="M107" i="6"/>
  <c r="E107" i="6"/>
  <c r="Q106" i="6"/>
  <c r="I106" i="6"/>
  <c r="U105" i="6"/>
  <c r="M105" i="6"/>
  <c r="E105" i="6"/>
  <c r="Q104" i="6"/>
  <c r="I104" i="6"/>
  <c r="U103" i="6"/>
  <c r="M103" i="6"/>
  <c r="E103" i="6"/>
  <c r="Q102" i="6"/>
  <c r="I102" i="6"/>
  <c r="U101" i="6"/>
  <c r="M101" i="6"/>
  <c r="E101" i="6"/>
  <c r="Q100" i="6"/>
  <c r="I100" i="6"/>
  <c r="U99" i="6"/>
  <c r="M99" i="6"/>
  <c r="E99" i="6"/>
  <c r="Q98" i="6"/>
  <c r="I98" i="6"/>
  <c r="U97" i="6"/>
  <c r="M97" i="6"/>
  <c r="E97" i="6"/>
  <c r="Q96" i="6"/>
  <c r="I96" i="6"/>
  <c r="U95" i="6"/>
  <c r="M95" i="6"/>
  <c r="E95" i="6"/>
  <c r="Q94" i="6"/>
  <c r="I94" i="6"/>
  <c r="U93" i="6"/>
  <c r="M93" i="6"/>
  <c r="E93" i="6"/>
  <c r="Q92" i="6"/>
  <c r="I92" i="6"/>
  <c r="U91" i="6"/>
  <c r="M91" i="6"/>
  <c r="E91" i="6"/>
  <c r="Q90" i="6"/>
  <c r="I90" i="6"/>
  <c r="U89" i="6"/>
  <c r="M89" i="6"/>
  <c r="E89" i="6"/>
  <c r="Q88" i="6"/>
  <c r="I88" i="6"/>
  <c r="U87" i="6"/>
  <c r="M87" i="6"/>
  <c r="E87" i="6"/>
  <c r="Q86" i="6"/>
  <c r="I86" i="6"/>
  <c r="U85" i="6"/>
  <c r="M85" i="6"/>
  <c r="E85" i="6"/>
  <c r="Q84" i="6"/>
  <c r="I84" i="6"/>
  <c r="U83" i="6"/>
  <c r="M83" i="6"/>
  <c r="E83" i="6"/>
  <c r="Q82" i="6"/>
  <c r="I82" i="6"/>
  <c r="O132" i="6"/>
  <c r="G132" i="6"/>
  <c r="S131" i="6"/>
  <c r="K131" i="6"/>
  <c r="C131" i="6"/>
  <c r="O130" i="6"/>
  <c r="G130" i="6"/>
  <c r="S129" i="6"/>
  <c r="K129" i="6"/>
  <c r="C129" i="6"/>
  <c r="O128" i="6"/>
  <c r="G128" i="6"/>
  <c r="S127" i="6"/>
  <c r="K127" i="6"/>
  <c r="C127" i="6"/>
  <c r="O126" i="6"/>
  <c r="G126" i="6"/>
  <c r="S125" i="6"/>
  <c r="K125" i="6"/>
  <c r="C125" i="6"/>
  <c r="O124" i="6"/>
  <c r="G124" i="6"/>
  <c r="S123" i="6"/>
  <c r="K123" i="6"/>
  <c r="C123" i="6"/>
  <c r="O122" i="6"/>
  <c r="G122" i="6"/>
  <c r="S121" i="6"/>
  <c r="K121" i="6"/>
  <c r="C121" i="6"/>
  <c r="O120" i="6"/>
  <c r="G120" i="6"/>
  <c r="S119" i="6"/>
  <c r="K119" i="6"/>
  <c r="C119" i="6"/>
  <c r="O118" i="6"/>
  <c r="G118" i="6"/>
  <c r="S117" i="6"/>
  <c r="K117" i="6"/>
  <c r="C117" i="6"/>
  <c r="O116" i="6"/>
  <c r="G116" i="6"/>
  <c r="S115" i="6"/>
  <c r="K115" i="6"/>
  <c r="C115" i="6"/>
  <c r="O114" i="6"/>
  <c r="G114" i="6"/>
  <c r="S113" i="6"/>
  <c r="K113" i="6"/>
  <c r="C113" i="6"/>
  <c r="O112" i="6"/>
  <c r="G112" i="6"/>
  <c r="S111" i="6"/>
  <c r="K111" i="6"/>
  <c r="C111" i="6"/>
  <c r="O110" i="6"/>
  <c r="G110" i="6"/>
  <c r="S109" i="6"/>
  <c r="K109" i="6"/>
  <c r="C109" i="6"/>
  <c r="O108" i="6"/>
  <c r="G108" i="6"/>
  <c r="S107" i="6"/>
  <c r="K107" i="6"/>
  <c r="C107" i="6"/>
  <c r="O106" i="6"/>
  <c r="G106" i="6"/>
  <c r="S105" i="6"/>
  <c r="K105" i="6"/>
  <c r="C105" i="6"/>
  <c r="O104" i="6"/>
  <c r="G104" i="6"/>
  <c r="S103" i="6"/>
  <c r="K103" i="6"/>
  <c r="C103" i="6"/>
  <c r="O102" i="6"/>
  <c r="G102" i="6"/>
  <c r="S101" i="6"/>
  <c r="K101" i="6"/>
  <c r="C101" i="6"/>
  <c r="O100" i="6"/>
  <c r="G100" i="6"/>
  <c r="S99" i="6"/>
  <c r="K99" i="6"/>
  <c r="C99" i="6"/>
  <c r="O98" i="6"/>
  <c r="G98" i="6"/>
  <c r="S97" i="6"/>
  <c r="K97" i="6"/>
  <c r="C97" i="6"/>
  <c r="O96" i="6"/>
  <c r="G96" i="6"/>
  <c r="S95" i="6"/>
  <c r="K95" i="6"/>
  <c r="C95" i="6"/>
  <c r="O94" i="6"/>
  <c r="G94" i="6"/>
  <c r="S93" i="6"/>
  <c r="K93" i="6"/>
  <c r="C93" i="6"/>
  <c r="O92" i="6"/>
  <c r="G92" i="6"/>
  <c r="S91" i="6"/>
  <c r="K91" i="6"/>
  <c r="C91" i="6"/>
  <c r="O90" i="6"/>
  <c r="G90" i="6"/>
  <c r="S89" i="6"/>
  <c r="K89" i="6"/>
  <c r="C89" i="6"/>
  <c r="O88" i="6"/>
  <c r="G88" i="6"/>
  <c r="S87" i="6"/>
  <c r="K87" i="6"/>
  <c r="C87" i="6"/>
  <c r="O86" i="6"/>
  <c r="G86" i="6"/>
  <c r="S85" i="6"/>
  <c r="K85" i="6"/>
  <c r="C85" i="6"/>
  <c r="O84" i="6"/>
  <c r="G84" i="6"/>
  <c r="S83" i="6"/>
  <c r="K83" i="6"/>
  <c r="C83" i="6"/>
  <c r="O82" i="6"/>
  <c r="G82" i="6"/>
  <c r="S132" i="6"/>
  <c r="C132" i="6"/>
  <c r="G131" i="6"/>
  <c r="K130" i="6"/>
  <c r="O129" i="6"/>
  <c r="S128" i="6"/>
  <c r="C128" i="6"/>
  <c r="G127" i="6"/>
  <c r="K126" i="6"/>
  <c r="O125" i="6"/>
  <c r="S124" i="6"/>
  <c r="C124" i="6"/>
  <c r="G123" i="6"/>
  <c r="K122" i="6"/>
  <c r="O121" i="6"/>
  <c r="S120" i="6"/>
  <c r="C120" i="6"/>
  <c r="G119" i="6"/>
  <c r="K118" i="6"/>
  <c r="O117" i="6"/>
  <c r="S116" i="6"/>
  <c r="C116" i="6"/>
  <c r="G115" i="6"/>
  <c r="K114" i="6"/>
  <c r="O113" i="6"/>
  <c r="S112" i="6"/>
  <c r="C112" i="6"/>
  <c r="G111" i="6"/>
  <c r="K110" i="6"/>
  <c r="O109" i="6"/>
  <c r="S108" i="6"/>
  <c r="C108" i="6"/>
  <c r="G107" i="6"/>
  <c r="K106" i="6"/>
  <c r="O105" i="6"/>
  <c r="S104" i="6"/>
  <c r="C104" i="6"/>
  <c r="G103" i="6"/>
  <c r="K102" i="6"/>
  <c r="O101" i="6"/>
  <c r="S100" i="6"/>
  <c r="C100" i="6"/>
  <c r="G99" i="6"/>
  <c r="K98" i="6"/>
  <c r="O97" i="6"/>
  <c r="S96" i="6"/>
  <c r="C96" i="6"/>
  <c r="G95" i="6"/>
  <c r="K94" i="6"/>
  <c r="O93" i="6"/>
  <c r="S92" i="6"/>
  <c r="C92" i="6"/>
  <c r="G91" i="6"/>
  <c r="K90" i="6"/>
  <c r="O89" i="6"/>
  <c r="S88" i="6"/>
  <c r="C88" i="6"/>
  <c r="H87" i="6"/>
  <c r="R86" i="6"/>
  <c r="F86" i="6"/>
  <c r="P85" i="6"/>
  <c r="F85" i="6"/>
  <c r="N84" i="6"/>
  <c r="D84" i="6"/>
  <c r="N83" i="6"/>
  <c r="B83" i="6"/>
  <c r="L82" i="6"/>
  <c r="B82" i="6"/>
  <c r="N81" i="6"/>
  <c r="F81" i="6"/>
  <c r="R80" i="6"/>
  <c r="J80" i="6"/>
  <c r="B80" i="6"/>
  <c r="N79" i="6"/>
  <c r="F79" i="6"/>
  <c r="R78" i="6"/>
  <c r="J78" i="6"/>
  <c r="B78" i="6"/>
  <c r="N77" i="6"/>
  <c r="F77" i="6"/>
  <c r="R76" i="6"/>
  <c r="J76" i="6"/>
  <c r="B76" i="6"/>
  <c r="N75" i="6"/>
  <c r="F75" i="6"/>
  <c r="R74" i="6"/>
  <c r="J74" i="6"/>
  <c r="B74" i="6"/>
  <c r="N73" i="6"/>
  <c r="F73" i="6"/>
  <c r="R72" i="6"/>
  <c r="J72" i="6"/>
  <c r="B72" i="6"/>
  <c r="N71" i="6"/>
  <c r="F71" i="6"/>
  <c r="R70" i="6"/>
  <c r="J70" i="6"/>
  <c r="B70" i="6"/>
  <c r="N69" i="6"/>
  <c r="F69" i="6"/>
  <c r="R68" i="6"/>
  <c r="J68" i="6"/>
  <c r="B68" i="6"/>
  <c r="N67" i="6"/>
  <c r="F67" i="6"/>
  <c r="R66" i="6"/>
  <c r="J66" i="6"/>
  <c r="B66" i="6"/>
  <c r="N65" i="6"/>
  <c r="F65" i="6"/>
  <c r="R64" i="6"/>
  <c r="J64" i="6"/>
  <c r="B64" i="6"/>
  <c r="N63" i="6"/>
  <c r="F63" i="6"/>
  <c r="R62" i="6"/>
  <c r="J62" i="6"/>
  <c r="B62" i="6"/>
  <c r="N61" i="6"/>
  <c r="F61" i="6"/>
  <c r="R60" i="6"/>
  <c r="J60" i="6"/>
  <c r="B60" i="6"/>
  <c r="N59" i="6"/>
  <c r="F59" i="6"/>
  <c r="R58" i="6"/>
  <c r="J58" i="6"/>
  <c r="R132" i="6"/>
  <c r="B132" i="6"/>
  <c r="F131" i="6"/>
  <c r="J130" i="6"/>
  <c r="N129" i="6"/>
  <c r="R128" i="6"/>
  <c r="B128" i="6"/>
  <c r="F127" i="6"/>
  <c r="J126" i="6"/>
  <c r="N125" i="6"/>
  <c r="R124" i="6"/>
  <c r="B124" i="6"/>
  <c r="F123" i="6"/>
  <c r="J122" i="6"/>
  <c r="N121" i="6"/>
  <c r="R120" i="6"/>
  <c r="B120" i="6"/>
  <c r="F119" i="6"/>
  <c r="J118" i="6"/>
  <c r="N117" i="6"/>
  <c r="R116" i="6"/>
  <c r="B116" i="6"/>
  <c r="F115" i="6"/>
  <c r="J114" i="6"/>
  <c r="N113" i="6"/>
  <c r="R112" i="6"/>
  <c r="B112" i="6"/>
  <c r="F111" i="6"/>
  <c r="J110" i="6"/>
  <c r="N109" i="6"/>
  <c r="R108" i="6"/>
  <c r="B108" i="6"/>
  <c r="F107" i="6"/>
  <c r="J106" i="6"/>
  <c r="N105" i="6"/>
  <c r="R104" i="6"/>
  <c r="B104" i="6"/>
  <c r="F103" i="6"/>
  <c r="J102" i="6"/>
  <c r="N101" i="6"/>
  <c r="R100" i="6"/>
  <c r="B100" i="6"/>
  <c r="F99" i="6"/>
  <c r="J98" i="6"/>
  <c r="N97" i="6"/>
  <c r="R96" i="6"/>
  <c r="B96" i="6"/>
  <c r="F95" i="6"/>
  <c r="J94" i="6"/>
  <c r="N93" i="6"/>
  <c r="R92" i="6"/>
  <c r="B92" i="6"/>
  <c r="F91" i="6"/>
  <c r="J90" i="6"/>
  <c r="N89" i="6"/>
  <c r="R88" i="6"/>
  <c r="B88" i="6"/>
  <c r="G87" i="6"/>
  <c r="P86" i="6"/>
  <c r="E86" i="6"/>
  <c r="K132" i="6"/>
  <c r="O131" i="6"/>
  <c r="S130" i="6"/>
  <c r="C130" i="6"/>
  <c r="G129" i="6"/>
  <c r="K128" i="6"/>
  <c r="O127" i="6"/>
  <c r="S126" i="6"/>
  <c r="C126" i="6"/>
  <c r="G125" i="6"/>
  <c r="K124" i="6"/>
  <c r="O123" i="6"/>
  <c r="S122" i="6"/>
  <c r="C122" i="6"/>
  <c r="G121" i="6"/>
  <c r="K120" i="6"/>
  <c r="O119" i="6"/>
  <c r="S118" i="6"/>
  <c r="C118" i="6"/>
  <c r="G117" i="6"/>
  <c r="K116" i="6"/>
  <c r="O115" i="6"/>
  <c r="S114" i="6"/>
  <c r="C114" i="6"/>
  <c r="G113" i="6"/>
  <c r="K112" i="6"/>
  <c r="O111" i="6"/>
  <c r="S110" i="6"/>
  <c r="C110" i="6"/>
  <c r="G109" i="6"/>
  <c r="K108" i="6"/>
  <c r="O107" i="6"/>
  <c r="S106" i="6"/>
  <c r="C106" i="6"/>
  <c r="G105" i="6"/>
  <c r="K104" i="6"/>
  <c r="O103" i="6"/>
  <c r="S102" i="6"/>
  <c r="C102" i="6"/>
  <c r="G101" i="6"/>
  <c r="K100" i="6"/>
  <c r="O99" i="6"/>
  <c r="S98" i="6"/>
  <c r="C98" i="6"/>
  <c r="G97" i="6"/>
  <c r="K96" i="6"/>
  <c r="O95" i="6"/>
  <c r="S94" i="6"/>
  <c r="C94" i="6"/>
  <c r="G93" i="6"/>
  <c r="K92" i="6"/>
  <c r="O91" i="6"/>
  <c r="S90" i="6"/>
  <c r="C90" i="6"/>
  <c r="G89" i="6"/>
  <c r="K88" i="6"/>
  <c r="O87" i="6"/>
  <c r="B87" i="6"/>
  <c r="L86" i="6"/>
  <c r="B86" i="6"/>
  <c r="J85" i="6"/>
  <c r="T84" i="6"/>
  <c r="J84" i="6"/>
  <c r="R83" i="6"/>
  <c r="H83" i="6"/>
  <c r="R82" i="6"/>
  <c r="F82" i="6"/>
  <c r="R81" i="6"/>
  <c r="J81" i="6"/>
  <c r="B81" i="6"/>
  <c r="N80" i="6"/>
  <c r="F80" i="6"/>
  <c r="R79" i="6"/>
  <c r="J79" i="6"/>
  <c r="B79" i="6"/>
  <c r="N78" i="6"/>
  <c r="F78" i="6"/>
  <c r="R77" i="6"/>
  <c r="J77" i="6"/>
  <c r="B77" i="6"/>
  <c r="N76" i="6"/>
  <c r="F76" i="6"/>
  <c r="R75" i="6"/>
  <c r="J75" i="6"/>
  <c r="B75" i="6"/>
  <c r="N74" i="6"/>
  <c r="F74" i="6"/>
  <c r="R73" i="6"/>
  <c r="J73" i="6"/>
  <c r="B73" i="6"/>
  <c r="N72" i="6"/>
  <c r="F72" i="6"/>
  <c r="R71" i="6"/>
  <c r="J71" i="6"/>
  <c r="B71" i="6"/>
  <c r="N70" i="6"/>
  <c r="F70" i="6"/>
  <c r="R69" i="6"/>
  <c r="J69" i="6"/>
  <c r="B69" i="6"/>
  <c r="N68" i="6"/>
  <c r="F68" i="6"/>
  <c r="R67" i="6"/>
  <c r="J67" i="6"/>
  <c r="B67" i="6"/>
  <c r="N66" i="6"/>
  <c r="F66" i="6"/>
  <c r="R65" i="6"/>
  <c r="J65" i="6"/>
  <c r="B65" i="6"/>
  <c r="N64" i="6"/>
  <c r="F64" i="6"/>
  <c r="R63" i="6"/>
  <c r="J63" i="6"/>
  <c r="B63" i="6"/>
  <c r="N62" i="6"/>
  <c r="F62" i="6"/>
  <c r="R61" i="6"/>
  <c r="J61" i="6"/>
  <c r="B61" i="6"/>
  <c r="N60" i="6"/>
  <c r="F60" i="6"/>
  <c r="R59" i="6"/>
  <c r="J59" i="6"/>
  <c r="B59" i="6"/>
  <c r="N58" i="6"/>
  <c r="F58" i="6"/>
  <c r="H132" i="6"/>
  <c r="L131" i="6"/>
  <c r="P130" i="6"/>
  <c r="T129" i="6"/>
  <c r="D129" i="6"/>
  <c r="H128" i="6"/>
  <c r="L127" i="6"/>
  <c r="P126" i="6"/>
  <c r="T125" i="6"/>
  <c r="D125" i="6"/>
  <c r="H124" i="6"/>
  <c r="L123" i="6"/>
  <c r="P122" i="6"/>
  <c r="T121" i="6"/>
  <c r="D121" i="6"/>
  <c r="H120" i="6"/>
  <c r="L119" i="6"/>
  <c r="P118" i="6"/>
  <c r="T117" i="6"/>
  <c r="D117" i="6"/>
  <c r="H116" i="6"/>
  <c r="L115" i="6"/>
  <c r="P114" i="6"/>
  <c r="T113" i="6"/>
  <c r="D113" i="6"/>
  <c r="H112" i="6"/>
  <c r="L111" i="6"/>
  <c r="P110" i="6"/>
  <c r="T109" i="6"/>
  <c r="D109" i="6"/>
  <c r="H108" i="6"/>
  <c r="L107" i="6"/>
  <c r="P106" i="6"/>
  <c r="T105" i="6"/>
  <c r="D105" i="6"/>
  <c r="H104" i="6"/>
  <c r="L103" i="6"/>
  <c r="P102" i="6"/>
  <c r="T101" i="6"/>
  <c r="D101" i="6"/>
  <c r="H100" i="6"/>
  <c r="L99" i="6"/>
  <c r="P98" i="6"/>
  <c r="T97" i="6"/>
  <c r="D97" i="6"/>
  <c r="H96" i="6"/>
  <c r="L95" i="6"/>
  <c r="P94" i="6"/>
  <c r="T93" i="6"/>
  <c r="D93" i="6"/>
  <c r="H92" i="6"/>
  <c r="L91" i="6"/>
  <c r="P90" i="6"/>
  <c r="T89" i="6"/>
  <c r="D89" i="6"/>
  <c r="H88" i="6"/>
  <c r="L87" i="6"/>
  <c r="T86" i="6"/>
  <c r="J86" i="6"/>
  <c r="R85" i="6"/>
  <c r="H85" i="6"/>
  <c r="R84" i="6"/>
  <c r="F84" i="6"/>
  <c r="P83" i="6"/>
  <c r="F83" i="6"/>
  <c r="N82" i="6"/>
  <c r="D82" i="6"/>
  <c r="P81" i="6"/>
  <c r="H81" i="6"/>
  <c r="T80" i="6"/>
  <c r="L80" i="6"/>
  <c r="D80" i="6"/>
  <c r="P79" i="6"/>
  <c r="H79" i="6"/>
  <c r="T78" i="6"/>
  <c r="L78" i="6"/>
  <c r="D78" i="6"/>
  <c r="P77" i="6"/>
  <c r="H77" i="6"/>
  <c r="T76" i="6"/>
  <c r="L76" i="6"/>
  <c r="D76" i="6"/>
  <c r="P75" i="6"/>
  <c r="H75" i="6"/>
  <c r="T74" i="6"/>
  <c r="L74" i="6"/>
  <c r="D74" i="6"/>
  <c r="P73" i="6"/>
  <c r="H73" i="6"/>
  <c r="T72" i="6"/>
  <c r="L72" i="6"/>
  <c r="D72" i="6"/>
  <c r="P71" i="6"/>
  <c r="H71" i="6"/>
  <c r="T70" i="6"/>
  <c r="L70" i="6"/>
  <c r="D70" i="6"/>
  <c r="P69" i="6"/>
  <c r="H69" i="6"/>
  <c r="T68" i="6"/>
  <c r="L68" i="6"/>
  <c r="D68" i="6"/>
  <c r="P67" i="6"/>
  <c r="H67" i="6"/>
  <c r="T66" i="6"/>
  <c r="L66" i="6"/>
  <c r="D66" i="6"/>
  <c r="P65" i="6"/>
  <c r="H65" i="6"/>
  <c r="T64" i="6"/>
  <c r="L64" i="6"/>
  <c r="P132" i="6"/>
  <c r="D131" i="6"/>
  <c r="L129" i="6"/>
  <c r="T127" i="6"/>
  <c r="H126" i="6"/>
  <c r="P124" i="6"/>
  <c r="D123" i="6"/>
  <c r="L121" i="6"/>
  <c r="T119" i="6"/>
  <c r="H118" i="6"/>
  <c r="P116" i="6"/>
  <c r="D115" i="6"/>
  <c r="L113" i="6"/>
  <c r="T111" i="6"/>
  <c r="H110" i="6"/>
  <c r="P108" i="6"/>
  <c r="D107" i="6"/>
  <c r="L105" i="6"/>
  <c r="T103" i="6"/>
  <c r="H102" i="6"/>
  <c r="P100" i="6"/>
  <c r="D99" i="6"/>
  <c r="L97" i="6"/>
  <c r="T95" i="6"/>
  <c r="H94" i="6"/>
  <c r="P92" i="6"/>
  <c r="D91" i="6"/>
  <c r="L89" i="6"/>
  <c r="T87" i="6"/>
  <c r="N86" i="6"/>
  <c r="O85" i="6"/>
  <c r="S84" i="6"/>
  <c r="B84" i="6"/>
  <c r="D83" i="6"/>
  <c r="H82" i="6"/>
  <c r="M81" i="6"/>
  <c r="U80" i="6"/>
  <c r="H80" i="6"/>
  <c r="O79" i="6"/>
  <c r="C79" i="6"/>
  <c r="I78" i="6"/>
  <c r="Q77" i="6"/>
  <c r="D77" i="6"/>
  <c r="K76" i="6"/>
  <c r="S75" i="6"/>
  <c r="E75" i="6"/>
  <c r="M74" i="6"/>
  <c r="T73" i="6"/>
  <c r="G73" i="6"/>
  <c r="O72" i="6"/>
  <c r="U71" i="6"/>
  <c r="I71" i="6"/>
  <c r="P70" i="6"/>
  <c r="C70" i="6"/>
  <c r="K69" i="6"/>
  <c r="Q68" i="6"/>
  <c r="E68" i="6"/>
  <c r="L67" i="6"/>
  <c r="S66" i="6"/>
  <c r="G66" i="6"/>
  <c r="M65" i="6"/>
  <c r="U64" i="6"/>
  <c r="H64" i="6"/>
  <c r="Q63" i="6"/>
  <c r="G63" i="6"/>
  <c r="P62" i="6"/>
  <c r="E62" i="6"/>
  <c r="O61" i="6"/>
  <c r="D61" i="6"/>
  <c r="M60" i="6"/>
  <c r="C60" i="6"/>
  <c r="L59" i="6"/>
  <c r="U58" i="6"/>
  <c r="K58" i="6"/>
  <c r="U57" i="6"/>
  <c r="M57" i="6"/>
  <c r="E57" i="6"/>
  <c r="Q56" i="6"/>
  <c r="I56" i="6"/>
  <c r="U55" i="6"/>
  <c r="M55" i="6"/>
  <c r="E55" i="6"/>
  <c r="Q54" i="6"/>
  <c r="I54" i="6"/>
  <c r="U53" i="6"/>
  <c r="M53" i="6"/>
  <c r="E53" i="6"/>
  <c r="Q52" i="6"/>
  <c r="I52" i="6"/>
  <c r="U51" i="6"/>
  <c r="M51" i="6"/>
  <c r="E51" i="6"/>
  <c r="Q50" i="6"/>
  <c r="I50" i="6"/>
  <c r="U49" i="6"/>
  <c r="M49" i="6"/>
  <c r="E49" i="6"/>
  <c r="Q48" i="6"/>
  <c r="I48" i="6"/>
  <c r="U47" i="6"/>
  <c r="M47" i="6"/>
  <c r="E47" i="6"/>
  <c r="Q46" i="6"/>
  <c r="I46" i="6"/>
  <c r="U45" i="6"/>
  <c r="M45" i="6"/>
  <c r="E45" i="6"/>
  <c r="Q44" i="6"/>
  <c r="I44" i="6"/>
  <c r="U43" i="6"/>
  <c r="M43" i="6"/>
  <c r="E43" i="6"/>
  <c r="Q42" i="6"/>
  <c r="I42" i="6"/>
  <c r="U41" i="6"/>
  <c r="M41" i="6"/>
  <c r="E41" i="6"/>
  <c r="Q40" i="6"/>
  <c r="I40" i="6"/>
  <c r="U39" i="6"/>
  <c r="M39" i="6"/>
  <c r="E39" i="6"/>
  <c r="Q38" i="6"/>
  <c r="I38" i="6"/>
  <c r="U37" i="6"/>
  <c r="M37" i="6"/>
  <c r="E37" i="6"/>
  <c r="J132" i="6"/>
  <c r="R130" i="6"/>
  <c r="F129" i="6"/>
  <c r="N127" i="6"/>
  <c r="B126" i="6"/>
  <c r="J124" i="6"/>
  <c r="R122" i="6"/>
  <c r="F121" i="6"/>
  <c r="N119" i="6"/>
  <c r="B118" i="6"/>
  <c r="J116" i="6"/>
  <c r="R114" i="6"/>
  <c r="F113" i="6"/>
  <c r="N111" i="6"/>
  <c r="B110" i="6"/>
  <c r="J108" i="6"/>
  <c r="R106" i="6"/>
  <c r="F105" i="6"/>
  <c r="N103" i="6"/>
  <c r="T131" i="6"/>
  <c r="H130" i="6"/>
  <c r="P128" i="6"/>
  <c r="D127" i="6"/>
  <c r="L125" i="6"/>
  <c r="T123" i="6"/>
  <c r="H122" i="6"/>
  <c r="P120" i="6"/>
  <c r="D119" i="6"/>
  <c r="L117" i="6"/>
  <c r="T115" i="6"/>
  <c r="H114" i="6"/>
  <c r="P112" i="6"/>
  <c r="D111" i="6"/>
  <c r="L109" i="6"/>
  <c r="T107" i="6"/>
  <c r="H106" i="6"/>
  <c r="P104" i="6"/>
  <c r="D103" i="6"/>
  <c r="L101" i="6"/>
  <c r="T99" i="6"/>
  <c r="H98" i="6"/>
  <c r="P96" i="6"/>
  <c r="D95" i="6"/>
  <c r="L93" i="6"/>
  <c r="T91" i="6"/>
  <c r="H90" i="6"/>
  <c r="P88" i="6"/>
  <c r="F87" i="6"/>
  <c r="D86" i="6"/>
  <c r="G85" i="6"/>
  <c r="K84" i="6"/>
  <c r="L83" i="6"/>
  <c r="P82" i="6"/>
  <c r="T81" i="6"/>
  <c r="G81" i="6"/>
  <c r="O80" i="6"/>
  <c r="U79" i="6"/>
  <c r="I79" i="6"/>
  <c r="P78" i="6"/>
  <c r="C78" i="6"/>
  <c r="K77" i="6"/>
  <c r="Q76" i="6"/>
  <c r="E76" i="6"/>
  <c r="L75" i="6"/>
  <c r="S74" i="6"/>
  <c r="G74" i="6"/>
  <c r="M73" i="6"/>
  <c r="U72" i="6"/>
  <c r="H72" i="6"/>
  <c r="O71" i="6"/>
  <c r="C71" i="6"/>
  <c r="I70" i="6"/>
  <c r="Q69" i="6"/>
  <c r="D69" i="6"/>
  <c r="K68" i="6"/>
  <c r="S67" i="6"/>
  <c r="E67" i="6"/>
  <c r="M66" i="6"/>
  <c r="T65" i="6"/>
  <c r="G65" i="6"/>
  <c r="O64" i="6"/>
  <c r="C64" i="6"/>
  <c r="L63" i="6"/>
  <c r="U62" i="6"/>
  <c r="K62" i="6"/>
  <c r="T61" i="6"/>
  <c r="I61" i="6"/>
  <c r="S60" i="6"/>
  <c r="H60" i="6"/>
  <c r="Q59" i="6"/>
  <c r="G59" i="6"/>
  <c r="P58" i="6"/>
  <c r="E58" i="6"/>
  <c r="Q57" i="6"/>
  <c r="I57" i="6"/>
  <c r="U56" i="6"/>
  <c r="M56" i="6"/>
  <c r="E56" i="6"/>
  <c r="Q55" i="6"/>
  <c r="I55" i="6"/>
  <c r="U54" i="6"/>
  <c r="M54" i="6"/>
  <c r="E54" i="6"/>
  <c r="Q53" i="6"/>
  <c r="I53" i="6"/>
  <c r="U52" i="6"/>
  <c r="M52" i="6"/>
  <c r="E52" i="6"/>
  <c r="Q51" i="6"/>
  <c r="I51" i="6"/>
  <c r="U50" i="6"/>
  <c r="M50" i="6"/>
  <c r="E50" i="6"/>
  <c r="Q49" i="6"/>
  <c r="I49" i="6"/>
  <c r="U48" i="6"/>
  <c r="M48" i="6"/>
  <c r="E48" i="6"/>
  <c r="Q47" i="6"/>
  <c r="I47" i="6"/>
  <c r="U46" i="6"/>
  <c r="M46" i="6"/>
  <c r="E46" i="6"/>
  <c r="Q45" i="6"/>
  <c r="I45" i="6"/>
  <c r="U44" i="6"/>
  <c r="M44" i="6"/>
  <c r="E44" i="6"/>
  <c r="Q43" i="6"/>
  <c r="I43" i="6"/>
  <c r="U42" i="6"/>
  <c r="M42" i="6"/>
  <c r="E42" i="6"/>
  <c r="Q41" i="6"/>
  <c r="I41" i="6"/>
  <c r="U40" i="6"/>
  <c r="M40" i="6"/>
  <c r="E40" i="6"/>
  <c r="Q39" i="6"/>
  <c r="N131" i="6"/>
  <c r="B130" i="6"/>
  <c r="J128" i="6"/>
  <c r="R126" i="6"/>
  <c r="F125" i="6"/>
  <c r="N123" i="6"/>
  <c r="B122" i="6"/>
  <c r="J120" i="6"/>
  <c r="R118" i="6"/>
  <c r="F117" i="6"/>
  <c r="N115" i="6"/>
  <c r="B114" i="6"/>
  <c r="J112" i="6"/>
  <c r="R110" i="6"/>
  <c r="F109" i="6"/>
  <c r="N107" i="6"/>
  <c r="B106" i="6"/>
  <c r="J104" i="6"/>
  <c r="R102" i="6"/>
  <c r="F101" i="6"/>
  <c r="N99" i="6"/>
  <c r="B98" i="6"/>
  <c r="J96" i="6"/>
  <c r="R94" i="6"/>
  <c r="F93" i="6"/>
  <c r="N91" i="6"/>
  <c r="B90" i="6"/>
  <c r="J88" i="6"/>
  <c r="U86" i="6"/>
  <c r="T85" i="6"/>
  <c r="B85" i="6"/>
  <c r="E84" i="6"/>
  <c r="I83" i="6"/>
  <c r="K82" i="6"/>
  <c r="Q81" i="6"/>
  <c r="D81" i="6"/>
  <c r="K80" i="6"/>
  <c r="S79" i="6"/>
  <c r="E79" i="6"/>
  <c r="M78" i="6"/>
  <c r="T77" i="6"/>
  <c r="G77" i="6"/>
  <c r="O76" i="6"/>
  <c r="U75" i="6"/>
  <c r="I75" i="6"/>
  <c r="P74" i="6"/>
  <c r="C74" i="6"/>
  <c r="K73" i="6"/>
  <c r="Q72" i="6"/>
  <c r="E72" i="6"/>
  <c r="L71" i="6"/>
  <c r="S70" i="6"/>
  <c r="G70" i="6"/>
  <c r="M69" i="6"/>
  <c r="U68" i="6"/>
  <c r="H68" i="6"/>
  <c r="O67" i="6"/>
  <c r="C67" i="6"/>
  <c r="I66" i="6"/>
  <c r="Q65" i="6"/>
  <c r="D65" i="6"/>
  <c r="K64" i="6"/>
  <c r="T63" i="6"/>
  <c r="I63" i="6"/>
  <c r="S62" i="6"/>
  <c r="H62" i="6"/>
  <c r="Q61" i="6"/>
  <c r="G61" i="6"/>
  <c r="P60" i="6"/>
  <c r="E60" i="6"/>
  <c r="O59" i="6"/>
  <c r="D59" i="6"/>
  <c r="M58" i="6"/>
  <c r="C58" i="6"/>
  <c r="O57" i="6"/>
  <c r="G57" i="6"/>
  <c r="S56" i="6"/>
  <c r="K56" i="6"/>
  <c r="C56" i="6"/>
  <c r="O55" i="6"/>
  <c r="G55" i="6"/>
  <c r="S54" i="6"/>
  <c r="K54" i="6"/>
  <c r="C54" i="6"/>
  <c r="O53" i="6"/>
  <c r="G53" i="6"/>
  <c r="S52" i="6"/>
  <c r="K52" i="6"/>
  <c r="C52" i="6"/>
  <c r="O51" i="6"/>
  <c r="G51" i="6"/>
  <c r="S50" i="6"/>
  <c r="K50" i="6"/>
  <c r="C50" i="6"/>
  <c r="O49" i="6"/>
  <c r="G49" i="6"/>
  <c r="S48" i="6"/>
  <c r="K48" i="6"/>
  <c r="C48" i="6"/>
  <c r="O47" i="6"/>
  <c r="G47" i="6"/>
  <c r="S46" i="6"/>
  <c r="K46" i="6"/>
  <c r="C46" i="6"/>
  <c r="O45" i="6"/>
  <c r="G45" i="6"/>
  <c r="S44" i="6"/>
  <c r="K44" i="6"/>
  <c r="C44" i="6"/>
  <c r="N132" i="6"/>
  <c r="J129" i="6"/>
  <c r="F126" i="6"/>
  <c r="B123" i="6"/>
  <c r="R119" i="6"/>
  <c r="N116" i="6"/>
  <c r="J113" i="6"/>
  <c r="F110" i="6"/>
  <c r="B107" i="6"/>
  <c r="R103" i="6"/>
  <c r="B101" i="6"/>
  <c r="N98" i="6"/>
  <c r="R95" i="6"/>
  <c r="J93" i="6"/>
  <c r="R90" i="6"/>
  <c r="F88" i="6"/>
  <c r="H86" i="6"/>
  <c r="P84" i="6"/>
  <c r="J83" i="6"/>
  <c r="C82" i="6"/>
  <c r="C81" i="6"/>
  <c r="C80" i="6"/>
  <c r="U78" i="6"/>
  <c r="U77" i="6"/>
  <c r="U76" i="6"/>
  <c r="T75" i="6"/>
  <c r="U74" i="6"/>
  <c r="S73" i="6"/>
  <c r="S72" i="6"/>
  <c r="S71" i="6"/>
  <c r="Q70" i="6"/>
  <c r="S69" i="6"/>
  <c r="P68" i="6"/>
  <c r="Q67" i="6"/>
  <c r="P66" i="6"/>
  <c r="O65" i="6"/>
  <c r="P64" i="6"/>
  <c r="P63" i="6"/>
  <c r="T62" i="6"/>
  <c r="C62" i="6"/>
  <c r="E61" i="6"/>
  <c r="I60" i="6"/>
  <c r="K59" i="6"/>
  <c r="O58" i="6"/>
  <c r="S57" i="6"/>
  <c r="F57" i="6"/>
  <c r="N56" i="6"/>
  <c r="T55" i="6"/>
  <c r="H55" i="6"/>
  <c r="O54" i="6"/>
  <c r="B54" i="6"/>
  <c r="J53" i="6"/>
  <c r="P52" i="6"/>
  <c r="D52" i="6"/>
  <c r="K51" i="6"/>
  <c r="R50" i="6"/>
  <c r="F50" i="6"/>
  <c r="L49" i="6"/>
  <c r="T48" i="6"/>
  <c r="G48" i="6"/>
  <c r="N47" i="6"/>
  <c r="B47" i="6"/>
  <c r="H46" i="6"/>
  <c r="P45" i="6"/>
  <c r="C45" i="6"/>
  <c r="J44" i="6"/>
  <c r="R43" i="6"/>
  <c r="G43" i="6"/>
  <c r="P42" i="6"/>
  <c r="F42" i="6"/>
  <c r="O41" i="6"/>
  <c r="D41" i="6"/>
  <c r="N40" i="6"/>
  <c r="C40" i="6"/>
  <c r="L39" i="6"/>
  <c r="C39" i="6"/>
  <c r="N38" i="6"/>
  <c r="E38" i="6"/>
  <c r="P37" i="6"/>
  <c r="G37" i="6"/>
  <c r="R36" i="6"/>
  <c r="J36" i="6"/>
  <c r="B36" i="6"/>
  <c r="N35" i="6"/>
  <c r="F35" i="6"/>
  <c r="R34" i="6"/>
  <c r="J34" i="6"/>
  <c r="B34" i="6"/>
  <c r="N33" i="6"/>
  <c r="F33" i="6"/>
  <c r="R32" i="6"/>
  <c r="J32" i="6"/>
  <c r="B32" i="6"/>
  <c r="N31" i="6"/>
  <c r="F31" i="6"/>
  <c r="R30" i="6"/>
  <c r="J30" i="6"/>
  <c r="B30" i="6"/>
  <c r="N29" i="6"/>
  <c r="F29" i="6"/>
  <c r="R28" i="6"/>
  <c r="J28" i="6"/>
  <c r="B28" i="6"/>
  <c r="N27" i="6"/>
  <c r="F27" i="6"/>
  <c r="R26" i="6"/>
  <c r="J26" i="6"/>
  <c r="B26" i="6"/>
  <c r="N25" i="6"/>
  <c r="F25" i="6"/>
  <c r="R24" i="6"/>
  <c r="J24" i="6"/>
  <c r="B24" i="6"/>
  <c r="N23" i="6"/>
  <c r="F23" i="6"/>
  <c r="R22" i="6"/>
  <c r="J22" i="6"/>
  <c r="B22" i="6"/>
  <c r="N21" i="6"/>
  <c r="F21" i="6"/>
  <c r="R20" i="6"/>
  <c r="J20" i="6"/>
  <c r="B20" i="6"/>
  <c r="N19" i="6"/>
  <c r="F19" i="6"/>
  <c r="R18" i="6"/>
  <c r="J18" i="6"/>
  <c r="B18" i="6"/>
  <c r="N17" i="6"/>
  <c r="F17" i="6"/>
  <c r="R16" i="6"/>
  <c r="J16" i="6"/>
  <c r="B16" i="6"/>
  <c r="N15" i="6"/>
  <c r="F15" i="6"/>
  <c r="R14" i="6"/>
  <c r="J14" i="6"/>
  <c r="B14" i="6"/>
  <c r="R131" i="6"/>
  <c r="N128" i="6"/>
  <c r="J125" i="6"/>
  <c r="F122" i="6"/>
  <c r="B119" i="6"/>
  <c r="R115" i="6"/>
  <c r="N112" i="6"/>
  <c r="J109" i="6"/>
  <c r="F106" i="6"/>
  <c r="B103" i="6"/>
  <c r="J100" i="6"/>
  <c r="R97" i="6"/>
  <c r="J95" i="6"/>
  <c r="N92" i="6"/>
  <c r="F90" i="6"/>
  <c r="N87" i="6"/>
  <c r="Q85" i="6"/>
  <c r="L84" i="6"/>
  <c r="U82" i="6"/>
  <c r="S81" i="6"/>
  <c r="Q80" i="6"/>
  <c r="Q79" i="6"/>
  <c r="Q78" i="6"/>
  <c r="O77" i="6"/>
  <c r="P76" i="6"/>
  <c r="O75" i="6"/>
  <c r="O74" i="6"/>
  <c r="O73" i="6"/>
  <c r="M72" i="6"/>
  <c r="M71" i="6"/>
  <c r="M70" i="6"/>
  <c r="L69" i="6"/>
  <c r="M68" i="6"/>
  <c r="K67" i="6"/>
  <c r="K66" i="6"/>
  <c r="K65" i="6"/>
  <c r="I64" i="6"/>
  <c r="M63" i="6"/>
  <c r="O62" i="6"/>
  <c r="S61" i="6"/>
  <c r="U60" i="6"/>
  <c r="D60" i="6"/>
  <c r="H59" i="6"/>
  <c r="I58" i="6"/>
  <c r="P57" i="6"/>
  <c r="C57" i="6"/>
  <c r="J56" i="6"/>
  <c r="R55" i="6"/>
  <c r="D55" i="6"/>
  <c r="L54" i="6"/>
  <c r="S53" i="6"/>
  <c r="F53" i="6"/>
  <c r="N52" i="6"/>
  <c r="T51" i="6"/>
  <c r="H51" i="6"/>
  <c r="O50" i="6"/>
  <c r="B50" i="6"/>
  <c r="J49" i="6"/>
  <c r="P48" i="6"/>
  <c r="D48" i="6"/>
  <c r="K47" i="6"/>
  <c r="R46" i="6"/>
  <c r="F46" i="6"/>
  <c r="L45" i="6"/>
  <c r="T44" i="6"/>
  <c r="G44" i="6"/>
  <c r="O43" i="6"/>
  <c r="D43" i="6"/>
  <c r="N42" i="6"/>
  <c r="C42" i="6"/>
  <c r="L41" i="6"/>
  <c r="B41" i="6"/>
  <c r="K40" i="6"/>
  <c r="T39" i="6"/>
  <c r="J39" i="6"/>
  <c r="U38" i="6"/>
  <c r="L38" i="6"/>
  <c r="C38" i="6"/>
  <c r="N37" i="6"/>
  <c r="D37" i="6"/>
  <c r="P36" i="6"/>
  <c r="H36" i="6"/>
  <c r="T35" i="6"/>
  <c r="L35" i="6"/>
  <c r="D35" i="6"/>
  <c r="P34" i="6"/>
  <c r="H34" i="6"/>
  <c r="T33" i="6"/>
  <c r="L33" i="6"/>
  <c r="D33" i="6"/>
  <c r="P32" i="6"/>
  <c r="H32" i="6"/>
  <c r="T31" i="6"/>
  <c r="L31" i="6"/>
  <c r="D31" i="6"/>
  <c r="P30" i="6"/>
  <c r="H30" i="6"/>
  <c r="T29" i="6"/>
  <c r="L29" i="6"/>
  <c r="D29" i="6"/>
  <c r="P28" i="6"/>
  <c r="H28" i="6"/>
  <c r="T27" i="6"/>
  <c r="L27" i="6"/>
  <c r="D27" i="6"/>
  <c r="P26" i="6"/>
  <c r="H26" i="6"/>
  <c r="T25" i="6"/>
  <c r="L25" i="6"/>
  <c r="D25" i="6"/>
  <c r="P24" i="6"/>
  <c r="H24" i="6"/>
  <c r="T23" i="6"/>
  <c r="L23" i="6"/>
  <c r="D23" i="6"/>
  <c r="P22" i="6"/>
  <c r="H22" i="6"/>
  <c r="T21" i="6"/>
  <c r="L21" i="6"/>
  <c r="D21" i="6"/>
  <c r="P20" i="6"/>
  <c r="H20" i="6"/>
  <c r="T19" i="6"/>
  <c r="L19" i="6"/>
  <c r="D19" i="6"/>
  <c r="P18" i="6"/>
  <c r="H18" i="6"/>
  <c r="B131" i="6"/>
  <c r="R127" i="6"/>
  <c r="N124" i="6"/>
  <c r="J121" i="6"/>
  <c r="F118" i="6"/>
  <c r="B115" i="6"/>
  <c r="R111" i="6"/>
  <c r="N108" i="6"/>
  <c r="J105" i="6"/>
  <c r="F102" i="6"/>
  <c r="R99" i="6"/>
  <c r="F97" i="6"/>
  <c r="N94" i="6"/>
  <c r="F92" i="6"/>
  <c r="J89" i="6"/>
  <c r="D87" i="6"/>
  <c r="L85" i="6"/>
  <c r="C84" i="6"/>
  <c r="S82" i="6"/>
  <c r="L81" i="6"/>
  <c r="M80" i="6"/>
  <c r="L79" i="6"/>
  <c r="K78" i="6"/>
  <c r="L77" i="6"/>
  <c r="I76" i="6"/>
  <c r="K75" i="6"/>
  <c r="I74" i="6"/>
  <c r="I73" i="6"/>
  <c r="I72" i="6"/>
  <c r="G71" i="6"/>
  <c r="H70" i="6"/>
  <c r="G69" i="6"/>
  <c r="G68" i="6"/>
  <c r="G67" i="6"/>
  <c r="E66" i="6"/>
  <c r="E65" i="6"/>
  <c r="E64" i="6"/>
  <c r="H63" i="6"/>
  <c r="L62" i="6"/>
  <c r="M61" i="6"/>
  <c r="Q60" i="6"/>
  <c r="T59" i="6"/>
  <c r="C59" i="6"/>
  <c r="G58" i="6"/>
  <c r="L57" i="6"/>
  <c r="T56" i="6"/>
  <c r="G56" i="6"/>
  <c r="N55" i="6"/>
  <c r="B55" i="6"/>
  <c r="H54" i="6"/>
  <c r="P53" i="6"/>
  <c r="C53" i="6"/>
  <c r="J52" i="6"/>
  <c r="R51" i="6"/>
  <c r="D51" i="6"/>
  <c r="L50" i="6"/>
  <c r="S49" i="6"/>
  <c r="F49" i="6"/>
  <c r="N48" i="6"/>
  <c r="T47" i="6"/>
  <c r="H47" i="6"/>
  <c r="O46" i="6"/>
  <c r="B46" i="6"/>
  <c r="J45" i="6"/>
  <c r="P44" i="6"/>
  <c r="D44" i="6"/>
  <c r="L43" i="6"/>
  <c r="B43" i="6"/>
  <c r="K42" i="6"/>
  <c r="T41" i="6"/>
  <c r="J41" i="6"/>
  <c r="S40" i="6"/>
  <c r="H40" i="6"/>
  <c r="R39" i="6"/>
  <c r="H39" i="6"/>
  <c r="S38" i="6"/>
  <c r="J38" i="6"/>
  <c r="T37" i="6"/>
  <c r="K37" i="6"/>
  <c r="B37" i="6"/>
  <c r="N36" i="6"/>
  <c r="F36" i="6"/>
  <c r="R35" i="6"/>
  <c r="J35" i="6"/>
  <c r="B35" i="6"/>
  <c r="N34" i="6"/>
  <c r="F34" i="6"/>
  <c r="R33" i="6"/>
  <c r="J33" i="6"/>
  <c r="B33" i="6"/>
  <c r="N32" i="6"/>
  <c r="F32" i="6"/>
  <c r="R31" i="6"/>
  <c r="J31" i="6"/>
  <c r="B31" i="6"/>
  <c r="N30" i="6"/>
  <c r="F30" i="6"/>
  <c r="R29" i="6"/>
  <c r="J29" i="6"/>
  <c r="B29" i="6"/>
  <c r="N28" i="6"/>
  <c r="F28" i="6"/>
  <c r="R27" i="6"/>
  <c r="J27" i="6"/>
  <c r="B27" i="6"/>
  <c r="N26" i="6"/>
  <c r="F26" i="6"/>
  <c r="R25" i="6"/>
  <c r="J25" i="6"/>
  <c r="B25" i="6"/>
  <c r="N24" i="6"/>
  <c r="F24" i="6"/>
  <c r="R23" i="6"/>
  <c r="J23" i="6"/>
  <c r="B23" i="6"/>
  <c r="N22" i="6"/>
  <c r="F22" i="6"/>
  <c r="R21" i="6"/>
  <c r="J21" i="6"/>
  <c r="B21" i="6"/>
  <c r="N20" i="6"/>
  <c r="F20" i="6"/>
  <c r="R19" i="6"/>
  <c r="J19" i="6"/>
  <c r="B19" i="6"/>
  <c r="N18" i="6"/>
  <c r="F18" i="6"/>
  <c r="R17" i="6"/>
  <c r="F130" i="6"/>
  <c r="B127" i="6"/>
  <c r="R123" i="6"/>
  <c r="N120" i="6"/>
  <c r="J117" i="6"/>
  <c r="F114" i="6"/>
  <c r="B111" i="6"/>
  <c r="R107" i="6"/>
  <c r="N104" i="6"/>
  <c r="R101" i="6"/>
  <c r="B99" i="6"/>
  <c r="N96" i="6"/>
  <c r="B94" i="6"/>
  <c r="J91" i="6"/>
  <c r="B89" i="6"/>
  <c r="M86" i="6"/>
  <c r="D85" i="6"/>
  <c r="Q83" i="6"/>
  <c r="J82" i="6"/>
  <c r="I81" i="6"/>
  <c r="G80" i="6"/>
  <c r="G79" i="6"/>
  <c r="G78" i="6"/>
  <c r="E77" i="6"/>
  <c r="G76" i="6"/>
  <c r="D75" i="6"/>
  <c r="E74" i="6"/>
  <c r="D73" i="6"/>
  <c r="C72" i="6"/>
  <c r="D71" i="6"/>
  <c r="U69" i="6"/>
  <c r="C69" i="6"/>
  <c r="U67" i="6"/>
  <c r="U66" i="6"/>
  <c r="U65" i="6"/>
  <c r="S64" i="6"/>
  <c r="U63" i="6"/>
  <c r="D63" i="6"/>
  <c r="G62" i="6"/>
  <c r="K61" i="6"/>
  <c r="L60" i="6"/>
  <c r="P59" i="6"/>
  <c r="S58" i="6"/>
  <c r="B58" i="6"/>
  <c r="J57" i="6"/>
  <c r="P56" i="6"/>
  <c r="D56" i="6"/>
  <c r="K55" i="6"/>
  <c r="R54" i="6"/>
  <c r="F54" i="6"/>
  <c r="L53" i="6"/>
  <c r="T52" i="6"/>
  <c r="G52" i="6"/>
  <c r="N51" i="6"/>
  <c r="B51" i="6"/>
  <c r="H50" i="6"/>
  <c r="P49" i="6"/>
  <c r="C49" i="6"/>
  <c r="J48" i="6"/>
  <c r="R47" i="6"/>
  <c r="D47" i="6"/>
  <c r="L46" i="6"/>
  <c r="S45" i="6"/>
  <c r="F45" i="6"/>
  <c r="N44" i="6"/>
  <c r="T43" i="6"/>
  <c r="J43" i="6"/>
  <c r="S42" i="6"/>
  <c r="H42" i="6"/>
  <c r="R41" i="6"/>
  <c r="G41" i="6"/>
  <c r="P40" i="6"/>
  <c r="F40" i="6"/>
  <c r="O39" i="6"/>
  <c r="F39" i="6"/>
  <c r="P38" i="6"/>
  <c r="G38" i="6"/>
  <c r="R37" i="6"/>
  <c r="I37" i="6"/>
  <c r="T36" i="6"/>
  <c r="L36" i="6"/>
  <c r="D36" i="6"/>
  <c r="P35" i="6"/>
  <c r="H35" i="6"/>
  <c r="T34" i="6"/>
  <c r="L34" i="6"/>
  <c r="D34" i="6"/>
  <c r="P33" i="6"/>
  <c r="H33" i="6"/>
  <c r="T32" i="6"/>
  <c r="L32" i="6"/>
  <c r="D32" i="6"/>
  <c r="P31" i="6"/>
  <c r="H31" i="6"/>
  <c r="T30" i="6"/>
  <c r="L30" i="6"/>
  <c r="D30" i="6"/>
  <c r="P29" i="6"/>
  <c r="H29" i="6"/>
  <c r="T28" i="6"/>
  <c r="L28" i="6"/>
  <c r="D28" i="6"/>
  <c r="P27" i="6"/>
  <c r="H27" i="6"/>
  <c r="T26" i="6"/>
  <c r="L26" i="6"/>
  <c r="D26" i="6"/>
  <c r="P25" i="6"/>
  <c r="H25" i="6"/>
  <c r="T24" i="6"/>
  <c r="L24" i="6"/>
  <c r="D24" i="6"/>
  <c r="P23" i="6"/>
  <c r="H23" i="6"/>
  <c r="T22" i="6"/>
  <c r="L22" i="6"/>
  <c r="D22" i="6"/>
  <c r="P21" i="6"/>
  <c r="H21" i="6"/>
  <c r="T20" i="6"/>
  <c r="L20" i="6"/>
  <c r="D20" i="6"/>
  <c r="P19" i="6"/>
  <c r="H19" i="6"/>
  <c r="T18" i="6"/>
  <c r="L18" i="6"/>
  <c r="D18" i="6"/>
  <c r="P17" i="6"/>
  <c r="F132" i="6"/>
  <c r="R125" i="6"/>
  <c r="J119" i="6"/>
  <c r="B113" i="6"/>
  <c r="N106" i="6"/>
  <c r="N100" i="6"/>
  <c r="N95" i="6"/>
  <c r="N90" i="6"/>
  <c r="C86" i="6"/>
  <c r="G83" i="6"/>
  <c r="S80" i="6"/>
  <c r="S78" i="6"/>
  <c r="S76" i="6"/>
  <c r="Q74" i="6"/>
  <c r="P72" i="6"/>
  <c r="O70" i="6"/>
  <c r="O68" i="6"/>
  <c r="O66" i="6"/>
  <c r="M64" i="6"/>
  <c r="Q62" i="6"/>
  <c r="C61" i="6"/>
  <c r="I59" i="6"/>
  <c r="R57" i="6"/>
  <c r="L56" i="6"/>
  <c r="F55" i="6"/>
  <c r="T53" i="6"/>
  <c r="O52" i="6"/>
  <c r="J51" i="6"/>
  <c r="D50" i="6"/>
  <c r="R48" i="6"/>
  <c r="L47" i="6"/>
  <c r="G46" i="6"/>
  <c r="B45" i="6"/>
  <c r="P43" i="6"/>
  <c r="O42" i="6"/>
  <c r="N41" i="6"/>
  <c r="L40" i="6"/>
  <c r="K39" i="6"/>
  <c r="M38" i="6"/>
  <c r="O37" i="6"/>
  <c r="Q36" i="6"/>
  <c r="U35" i="6"/>
  <c r="E35" i="6"/>
  <c r="I34" i="6"/>
  <c r="M33" i="6"/>
  <c r="Q32" i="6"/>
  <c r="U31" i="6"/>
  <c r="E31" i="6"/>
  <c r="I30" i="6"/>
  <c r="M29" i="6"/>
  <c r="Q28" i="6"/>
  <c r="U27" i="6"/>
  <c r="E27" i="6"/>
  <c r="I26" i="6"/>
  <c r="M25" i="6"/>
  <c r="Q24" i="6"/>
  <c r="U23" i="6"/>
  <c r="E23" i="6"/>
  <c r="I22" i="6"/>
  <c r="M21" i="6"/>
  <c r="Q20" i="6"/>
  <c r="U19" i="6"/>
  <c r="E19" i="6"/>
  <c r="I18" i="6"/>
  <c r="O17" i="6"/>
  <c r="E17" i="6"/>
  <c r="P16" i="6"/>
  <c r="G16" i="6"/>
  <c r="R15" i="6"/>
  <c r="I15" i="6"/>
  <c r="T14" i="6"/>
  <c r="K14" i="6"/>
  <c r="U13" i="6"/>
  <c r="M13" i="6"/>
  <c r="E13" i="6"/>
  <c r="Q12" i="6"/>
  <c r="I12" i="6"/>
  <c r="U11" i="6"/>
  <c r="M11" i="6"/>
  <c r="E11" i="6"/>
  <c r="Q10" i="6"/>
  <c r="I10" i="6"/>
  <c r="U9" i="6"/>
  <c r="M9" i="6"/>
  <c r="E9" i="6"/>
  <c r="Q8" i="6"/>
  <c r="I8" i="6"/>
  <c r="U7" i="6"/>
  <c r="M7" i="6"/>
  <c r="E7" i="6"/>
  <c r="J131" i="6"/>
  <c r="B125" i="6"/>
  <c r="N118" i="6"/>
  <c r="F112" i="6"/>
  <c r="R105" i="6"/>
  <c r="F100" i="6"/>
  <c r="B95" i="6"/>
  <c r="R89" i="6"/>
  <c r="N85" i="6"/>
  <c r="T82" i="6"/>
  <c r="P80" i="6"/>
  <c r="O78" i="6"/>
  <c r="M76" i="6"/>
  <c r="K74" i="6"/>
  <c r="K72" i="6"/>
  <c r="K70" i="6"/>
  <c r="I68" i="6"/>
  <c r="H66" i="6"/>
  <c r="G64" i="6"/>
  <c r="M62" i="6"/>
  <c r="T60" i="6"/>
  <c r="E59" i="6"/>
  <c r="N57" i="6"/>
  <c r="H56" i="6"/>
  <c r="C55" i="6"/>
  <c r="R53" i="6"/>
  <c r="L52" i="6"/>
  <c r="F51" i="6"/>
  <c r="T49" i="6"/>
  <c r="O48" i="6"/>
  <c r="J47" i="6"/>
  <c r="D46" i="6"/>
  <c r="R44" i="6"/>
  <c r="N43" i="6"/>
  <c r="L42" i="6"/>
  <c r="K41" i="6"/>
  <c r="J40" i="6"/>
  <c r="I39" i="6"/>
  <c r="K38" i="6"/>
  <c r="L37" i="6"/>
  <c r="O36" i="6"/>
  <c r="S35" i="6"/>
  <c r="C35" i="6"/>
  <c r="G34" i="6"/>
  <c r="R129" i="6"/>
  <c r="J123" i="6"/>
  <c r="B117" i="6"/>
  <c r="N110" i="6"/>
  <c r="F104" i="6"/>
  <c r="R98" i="6"/>
  <c r="R93" i="6"/>
  <c r="N88" i="6"/>
  <c r="U84" i="6"/>
  <c r="E82" i="6"/>
  <c r="E80" i="6"/>
  <c r="E78" i="6"/>
  <c r="C76" i="6"/>
  <c r="U73" i="6"/>
  <c r="T71" i="6"/>
  <c r="T69" i="6"/>
  <c r="T67" i="6"/>
  <c r="S65" i="6"/>
  <c r="S63" i="6"/>
  <c r="D62" i="6"/>
  <c r="K60" i="6"/>
  <c r="Q58" i="6"/>
  <c r="H57" i="6"/>
  <c r="B56" i="6"/>
  <c r="P54" i="6"/>
  <c r="K53" i="6"/>
  <c r="F52" i="6"/>
  <c r="T50" i="6"/>
  <c r="N49" i="6"/>
  <c r="H48" i="6"/>
  <c r="C47" i="6"/>
  <c r="R45" i="6"/>
  <c r="L44" i="6"/>
  <c r="H43" i="6"/>
  <c r="G42" i="6"/>
  <c r="F41" i="6"/>
  <c r="D40" i="6"/>
  <c r="D39" i="6"/>
  <c r="F38" i="6"/>
  <c r="H37" i="6"/>
  <c r="K36" i="6"/>
  <c r="O35" i="6"/>
  <c r="S34" i="6"/>
  <c r="C34" i="6"/>
  <c r="G33" i="6"/>
  <c r="K32" i="6"/>
  <c r="O31" i="6"/>
  <c r="S30" i="6"/>
  <c r="C30" i="6"/>
  <c r="G29" i="6"/>
  <c r="K28" i="6"/>
  <c r="O27" i="6"/>
  <c r="S26" i="6"/>
  <c r="C26" i="6"/>
  <c r="G25" i="6"/>
  <c r="K24" i="6"/>
  <c r="O23" i="6"/>
  <c r="S22" i="6"/>
  <c r="C22" i="6"/>
  <c r="G21" i="6"/>
  <c r="K20" i="6"/>
  <c r="O19" i="6"/>
  <c r="S18" i="6"/>
  <c r="C18" i="6"/>
  <c r="K17" i="6"/>
  <c r="B17" i="6"/>
  <c r="M16" i="6"/>
  <c r="D16" i="6"/>
  <c r="O15" i="6"/>
  <c r="E15" i="6"/>
  <c r="P14" i="6"/>
  <c r="G14" i="6"/>
  <c r="R13" i="6"/>
  <c r="J13" i="6"/>
  <c r="B13" i="6"/>
  <c r="N12" i="6"/>
  <c r="F12" i="6"/>
  <c r="R11" i="6"/>
  <c r="J11" i="6"/>
  <c r="B11" i="6"/>
  <c r="N10" i="6"/>
  <c r="F10" i="6"/>
  <c r="R9" i="6"/>
  <c r="J9" i="6"/>
  <c r="B9" i="6"/>
  <c r="N8" i="6"/>
  <c r="F8" i="6"/>
  <c r="R7" i="6"/>
  <c r="J7" i="6"/>
  <c r="B7" i="6"/>
  <c r="R121" i="6"/>
  <c r="J92" i="6"/>
  <c r="H84" i="6"/>
  <c r="M79" i="6"/>
  <c r="M75" i="6"/>
  <c r="K71" i="6"/>
  <c r="I67" i="6"/>
  <c r="K63" i="6"/>
  <c r="U59" i="6"/>
  <c r="B57" i="6"/>
  <c r="J54" i="6"/>
  <c r="S51" i="6"/>
  <c r="H49" i="6"/>
  <c r="P46" i="6"/>
  <c r="F44" i="6"/>
  <c r="B42" i="6"/>
  <c r="S39" i="6"/>
  <c r="T38" i="6"/>
  <c r="C37" i="6"/>
  <c r="K35" i="6"/>
  <c r="S33" i="6"/>
  <c r="G32" i="6"/>
  <c r="O30" i="6"/>
  <c r="C29" i="6"/>
  <c r="K27" i="6"/>
  <c r="S25" i="6"/>
  <c r="C25" i="6"/>
  <c r="K23" i="6"/>
  <c r="S21" i="6"/>
  <c r="G20" i="6"/>
  <c r="O18" i="6"/>
  <c r="I17" i="6"/>
  <c r="K16" i="6"/>
  <c r="L15" i="6"/>
  <c r="N14" i="6"/>
  <c r="P13" i="6"/>
  <c r="T12" i="6"/>
  <c r="B129" i="6"/>
  <c r="N122" i="6"/>
  <c r="F116" i="6"/>
  <c r="R109" i="6"/>
  <c r="J103" i="6"/>
  <c r="F98" i="6"/>
  <c r="B93" i="6"/>
  <c r="R87" i="6"/>
  <c r="M84" i="6"/>
  <c r="U81" i="6"/>
  <c r="T79" i="6"/>
  <c r="S77" i="6"/>
  <c r="Q75" i="6"/>
  <c r="Q73" i="6"/>
  <c r="Q71" i="6"/>
  <c r="O69" i="6"/>
  <c r="M67" i="6"/>
  <c r="L65" i="6"/>
  <c r="O63" i="6"/>
  <c r="U61" i="6"/>
  <c r="G60" i="6"/>
  <c r="L58" i="6"/>
  <c r="D57" i="6"/>
  <c r="S55" i="6"/>
  <c r="N54" i="6"/>
  <c r="H53" i="6"/>
  <c r="B52" i="6"/>
  <c r="P50" i="6"/>
  <c r="K49" i="6"/>
  <c r="F48" i="6"/>
  <c r="T46" i="6"/>
  <c r="N45" i="6"/>
  <c r="H44" i="6"/>
  <c r="F43" i="6"/>
  <c r="D42" i="6"/>
  <c r="C41" i="6"/>
  <c r="B40" i="6"/>
  <c r="B39" i="6"/>
  <c r="D38" i="6"/>
  <c r="F37" i="6"/>
  <c r="I36" i="6"/>
  <c r="M35" i="6"/>
  <c r="Q34" i="6"/>
  <c r="U33" i="6"/>
  <c r="E33" i="6"/>
  <c r="I32" i="6"/>
  <c r="M31" i="6"/>
  <c r="Q30" i="6"/>
  <c r="U29" i="6"/>
  <c r="E29" i="6"/>
  <c r="I28" i="6"/>
  <c r="M27" i="6"/>
  <c r="Q26" i="6"/>
  <c r="U25" i="6"/>
  <c r="E25" i="6"/>
  <c r="I24" i="6"/>
  <c r="M23" i="6"/>
  <c r="Q22" i="6"/>
  <c r="U21" i="6"/>
  <c r="E21" i="6"/>
  <c r="I20" i="6"/>
  <c r="M19" i="6"/>
  <c r="Q18" i="6"/>
  <c r="U17" i="6"/>
  <c r="J17" i="6"/>
  <c r="U16" i="6"/>
  <c r="L16" i="6"/>
  <c r="C16" i="6"/>
  <c r="M15" i="6"/>
  <c r="D15" i="6"/>
  <c r="O14" i="6"/>
  <c r="F14" i="6"/>
  <c r="Q13" i="6"/>
  <c r="I13" i="6"/>
  <c r="U12" i="6"/>
  <c r="M12" i="6"/>
  <c r="E12" i="6"/>
  <c r="Q11" i="6"/>
  <c r="I11" i="6"/>
  <c r="U10" i="6"/>
  <c r="M10" i="6"/>
  <c r="E10" i="6"/>
  <c r="Q9" i="6"/>
  <c r="I9" i="6"/>
  <c r="U8" i="6"/>
  <c r="M8" i="6"/>
  <c r="E8" i="6"/>
  <c r="Q7" i="6"/>
  <c r="I7" i="6"/>
  <c r="F128" i="6"/>
  <c r="J115" i="6"/>
  <c r="B109" i="6"/>
  <c r="N102" i="6"/>
  <c r="J97" i="6"/>
  <c r="J87" i="6"/>
  <c r="O81" i="6"/>
  <c r="M77" i="6"/>
  <c r="L73" i="6"/>
  <c r="I69" i="6"/>
  <c r="I65" i="6"/>
  <c r="P61" i="6"/>
  <c r="H58" i="6"/>
  <c r="P55" i="6"/>
  <c r="D53" i="6"/>
  <c r="N50" i="6"/>
  <c r="B48" i="6"/>
  <c r="K45" i="6"/>
  <c r="C43" i="6"/>
  <c r="T40" i="6"/>
  <c r="B38" i="6"/>
  <c r="G36" i="6"/>
  <c r="O34" i="6"/>
  <c r="C33" i="6"/>
  <c r="K31" i="6"/>
  <c r="S29" i="6"/>
  <c r="G28" i="6"/>
  <c r="O26" i="6"/>
  <c r="G24" i="6"/>
  <c r="O22" i="6"/>
  <c r="C21" i="6"/>
  <c r="K19" i="6"/>
  <c r="T17" i="6"/>
  <c r="T16" i="6"/>
  <c r="U15" i="6"/>
  <c r="C15" i="6"/>
  <c r="E14" i="6"/>
  <c r="H13" i="6"/>
  <c r="L12" i="6"/>
  <c r="J127" i="6"/>
  <c r="B121" i="6"/>
  <c r="N114" i="6"/>
  <c r="F108" i="6"/>
  <c r="B102" i="6"/>
  <c r="B97" i="6"/>
  <c r="R91" i="6"/>
  <c r="S86" i="6"/>
  <c r="T83" i="6"/>
  <c r="K81" i="6"/>
  <c r="K79" i="6"/>
  <c r="I77" i="6"/>
  <c r="G75" i="6"/>
  <c r="E73" i="6"/>
  <c r="E71" i="6"/>
  <c r="E69" i="6"/>
  <c r="D67" i="6"/>
  <c r="C65" i="6"/>
  <c r="E63" i="6"/>
  <c r="L61" i="6"/>
  <c r="S59" i="6"/>
  <c r="D58" i="6"/>
  <c r="R56" i="6"/>
  <c r="L55" i="6"/>
  <c r="G54" i="6"/>
  <c r="B53" i="6"/>
  <c r="P51" i="6"/>
  <c r="J50" i="6"/>
  <c r="D49" i="6"/>
  <c r="S47" i="6"/>
  <c r="N46" i="6"/>
  <c r="H45" i="6"/>
  <c r="B44" i="6"/>
  <c r="T42" i="6"/>
  <c r="S41" i="6"/>
  <c r="R40" i="6"/>
  <c r="P39" i="6"/>
  <c r="R38" i="6"/>
  <c r="S37" i="6"/>
  <c r="U36" i="6"/>
  <c r="E36" i="6"/>
  <c r="I35" i="6"/>
  <c r="M34" i="6"/>
  <c r="Q33" i="6"/>
  <c r="U32" i="6"/>
  <c r="E32" i="6"/>
  <c r="I31" i="6"/>
  <c r="M30" i="6"/>
  <c r="Q29" i="6"/>
  <c r="U28" i="6"/>
  <c r="E28" i="6"/>
  <c r="I27" i="6"/>
  <c r="M26" i="6"/>
  <c r="Q25" i="6"/>
  <c r="U24" i="6"/>
  <c r="E24" i="6"/>
  <c r="I23" i="6"/>
  <c r="M22" i="6"/>
  <c r="Q21" i="6"/>
  <c r="U20" i="6"/>
  <c r="E20" i="6"/>
  <c r="I19" i="6"/>
  <c r="M18" i="6"/>
  <c r="S17" i="6"/>
  <c r="H17" i="6"/>
  <c r="S16" i="6"/>
  <c r="I16" i="6"/>
  <c r="T15" i="6"/>
  <c r="K15" i="6"/>
  <c r="B15" i="6"/>
  <c r="M14" i="6"/>
  <c r="D14" i="6"/>
  <c r="O13" i="6"/>
  <c r="G13" i="6"/>
  <c r="S12" i="6"/>
  <c r="K12" i="6"/>
  <c r="C12" i="6"/>
  <c r="O11" i="6"/>
  <c r="G11" i="6"/>
  <c r="S10" i="6"/>
  <c r="K10" i="6"/>
  <c r="C10" i="6"/>
  <c r="O9" i="6"/>
  <c r="G9" i="6"/>
  <c r="S8" i="6"/>
  <c r="K8" i="6"/>
  <c r="C8" i="6"/>
  <c r="O7" i="6"/>
  <c r="G7" i="6"/>
  <c r="N126" i="6"/>
  <c r="F120" i="6"/>
  <c r="R113" i="6"/>
  <c r="J107" i="6"/>
  <c r="J101" i="6"/>
  <c r="F96" i="6"/>
  <c r="B91" i="6"/>
  <c r="K86" i="6"/>
  <c r="O83" i="6"/>
  <c r="E81" i="6"/>
  <c r="D79" i="6"/>
  <c r="C77" i="6"/>
  <c r="C75" i="6"/>
  <c r="C73" i="6"/>
  <c r="U70" i="6"/>
  <c r="S68" i="6"/>
  <c r="Q66" i="6"/>
  <c r="Q64" i="6"/>
  <c r="C63" i="6"/>
  <c r="H61" i="6"/>
  <c r="M59" i="6"/>
  <c r="T57" i="6"/>
  <c r="O56" i="6"/>
  <c r="J55" i="6"/>
  <c r="D54" i="6"/>
  <c r="R52" i="6"/>
  <c r="L51" i="6"/>
  <c r="G50" i="6"/>
  <c r="B49" i="6"/>
  <c r="P47" i="6"/>
  <c r="J46" i="6"/>
  <c r="D45" i="6"/>
  <c r="S43" i="6"/>
  <c r="R42" i="6"/>
  <c r="P41" i="6"/>
  <c r="O40" i="6"/>
  <c r="N39" i="6"/>
  <c r="O38" i="6"/>
  <c r="Q37" i="6"/>
  <c r="S36" i="6"/>
  <c r="C36" i="6"/>
  <c r="G35" i="6"/>
  <c r="K34" i="6"/>
  <c r="O33" i="6"/>
  <c r="S32" i="6"/>
  <c r="C32" i="6"/>
  <c r="N130" i="6"/>
  <c r="I85" i="6"/>
  <c r="C68" i="6"/>
  <c r="T54" i="6"/>
  <c r="O44" i="6"/>
  <c r="M36" i="6"/>
  <c r="S31" i="6"/>
  <c r="O29" i="6"/>
  <c r="Q27" i="6"/>
  <c r="K25" i="6"/>
  <c r="G23" i="6"/>
  <c r="I21" i="6"/>
  <c r="C19" i="6"/>
  <c r="G17" i="6"/>
  <c r="E16" i="6"/>
  <c r="S14" i="6"/>
  <c r="N13" i="6"/>
  <c r="O12" i="6"/>
  <c r="P11" i="6"/>
  <c r="T10" i="6"/>
  <c r="D10" i="6"/>
  <c r="H9" i="6"/>
  <c r="L8" i="6"/>
  <c r="P7" i="6"/>
  <c r="R117" i="6"/>
  <c r="H52" i="6"/>
  <c r="U34" i="6"/>
  <c r="I29" i="6"/>
  <c r="S24" i="6"/>
  <c r="O20" i="6"/>
  <c r="C17" i="6"/>
  <c r="Q15" i="6"/>
  <c r="K13" i="6"/>
  <c r="P10" i="6"/>
  <c r="D9" i="6"/>
  <c r="L7" i="6"/>
  <c r="H78" i="6"/>
  <c r="C51" i="6"/>
  <c r="E34" i="6"/>
  <c r="S28" i="6"/>
  <c r="O24" i="6"/>
  <c r="M20" i="6"/>
  <c r="Q16" i="6"/>
  <c r="G12" i="6"/>
  <c r="S9" i="6"/>
  <c r="F124" i="6"/>
  <c r="M82" i="6"/>
  <c r="C66" i="6"/>
  <c r="N53" i="6"/>
  <c r="K43" i="6"/>
  <c r="Q35" i="6"/>
  <c r="Q31" i="6"/>
  <c r="K29" i="6"/>
  <c r="G27" i="6"/>
  <c r="I25" i="6"/>
  <c r="C23" i="6"/>
  <c r="S20" i="6"/>
  <c r="U18" i="6"/>
  <c r="D17" i="6"/>
  <c r="S15" i="6"/>
  <c r="Q14" i="6"/>
  <c r="L13" i="6"/>
  <c r="J12" i="6"/>
  <c r="N11" i="6"/>
  <c r="R10" i="6"/>
  <c r="B10" i="6"/>
  <c r="F9" i="6"/>
  <c r="J8" i="6"/>
  <c r="N7" i="6"/>
  <c r="I80" i="6"/>
  <c r="D64" i="6"/>
  <c r="J42" i="6"/>
  <c r="G31" i="6"/>
  <c r="C27" i="6"/>
  <c r="U22" i="6"/>
  <c r="K18" i="6"/>
  <c r="L14" i="6"/>
  <c r="H12" i="6"/>
  <c r="L11" i="6"/>
  <c r="T9" i="6"/>
  <c r="H8" i="6"/>
  <c r="J111" i="6"/>
  <c r="I62" i="6"/>
  <c r="H41" i="6"/>
  <c r="C31" i="6"/>
  <c r="U26" i="6"/>
  <c r="K22" i="6"/>
  <c r="G18" i="6"/>
  <c r="F13" i="6"/>
  <c r="O10" i="6"/>
  <c r="K7" i="6"/>
  <c r="B105" i="6"/>
  <c r="H76" i="6"/>
  <c r="O60" i="6"/>
  <c r="R49" i="6"/>
  <c r="G40" i="6"/>
  <c r="K33" i="6"/>
  <c r="U30" i="6"/>
  <c r="O28" i="6"/>
  <c r="K26" i="6"/>
  <c r="M24" i="6"/>
  <c r="G22" i="6"/>
  <c r="C20" i="6"/>
  <c r="E18" i="6"/>
  <c r="O16" i="6"/>
  <c r="J15" i="6"/>
  <c r="H14" i="6"/>
  <c r="D13" i="6"/>
  <c r="D12" i="6"/>
  <c r="H11" i="6"/>
  <c r="L10" i="6"/>
  <c r="P9" i="6"/>
  <c r="T8" i="6"/>
  <c r="D8" i="6"/>
  <c r="H7" i="6"/>
  <c r="J99" i="6"/>
  <c r="H74" i="6"/>
  <c r="T58" i="6"/>
  <c r="L48" i="6"/>
  <c r="G39" i="6"/>
  <c r="I33" i="6"/>
  <c r="K30" i="6"/>
  <c r="M28" i="6"/>
  <c r="G26" i="6"/>
  <c r="C24" i="6"/>
  <c r="E22" i="6"/>
  <c r="S19" i="6"/>
  <c r="Q17" i="6"/>
  <c r="N16" i="6"/>
  <c r="H15" i="6"/>
  <c r="C14" i="6"/>
  <c r="C13" i="6"/>
  <c r="B12" i="6"/>
  <c r="F11" i="6"/>
  <c r="J10" i="6"/>
  <c r="N9" i="6"/>
  <c r="R8" i="6"/>
  <c r="B8" i="6"/>
  <c r="F7" i="6"/>
  <c r="P15" i="6"/>
  <c r="C9" i="6"/>
  <c r="F94" i="6"/>
  <c r="G72" i="6"/>
  <c r="K57" i="6"/>
  <c r="F47" i="6"/>
  <c r="H38" i="6"/>
  <c r="O32" i="6"/>
  <c r="G30" i="6"/>
  <c r="C28" i="6"/>
  <c r="E26" i="6"/>
  <c r="S23" i="6"/>
  <c r="O21" i="6"/>
  <c r="Q19" i="6"/>
  <c r="M17" i="6"/>
  <c r="H16" i="6"/>
  <c r="G15" i="6"/>
  <c r="T13" i="6"/>
  <c r="R12" i="6"/>
  <c r="T11" i="6"/>
  <c r="D11" i="6"/>
  <c r="H10" i="6"/>
  <c r="L9" i="6"/>
  <c r="P8" i="6"/>
  <c r="T7" i="6"/>
  <c r="D7" i="6"/>
  <c r="F89" i="6"/>
  <c r="E70" i="6"/>
  <c r="F56" i="6"/>
  <c r="T45" i="6"/>
  <c r="J37" i="6"/>
  <c r="M32" i="6"/>
  <c r="E30" i="6"/>
  <c r="S27" i="6"/>
  <c r="O25" i="6"/>
  <c r="Q23" i="6"/>
  <c r="K21" i="6"/>
  <c r="G19" i="6"/>
  <c r="L17" i="6"/>
  <c r="F16" i="6"/>
  <c r="U14" i="6"/>
  <c r="S13" i="6"/>
  <c r="P12" i="6"/>
  <c r="S11" i="6"/>
  <c r="C11" i="6"/>
  <c r="G10" i="6"/>
  <c r="K9" i="6"/>
  <c r="O8" i="6"/>
  <c r="S7" i="6"/>
  <c r="C7" i="6"/>
  <c r="I14" i="6"/>
  <c r="K11" i="6"/>
  <c r="G8" i="6"/>
  <c r="B8" i="2"/>
  <c r="J8" i="2"/>
  <c r="R8" i="2"/>
  <c r="F9" i="2"/>
  <c r="N9" i="2"/>
  <c r="B10" i="2"/>
  <c r="J10" i="2"/>
  <c r="R10" i="2"/>
  <c r="F11" i="2"/>
  <c r="N11" i="2"/>
  <c r="B12" i="2"/>
  <c r="J12" i="2"/>
  <c r="R12" i="2"/>
  <c r="F13" i="2"/>
  <c r="N13" i="2"/>
  <c r="B14" i="2"/>
  <c r="J14" i="2"/>
  <c r="R14" i="2"/>
  <c r="F15" i="2"/>
  <c r="N15" i="2"/>
  <c r="B16" i="2"/>
  <c r="J16" i="2"/>
  <c r="R16" i="2"/>
  <c r="F17" i="2"/>
  <c r="N17" i="2"/>
  <c r="B18" i="2"/>
  <c r="J18" i="2"/>
  <c r="R18" i="2"/>
  <c r="F19" i="2"/>
  <c r="N19" i="2"/>
  <c r="B20" i="2"/>
  <c r="J20" i="2"/>
  <c r="R20" i="2"/>
  <c r="F21" i="2"/>
  <c r="N21" i="2"/>
  <c r="B22" i="2"/>
  <c r="J22" i="2"/>
  <c r="R22" i="2"/>
  <c r="F23" i="2"/>
  <c r="N23" i="2"/>
  <c r="B24" i="2"/>
  <c r="J24" i="2"/>
  <c r="R24" i="2"/>
  <c r="F25" i="2"/>
  <c r="N25" i="2"/>
  <c r="B26" i="2"/>
  <c r="J26" i="2"/>
  <c r="R26" i="2"/>
  <c r="F27" i="2"/>
  <c r="N27" i="2"/>
  <c r="B28" i="2"/>
  <c r="J28" i="2"/>
  <c r="R28" i="2"/>
  <c r="F29" i="2"/>
  <c r="N29" i="2"/>
  <c r="B30" i="2"/>
  <c r="J30" i="2"/>
  <c r="R30" i="2"/>
  <c r="F31" i="2"/>
  <c r="N31" i="2"/>
  <c r="B32" i="2"/>
  <c r="J32" i="2"/>
  <c r="R32" i="2"/>
  <c r="F33" i="2"/>
  <c r="N33" i="2"/>
  <c r="B34" i="2"/>
  <c r="J34" i="2"/>
  <c r="R34" i="2"/>
  <c r="F35" i="2"/>
  <c r="N35" i="2"/>
  <c r="B36" i="2"/>
  <c r="J36" i="2"/>
  <c r="R36" i="2"/>
  <c r="F37" i="2"/>
  <c r="N37" i="2"/>
  <c r="B38" i="2"/>
  <c r="J38" i="2"/>
  <c r="R38" i="2"/>
  <c r="F39" i="2"/>
  <c r="N39" i="2"/>
  <c r="B40" i="2"/>
  <c r="J40" i="2"/>
  <c r="R40" i="2"/>
  <c r="F41" i="2"/>
  <c r="N41" i="2"/>
  <c r="B42" i="2"/>
  <c r="J42" i="2"/>
  <c r="R42" i="2"/>
  <c r="F43" i="2"/>
  <c r="N43" i="2"/>
  <c r="B44" i="2"/>
  <c r="J44" i="2"/>
  <c r="R44" i="2"/>
  <c r="F45" i="2"/>
  <c r="N45" i="2"/>
  <c r="B46" i="2"/>
  <c r="J46" i="2"/>
  <c r="R46" i="2"/>
  <c r="F47" i="2"/>
  <c r="N47" i="2"/>
  <c r="B48" i="2"/>
  <c r="J48" i="2"/>
  <c r="R48" i="2"/>
  <c r="F49" i="2"/>
  <c r="N49" i="2"/>
  <c r="B50" i="2"/>
  <c r="J50" i="2"/>
  <c r="R50" i="2"/>
  <c r="F51" i="2"/>
  <c r="N51" i="2"/>
  <c r="B52" i="2"/>
  <c r="J52" i="2"/>
  <c r="R52" i="2"/>
  <c r="F53" i="2"/>
  <c r="N53" i="2"/>
  <c r="B54" i="2"/>
  <c r="J54" i="2"/>
  <c r="R54" i="2"/>
  <c r="F55" i="2"/>
  <c r="N55" i="2"/>
  <c r="B56" i="2"/>
  <c r="J56" i="2"/>
  <c r="R56" i="2"/>
  <c r="F57" i="2"/>
  <c r="N57" i="2"/>
  <c r="B58" i="2"/>
  <c r="J58" i="2"/>
  <c r="D8" i="2"/>
  <c r="L8" i="2"/>
  <c r="T8" i="2"/>
  <c r="H9" i="2"/>
  <c r="P9" i="2"/>
  <c r="D10" i="2"/>
  <c r="L10" i="2"/>
  <c r="T10" i="2"/>
  <c r="H11" i="2"/>
  <c r="P11" i="2"/>
  <c r="D12" i="2"/>
  <c r="L12" i="2"/>
  <c r="T12" i="2"/>
  <c r="H13" i="2"/>
  <c r="P13" i="2"/>
  <c r="D14" i="2"/>
  <c r="L14" i="2"/>
  <c r="T14" i="2"/>
  <c r="H15" i="2"/>
  <c r="P15" i="2"/>
  <c r="D16" i="2"/>
  <c r="L16" i="2"/>
  <c r="T16" i="2"/>
  <c r="H17" i="2"/>
  <c r="P17" i="2"/>
  <c r="D18" i="2"/>
  <c r="L18" i="2"/>
  <c r="T18" i="2"/>
  <c r="H19" i="2"/>
  <c r="P19" i="2"/>
  <c r="D20" i="2"/>
  <c r="L20" i="2"/>
  <c r="T20" i="2"/>
  <c r="H21" i="2"/>
  <c r="P21" i="2"/>
  <c r="D22" i="2"/>
  <c r="L22" i="2"/>
  <c r="T22" i="2"/>
  <c r="H23" i="2"/>
  <c r="P23" i="2"/>
  <c r="D24" i="2"/>
  <c r="L24" i="2"/>
  <c r="T24" i="2"/>
  <c r="H25" i="2"/>
  <c r="P25" i="2"/>
  <c r="D26" i="2"/>
  <c r="L26" i="2"/>
  <c r="T26" i="2"/>
  <c r="H27" i="2"/>
  <c r="P27" i="2"/>
  <c r="D28" i="2"/>
  <c r="L28" i="2"/>
  <c r="T28" i="2"/>
  <c r="H29" i="2"/>
  <c r="P29" i="2"/>
  <c r="D30" i="2"/>
  <c r="L30" i="2"/>
  <c r="T30" i="2"/>
  <c r="H31" i="2"/>
  <c r="P31" i="2"/>
  <c r="D32" i="2"/>
  <c r="L32" i="2"/>
  <c r="T32" i="2"/>
  <c r="H33" i="2"/>
  <c r="P33" i="2"/>
  <c r="D34" i="2"/>
  <c r="L34" i="2"/>
  <c r="T34" i="2"/>
  <c r="H35" i="2"/>
  <c r="P35" i="2"/>
  <c r="D36" i="2"/>
  <c r="L36" i="2"/>
  <c r="T36" i="2"/>
  <c r="H37" i="2"/>
  <c r="P37" i="2"/>
  <c r="D38" i="2"/>
  <c r="L38" i="2"/>
  <c r="T38" i="2"/>
  <c r="H39" i="2"/>
  <c r="P39" i="2"/>
  <c r="D40" i="2"/>
  <c r="L40" i="2"/>
  <c r="T40" i="2"/>
  <c r="H41" i="2"/>
  <c r="P41" i="2"/>
  <c r="D42" i="2"/>
  <c r="L42" i="2"/>
  <c r="T42" i="2"/>
  <c r="H43" i="2"/>
  <c r="P43" i="2"/>
  <c r="D44" i="2"/>
  <c r="L44" i="2"/>
  <c r="T44" i="2"/>
  <c r="H45" i="2"/>
  <c r="P45" i="2"/>
  <c r="D46" i="2"/>
  <c r="L46" i="2"/>
  <c r="T46" i="2"/>
  <c r="H47" i="2"/>
  <c r="F8" i="2"/>
  <c r="N8" i="2"/>
  <c r="B9" i="2"/>
  <c r="J9" i="2"/>
  <c r="R9" i="2"/>
  <c r="F10" i="2"/>
  <c r="N10" i="2"/>
  <c r="B11" i="2"/>
  <c r="J11" i="2"/>
  <c r="R11" i="2"/>
  <c r="F12" i="2"/>
  <c r="N12" i="2"/>
  <c r="B13" i="2"/>
  <c r="J13" i="2"/>
  <c r="R13" i="2"/>
  <c r="F14" i="2"/>
  <c r="N14" i="2"/>
  <c r="B15" i="2"/>
  <c r="J15" i="2"/>
  <c r="R15" i="2"/>
  <c r="F16" i="2"/>
  <c r="N16" i="2"/>
  <c r="B17" i="2"/>
  <c r="J17" i="2"/>
  <c r="R17" i="2"/>
  <c r="F18" i="2"/>
  <c r="N18" i="2"/>
  <c r="B19" i="2"/>
  <c r="J19" i="2"/>
  <c r="R19" i="2"/>
  <c r="F20" i="2"/>
  <c r="N20" i="2"/>
  <c r="B21" i="2"/>
  <c r="J21" i="2"/>
  <c r="R21" i="2"/>
  <c r="F22" i="2"/>
  <c r="N22" i="2"/>
  <c r="B23" i="2"/>
  <c r="J23" i="2"/>
  <c r="R23" i="2"/>
  <c r="F24" i="2"/>
  <c r="N24" i="2"/>
  <c r="B25" i="2"/>
  <c r="J25" i="2"/>
  <c r="R25" i="2"/>
  <c r="F26" i="2"/>
  <c r="N26" i="2"/>
  <c r="B27" i="2"/>
  <c r="J27" i="2"/>
  <c r="R27" i="2"/>
  <c r="F28" i="2"/>
  <c r="N28" i="2"/>
  <c r="B29" i="2"/>
  <c r="J29" i="2"/>
  <c r="R29" i="2"/>
  <c r="F30" i="2"/>
  <c r="N30" i="2"/>
  <c r="B31" i="2"/>
  <c r="J31" i="2"/>
  <c r="R31" i="2"/>
  <c r="F32" i="2"/>
  <c r="N32" i="2"/>
  <c r="B33" i="2"/>
  <c r="J33" i="2"/>
  <c r="R33" i="2"/>
  <c r="F34" i="2"/>
  <c r="N34" i="2"/>
  <c r="B35" i="2"/>
  <c r="J35" i="2"/>
  <c r="R35" i="2"/>
  <c r="F36" i="2"/>
  <c r="N36" i="2"/>
  <c r="B37" i="2"/>
  <c r="J37" i="2"/>
  <c r="R37" i="2"/>
  <c r="F38" i="2"/>
  <c r="N38" i="2"/>
  <c r="B39" i="2"/>
  <c r="J39" i="2"/>
  <c r="R39" i="2"/>
  <c r="F40" i="2"/>
  <c r="N40" i="2"/>
  <c r="B41" i="2"/>
  <c r="J41" i="2"/>
  <c r="R41" i="2"/>
  <c r="F42" i="2"/>
  <c r="N42" i="2"/>
  <c r="B43" i="2"/>
  <c r="J43" i="2"/>
  <c r="R43" i="2"/>
  <c r="F44" i="2"/>
  <c r="N44" i="2"/>
  <c r="B45" i="2"/>
  <c r="J45" i="2"/>
  <c r="R45" i="2"/>
  <c r="F46" i="2"/>
  <c r="N46" i="2"/>
  <c r="B47" i="2"/>
  <c r="J47" i="2"/>
  <c r="R47" i="2"/>
  <c r="F48" i="2"/>
  <c r="N48" i="2"/>
  <c r="B49" i="2"/>
  <c r="J49" i="2"/>
  <c r="R49" i="2"/>
  <c r="F50" i="2"/>
  <c r="N50" i="2"/>
  <c r="B51" i="2"/>
  <c r="J51" i="2"/>
  <c r="R51" i="2"/>
  <c r="F52" i="2"/>
  <c r="N52" i="2"/>
  <c r="B53" i="2"/>
  <c r="J53" i="2"/>
  <c r="R53" i="2"/>
  <c r="F54" i="2"/>
  <c r="N54" i="2"/>
  <c r="B55" i="2"/>
  <c r="J55" i="2"/>
  <c r="R55" i="2"/>
  <c r="F56" i="2"/>
  <c r="N56" i="2"/>
  <c r="B57" i="2"/>
  <c r="J57" i="2"/>
  <c r="R57" i="2"/>
  <c r="F58" i="2"/>
  <c r="H8" i="2"/>
  <c r="P8" i="2"/>
  <c r="D9" i="2"/>
  <c r="L9" i="2"/>
  <c r="T9" i="2"/>
  <c r="H10" i="2"/>
  <c r="P10" i="2"/>
  <c r="D11" i="2"/>
  <c r="L11" i="2"/>
  <c r="T11" i="2"/>
  <c r="H12" i="2"/>
  <c r="P12" i="2"/>
  <c r="D13" i="2"/>
  <c r="L13" i="2"/>
  <c r="T13" i="2"/>
  <c r="H14" i="2"/>
  <c r="P14" i="2"/>
  <c r="D15" i="2"/>
  <c r="L15" i="2"/>
  <c r="T15" i="2"/>
  <c r="H16" i="2"/>
  <c r="P16" i="2"/>
  <c r="D17" i="2"/>
  <c r="L17" i="2"/>
  <c r="T17" i="2"/>
  <c r="H18" i="2"/>
  <c r="P18" i="2"/>
  <c r="D19" i="2"/>
  <c r="L19" i="2"/>
  <c r="T19" i="2"/>
  <c r="H20" i="2"/>
  <c r="P20" i="2"/>
  <c r="D21" i="2"/>
  <c r="L21" i="2"/>
  <c r="T21" i="2"/>
  <c r="H22" i="2"/>
  <c r="P22" i="2"/>
  <c r="D23" i="2"/>
  <c r="L23" i="2"/>
  <c r="T23" i="2"/>
  <c r="H24" i="2"/>
  <c r="P24" i="2"/>
  <c r="D25" i="2"/>
  <c r="L25" i="2"/>
  <c r="T25" i="2"/>
  <c r="H26" i="2"/>
  <c r="P26" i="2"/>
  <c r="D27" i="2"/>
  <c r="L27" i="2"/>
  <c r="T27" i="2"/>
  <c r="H28" i="2"/>
  <c r="P28" i="2"/>
  <c r="D29" i="2"/>
  <c r="L29" i="2"/>
  <c r="T29" i="2"/>
  <c r="H30" i="2"/>
  <c r="P30" i="2"/>
  <c r="D31" i="2"/>
  <c r="L31" i="2"/>
  <c r="T31" i="2"/>
  <c r="H32" i="2"/>
  <c r="P32" i="2"/>
  <c r="D33" i="2"/>
  <c r="L33" i="2"/>
  <c r="T33" i="2"/>
  <c r="H34" i="2"/>
  <c r="P34" i="2"/>
  <c r="D35" i="2"/>
  <c r="L35" i="2"/>
  <c r="T35" i="2"/>
  <c r="H36" i="2"/>
  <c r="P36" i="2"/>
  <c r="D37" i="2"/>
  <c r="L37" i="2"/>
  <c r="T37" i="2"/>
  <c r="H38" i="2"/>
  <c r="P38" i="2"/>
  <c r="D39" i="2"/>
  <c r="L39" i="2"/>
  <c r="T39" i="2"/>
  <c r="H40" i="2"/>
  <c r="P40" i="2"/>
  <c r="D41" i="2"/>
  <c r="L41" i="2"/>
  <c r="T41" i="2"/>
  <c r="H42" i="2"/>
  <c r="P42" i="2"/>
  <c r="D43" i="2"/>
  <c r="L43" i="2"/>
  <c r="T43" i="2"/>
  <c r="H44" i="2"/>
  <c r="P44" i="2"/>
  <c r="D45" i="2"/>
  <c r="L45" i="2"/>
  <c r="T45" i="2"/>
  <c r="H46" i="2"/>
  <c r="P46" i="2"/>
  <c r="D47" i="2"/>
  <c r="L47" i="2"/>
  <c r="T47" i="2"/>
  <c r="H48" i="2"/>
  <c r="P48" i="2"/>
  <c r="D49" i="2"/>
  <c r="L49" i="2"/>
  <c r="T49" i="2"/>
  <c r="H50" i="2"/>
  <c r="P50" i="2"/>
  <c r="D51" i="2"/>
  <c r="L51" i="2"/>
  <c r="T51" i="2"/>
  <c r="H52" i="2"/>
  <c r="P52" i="2"/>
  <c r="D53" i="2"/>
  <c r="L53" i="2"/>
  <c r="T53" i="2"/>
  <c r="H54" i="2"/>
  <c r="P54" i="2"/>
  <c r="D55" i="2"/>
  <c r="L55" i="2"/>
  <c r="T55" i="2"/>
  <c r="H56" i="2"/>
  <c r="P56" i="2"/>
  <c r="D57" i="2"/>
  <c r="L57" i="2"/>
  <c r="T57" i="2"/>
  <c r="H58" i="2"/>
  <c r="C8" i="2"/>
  <c r="S8" i="2"/>
  <c r="O9" i="2"/>
  <c r="K10" i="2"/>
  <c r="G11" i="2"/>
  <c r="C12" i="2"/>
  <c r="S12" i="2"/>
  <c r="O13" i="2"/>
  <c r="K14" i="2"/>
  <c r="G15" i="2"/>
  <c r="C16" i="2"/>
  <c r="S16" i="2"/>
  <c r="O17" i="2"/>
  <c r="K18" i="2"/>
  <c r="G19" i="2"/>
  <c r="C20" i="2"/>
  <c r="S20" i="2"/>
  <c r="O21" i="2"/>
  <c r="K22" i="2"/>
  <c r="G23" i="2"/>
  <c r="C24" i="2"/>
  <c r="S24" i="2"/>
  <c r="O25" i="2"/>
  <c r="K26" i="2"/>
  <c r="G27" i="2"/>
  <c r="C28" i="2"/>
  <c r="S28" i="2"/>
  <c r="O29" i="2"/>
  <c r="K30" i="2"/>
  <c r="G31" i="2"/>
  <c r="C32" i="2"/>
  <c r="S32" i="2"/>
  <c r="O33" i="2"/>
  <c r="K34" i="2"/>
  <c r="G35" i="2"/>
  <c r="C36" i="2"/>
  <c r="S36" i="2"/>
  <c r="O37" i="2"/>
  <c r="K38" i="2"/>
  <c r="G39" i="2"/>
  <c r="C40" i="2"/>
  <c r="S40" i="2"/>
  <c r="O41" i="2"/>
  <c r="K42" i="2"/>
  <c r="G43" i="2"/>
  <c r="C44" i="2"/>
  <c r="S44" i="2"/>
  <c r="O45" i="2"/>
  <c r="K46" i="2"/>
  <c r="G47" i="2"/>
  <c r="U47" i="2"/>
  <c r="M48" i="2"/>
  <c r="G49" i="2"/>
  <c r="S49" i="2"/>
  <c r="L50" i="2"/>
  <c r="E51" i="2"/>
  <c r="Q51" i="2"/>
  <c r="K52" i="2"/>
  <c r="C53" i="2"/>
  <c r="P53" i="2"/>
  <c r="I54" i="2"/>
  <c r="U54" i="2"/>
  <c r="O55" i="2"/>
  <c r="G56" i="2"/>
  <c r="T56" i="2"/>
  <c r="M57" i="2"/>
  <c r="E58" i="2"/>
  <c r="P58" i="2"/>
  <c r="D59" i="2"/>
  <c r="L59" i="2"/>
  <c r="T59" i="2"/>
  <c r="H60" i="2"/>
  <c r="P60" i="2"/>
  <c r="D61" i="2"/>
  <c r="L61" i="2"/>
  <c r="T61" i="2"/>
  <c r="H62" i="2"/>
  <c r="P62" i="2"/>
  <c r="D63" i="2"/>
  <c r="L63" i="2"/>
  <c r="E8" i="2"/>
  <c r="I8" i="2"/>
  <c r="E9" i="2"/>
  <c r="U9" i="2"/>
  <c r="Q10" i="2"/>
  <c r="M11" i="2"/>
  <c r="I12" i="2"/>
  <c r="E13" i="2"/>
  <c r="U13" i="2"/>
  <c r="Q14" i="2"/>
  <c r="M15" i="2"/>
  <c r="I16" i="2"/>
  <c r="E17" i="2"/>
  <c r="U17" i="2"/>
  <c r="Q18" i="2"/>
  <c r="M19" i="2"/>
  <c r="I20" i="2"/>
  <c r="E21" i="2"/>
  <c r="U21" i="2"/>
  <c r="Q22" i="2"/>
  <c r="M23" i="2"/>
  <c r="I24" i="2"/>
  <c r="E25" i="2"/>
  <c r="U25" i="2"/>
  <c r="Q26" i="2"/>
  <c r="M27" i="2"/>
  <c r="I28" i="2"/>
  <c r="E29" i="2"/>
  <c r="U29" i="2"/>
  <c r="Q30" i="2"/>
  <c r="M31" i="2"/>
  <c r="I32" i="2"/>
  <c r="E33" i="2"/>
  <c r="U33" i="2"/>
  <c r="Q34" i="2"/>
  <c r="M35" i="2"/>
  <c r="I36" i="2"/>
  <c r="E37" i="2"/>
  <c r="U37" i="2"/>
  <c r="Q38" i="2"/>
  <c r="M39" i="2"/>
  <c r="I40" i="2"/>
  <c r="E41" i="2"/>
  <c r="U41" i="2"/>
  <c r="Q42" i="2"/>
  <c r="M43" i="2"/>
  <c r="I44" i="2"/>
  <c r="E45" i="2"/>
  <c r="U45" i="2"/>
  <c r="Q46" i="2"/>
  <c r="M47" i="2"/>
  <c r="E48" i="2"/>
  <c r="S48" i="2"/>
  <c r="K49" i="2"/>
  <c r="D50" i="2"/>
  <c r="Q50" i="2"/>
  <c r="I51" i="2"/>
  <c r="C52" i="2"/>
  <c r="O52" i="2"/>
  <c r="H53" i="2"/>
  <c r="U53" i="2"/>
  <c r="M54" i="2"/>
  <c r="G55" i="2"/>
  <c r="S55" i="2"/>
  <c r="L56" i="2"/>
  <c r="E57" i="2"/>
  <c r="Q57" i="2"/>
  <c r="K58" i="2"/>
  <c r="S58" i="2"/>
  <c r="G59" i="2"/>
  <c r="O59" i="2"/>
  <c r="C60" i="2"/>
  <c r="K60" i="2"/>
  <c r="S60" i="2"/>
  <c r="G61" i="2"/>
  <c r="O61" i="2"/>
  <c r="C62" i="2"/>
  <c r="K62" i="2"/>
  <c r="S62" i="2"/>
  <c r="G63" i="2"/>
  <c r="O63" i="2"/>
  <c r="C64" i="2"/>
  <c r="K64" i="2"/>
  <c r="S64" i="2"/>
  <c r="G65" i="2"/>
  <c r="O65" i="2"/>
  <c r="C66" i="2"/>
  <c r="K66" i="2"/>
  <c r="S66" i="2"/>
  <c r="G67" i="2"/>
  <c r="O67" i="2"/>
  <c r="C68" i="2"/>
  <c r="K68" i="2"/>
  <c r="S68" i="2"/>
  <c r="G69" i="2"/>
  <c r="O69" i="2"/>
  <c r="C70" i="2"/>
  <c r="K70" i="2"/>
  <c r="S70" i="2"/>
  <c r="G71" i="2"/>
  <c r="O71" i="2"/>
  <c r="C72" i="2"/>
  <c r="K72" i="2"/>
  <c r="S72" i="2"/>
  <c r="G73" i="2"/>
  <c r="O73" i="2"/>
  <c r="C74" i="2"/>
  <c r="K74" i="2"/>
  <c r="S74" i="2"/>
  <c r="G75" i="2"/>
  <c r="O75" i="2"/>
  <c r="C76" i="2"/>
  <c r="K76" i="2"/>
  <c r="S76" i="2"/>
  <c r="G77" i="2"/>
  <c r="O77" i="2"/>
  <c r="C78" i="2"/>
  <c r="K78" i="2"/>
  <c r="S78" i="2"/>
  <c r="G79" i="2"/>
  <c r="O79" i="2"/>
  <c r="C80" i="2"/>
  <c r="K80" i="2"/>
  <c r="S80" i="2"/>
  <c r="G81" i="2"/>
  <c r="O81" i="2"/>
  <c r="C82" i="2"/>
  <c r="K82" i="2"/>
  <c r="K8" i="2"/>
  <c r="G9" i="2"/>
  <c r="C10" i="2"/>
  <c r="S10" i="2"/>
  <c r="O11" i="2"/>
  <c r="K12" i="2"/>
  <c r="G13" i="2"/>
  <c r="C14" i="2"/>
  <c r="S14" i="2"/>
  <c r="O15" i="2"/>
  <c r="K16" i="2"/>
  <c r="G17" i="2"/>
  <c r="C18" i="2"/>
  <c r="S18" i="2"/>
  <c r="O19" i="2"/>
  <c r="K20" i="2"/>
  <c r="G21" i="2"/>
  <c r="C22" i="2"/>
  <c r="S22" i="2"/>
  <c r="O23" i="2"/>
  <c r="K24" i="2"/>
  <c r="G25" i="2"/>
  <c r="C26" i="2"/>
  <c r="S26" i="2"/>
  <c r="O27" i="2"/>
  <c r="K28" i="2"/>
  <c r="G29" i="2"/>
  <c r="C30" i="2"/>
  <c r="S30" i="2"/>
  <c r="O31" i="2"/>
  <c r="K32" i="2"/>
  <c r="G33" i="2"/>
  <c r="C34" i="2"/>
  <c r="S34" i="2"/>
  <c r="O35" i="2"/>
  <c r="K36" i="2"/>
  <c r="G37" i="2"/>
  <c r="C38" i="2"/>
  <c r="S38" i="2"/>
  <c r="O39" i="2"/>
  <c r="K40" i="2"/>
  <c r="G41" i="2"/>
  <c r="C42" i="2"/>
  <c r="S42" i="2"/>
  <c r="O43" i="2"/>
  <c r="K44" i="2"/>
  <c r="G45" i="2"/>
  <c r="C46" i="2"/>
  <c r="S46" i="2"/>
  <c r="O47" i="2"/>
  <c r="G48" i="2"/>
  <c r="T48" i="2"/>
  <c r="M49" i="2"/>
  <c r="E50" i="2"/>
  <c r="S50" i="2"/>
  <c r="K51" i="2"/>
  <c r="D52" i="2"/>
  <c r="Q52" i="2"/>
  <c r="I53" i="2"/>
  <c r="C54" i="2"/>
  <c r="O54" i="2"/>
  <c r="H55" i="2"/>
  <c r="U55" i="2"/>
  <c r="M56" i="2"/>
  <c r="G57" i="2"/>
  <c r="S57" i="2"/>
  <c r="L58" i="2"/>
  <c r="T58" i="2"/>
  <c r="H59" i="2"/>
  <c r="P59" i="2"/>
  <c r="D60" i="2"/>
  <c r="L60" i="2"/>
  <c r="T60" i="2"/>
  <c r="H61" i="2"/>
  <c r="P61" i="2"/>
  <c r="D62" i="2"/>
  <c r="L62" i="2"/>
  <c r="T62" i="2"/>
  <c r="H63" i="2"/>
  <c r="P63" i="2"/>
  <c r="D64" i="2"/>
  <c r="L64" i="2"/>
  <c r="T64" i="2"/>
  <c r="H65" i="2"/>
  <c r="P65" i="2"/>
  <c r="D66" i="2"/>
  <c r="L66" i="2"/>
  <c r="T66" i="2"/>
  <c r="H67" i="2"/>
  <c r="P67" i="2"/>
  <c r="D68" i="2"/>
  <c r="L68" i="2"/>
  <c r="T68" i="2"/>
  <c r="H69" i="2"/>
  <c r="P69" i="2"/>
  <c r="D70" i="2"/>
  <c r="L70" i="2"/>
  <c r="T70" i="2"/>
  <c r="H71" i="2"/>
  <c r="P71" i="2"/>
  <c r="D72" i="2"/>
  <c r="L72" i="2"/>
  <c r="T72" i="2"/>
  <c r="H73" i="2"/>
  <c r="P73" i="2"/>
  <c r="D74" i="2"/>
  <c r="L74" i="2"/>
  <c r="T74" i="2"/>
  <c r="H75" i="2"/>
  <c r="P75" i="2"/>
  <c r="D76" i="2"/>
  <c r="L76" i="2"/>
  <c r="T76" i="2"/>
  <c r="H77" i="2"/>
  <c r="P77" i="2"/>
  <c r="D78" i="2"/>
  <c r="L78" i="2"/>
  <c r="T78" i="2"/>
  <c r="H79" i="2"/>
  <c r="P79" i="2"/>
  <c r="D80" i="2"/>
  <c r="L80" i="2"/>
  <c r="T80" i="2"/>
  <c r="H81" i="2"/>
  <c r="P81" i="2"/>
  <c r="D82" i="2"/>
  <c r="L82" i="2"/>
  <c r="O8" i="2"/>
  <c r="K9" i="2"/>
  <c r="G10" i="2"/>
  <c r="C11" i="2"/>
  <c r="S11" i="2"/>
  <c r="O12" i="2"/>
  <c r="K13" i="2"/>
  <c r="G14" i="2"/>
  <c r="C15" i="2"/>
  <c r="S15" i="2"/>
  <c r="O16" i="2"/>
  <c r="K17" i="2"/>
  <c r="G18" i="2"/>
  <c r="C19" i="2"/>
  <c r="S19" i="2"/>
  <c r="O20" i="2"/>
  <c r="K21" i="2"/>
  <c r="G22" i="2"/>
  <c r="C23" i="2"/>
  <c r="S23" i="2"/>
  <c r="O24" i="2"/>
  <c r="K25" i="2"/>
  <c r="G26" i="2"/>
  <c r="C27" i="2"/>
  <c r="S27" i="2"/>
  <c r="O28" i="2"/>
  <c r="K29" i="2"/>
  <c r="G30" i="2"/>
  <c r="C31" i="2"/>
  <c r="S31" i="2"/>
  <c r="O32" i="2"/>
  <c r="K33" i="2"/>
  <c r="G34" i="2"/>
  <c r="C35" i="2"/>
  <c r="S35" i="2"/>
  <c r="O36" i="2"/>
  <c r="K37" i="2"/>
  <c r="G38" i="2"/>
  <c r="C39" i="2"/>
  <c r="S39" i="2"/>
  <c r="O40" i="2"/>
  <c r="K41" i="2"/>
  <c r="G42" i="2"/>
  <c r="C43" i="2"/>
  <c r="S43" i="2"/>
  <c r="O44" i="2"/>
  <c r="K45" i="2"/>
  <c r="G46" i="2"/>
  <c r="C47" i="2"/>
  <c r="Q47" i="2"/>
  <c r="K48" i="2"/>
  <c r="C49" i="2"/>
  <c r="P49" i="2"/>
  <c r="I50" i="2"/>
  <c r="U50" i="2"/>
  <c r="O51" i="2"/>
  <c r="G52" i="2"/>
  <c r="T52" i="2"/>
  <c r="M53" i="2"/>
  <c r="E54" i="2"/>
  <c r="S54" i="2"/>
  <c r="K55" i="2"/>
  <c r="D56" i="2"/>
  <c r="Q56" i="2"/>
  <c r="I57" i="2"/>
  <c r="C58" i="2"/>
  <c r="N58" i="2"/>
  <c r="B59" i="2"/>
  <c r="J59" i="2"/>
  <c r="R59" i="2"/>
  <c r="F60" i="2"/>
  <c r="N60" i="2"/>
  <c r="B61" i="2"/>
  <c r="J61" i="2"/>
  <c r="R61" i="2"/>
  <c r="F62" i="2"/>
  <c r="N62" i="2"/>
  <c r="B63" i="2"/>
  <c r="J63" i="2"/>
  <c r="G8" i="2"/>
  <c r="S9" i="2"/>
  <c r="K11" i="2"/>
  <c r="C13" i="2"/>
  <c r="O14" i="2"/>
  <c r="G16" i="2"/>
  <c r="S17" i="2"/>
  <c r="K19" i="2"/>
  <c r="C21" i="2"/>
  <c r="O22" i="2"/>
  <c r="G24" i="2"/>
  <c r="S25" i="2"/>
  <c r="K27" i="2"/>
  <c r="C29" i="2"/>
  <c r="O30" i="2"/>
  <c r="G32" i="2"/>
  <c r="S33" i="2"/>
  <c r="K35" i="2"/>
  <c r="C37" i="2"/>
  <c r="O38" i="2"/>
  <c r="G40" i="2"/>
  <c r="S41" i="2"/>
  <c r="K43" i="2"/>
  <c r="C45" i="2"/>
  <c r="O46" i="2"/>
  <c r="D48" i="2"/>
  <c r="I49" i="2"/>
  <c r="O50" i="2"/>
  <c r="U51" i="2"/>
  <c r="G53" i="2"/>
  <c r="L54" i="2"/>
  <c r="Q55" i="2"/>
  <c r="C57" i="2"/>
  <c r="I58" i="2"/>
  <c r="F59" i="2"/>
  <c r="B60" i="2"/>
  <c r="R60" i="2"/>
  <c r="N61" i="2"/>
  <c r="J62" i="2"/>
  <c r="F63" i="2"/>
  <c r="T63" i="2"/>
  <c r="J64" i="2"/>
  <c r="B65" i="2"/>
  <c r="L65" i="2"/>
  <c r="B66" i="2"/>
  <c r="N66" i="2"/>
  <c r="D67" i="2"/>
  <c r="N67" i="2"/>
  <c r="F68" i="2"/>
  <c r="P68" i="2"/>
  <c r="F69" i="2"/>
  <c r="R69" i="2"/>
  <c r="H70" i="2"/>
  <c r="R70" i="2"/>
  <c r="J71" i="2"/>
  <c r="T71" i="2"/>
  <c r="J72" i="2"/>
  <c r="B73" i="2"/>
  <c r="L73" i="2"/>
  <c r="B74" i="2"/>
  <c r="N74" i="2"/>
  <c r="D75" i="2"/>
  <c r="N75" i="2"/>
  <c r="F76" i="2"/>
  <c r="P76" i="2"/>
  <c r="F77" i="2"/>
  <c r="R77" i="2"/>
  <c r="H78" i="2"/>
  <c r="R78" i="2"/>
  <c r="J79" i="2"/>
  <c r="T79" i="2"/>
  <c r="J80" i="2"/>
  <c r="B81" i="2"/>
  <c r="L81" i="2"/>
  <c r="B82" i="2"/>
  <c r="N82" i="2"/>
  <c r="B83" i="2"/>
  <c r="J83" i="2"/>
  <c r="R83" i="2"/>
  <c r="F84" i="2"/>
  <c r="N84" i="2"/>
  <c r="B85" i="2"/>
  <c r="J85" i="2"/>
  <c r="U8" i="2"/>
  <c r="M10" i="2"/>
  <c r="E12" i="2"/>
  <c r="Q13" i="2"/>
  <c r="I15" i="2"/>
  <c r="U16" i="2"/>
  <c r="M18" i="2"/>
  <c r="E20" i="2"/>
  <c r="Q21" i="2"/>
  <c r="I23" i="2"/>
  <c r="U24" i="2"/>
  <c r="M26" i="2"/>
  <c r="E28" i="2"/>
  <c r="Q29" i="2"/>
  <c r="I31" i="2"/>
  <c r="U32" i="2"/>
  <c r="M34" i="2"/>
  <c r="E36" i="2"/>
  <c r="Q37" i="2"/>
  <c r="I39" i="2"/>
  <c r="U40" i="2"/>
  <c r="M42" i="2"/>
  <c r="E44" i="2"/>
  <c r="Q45" i="2"/>
  <c r="I47" i="2"/>
  <c r="O48" i="2"/>
  <c r="U49" i="2"/>
  <c r="G51" i="2"/>
  <c r="L52" i="2"/>
  <c r="Q53" i="2"/>
  <c r="C55" i="2"/>
  <c r="I56" i="2"/>
  <c r="O57" i="2"/>
  <c r="Q58" i="2"/>
  <c r="M59" i="2"/>
  <c r="I60" i="2"/>
  <c r="E61" i="2"/>
  <c r="U61" i="2"/>
  <c r="Q62" i="2"/>
  <c r="M63" i="2"/>
  <c r="E64" i="2"/>
  <c r="O64" i="2"/>
  <c r="E65" i="2"/>
  <c r="Q65" i="2"/>
  <c r="G66" i="2"/>
  <c r="Q66" i="2"/>
  <c r="I67" i="2"/>
  <c r="S67" i="2"/>
  <c r="I68" i="2"/>
  <c r="U68" i="2"/>
  <c r="K69" i="2"/>
  <c r="U69" i="2"/>
  <c r="M70" i="2"/>
  <c r="C71" i="2"/>
  <c r="M71" i="2"/>
  <c r="E72" i="2"/>
  <c r="O72" i="2"/>
  <c r="E73" i="2"/>
  <c r="Q73" i="2"/>
  <c r="G74" i="2"/>
  <c r="Q74" i="2"/>
  <c r="I75" i="2"/>
  <c r="S75" i="2"/>
  <c r="I76" i="2"/>
  <c r="U76" i="2"/>
  <c r="K77" i="2"/>
  <c r="U77" i="2"/>
  <c r="M78" i="2"/>
  <c r="C79" i="2"/>
  <c r="M79" i="2"/>
  <c r="E80" i="2"/>
  <c r="O80" i="2"/>
  <c r="E81" i="2"/>
  <c r="Q81" i="2"/>
  <c r="G82" i="2"/>
  <c r="Q82" i="2"/>
  <c r="E83" i="2"/>
  <c r="M83" i="2"/>
  <c r="U83" i="2"/>
  <c r="I84" i="2"/>
  <c r="Q84" i="2"/>
  <c r="E85" i="2"/>
  <c r="M85" i="2"/>
  <c r="U85" i="2"/>
  <c r="I86" i="2"/>
  <c r="Q86" i="2"/>
  <c r="E87" i="2"/>
  <c r="M87" i="2"/>
  <c r="U87" i="2"/>
  <c r="I88" i="2"/>
  <c r="Q88" i="2"/>
  <c r="E89" i="2"/>
  <c r="M89" i="2"/>
  <c r="U89" i="2"/>
  <c r="I90" i="2"/>
  <c r="Q90" i="2"/>
  <c r="E91" i="2"/>
  <c r="M91" i="2"/>
  <c r="U91" i="2"/>
  <c r="I92" i="2"/>
  <c r="Q92" i="2"/>
  <c r="E93" i="2"/>
  <c r="M93" i="2"/>
  <c r="U93" i="2"/>
  <c r="I94" i="2"/>
  <c r="Q94" i="2"/>
  <c r="E95" i="2"/>
  <c r="M95" i="2"/>
  <c r="U95" i="2"/>
  <c r="I96" i="2"/>
  <c r="Q96" i="2"/>
  <c r="E97" i="2"/>
  <c r="M97" i="2"/>
  <c r="U97" i="2"/>
  <c r="I98" i="2"/>
  <c r="Q98" i="2"/>
  <c r="E99" i="2"/>
  <c r="M99" i="2"/>
  <c r="U99" i="2"/>
  <c r="I100" i="2"/>
  <c r="Q100" i="2"/>
  <c r="E101" i="2"/>
  <c r="M101" i="2"/>
  <c r="U101" i="2"/>
  <c r="I102" i="2"/>
  <c r="Q102" i="2"/>
  <c r="E103" i="2"/>
  <c r="M103" i="2"/>
  <c r="U103" i="2"/>
  <c r="I104" i="2"/>
  <c r="Q104" i="2"/>
  <c r="E105" i="2"/>
  <c r="C9" i="2"/>
  <c r="O10" i="2"/>
  <c r="G12" i="2"/>
  <c r="S13" i="2"/>
  <c r="K15" i="2"/>
  <c r="C17" i="2"/>
  <c r="O18" i="2"/>
  <c r="G20" i="2"/>
  <c r="S21" i="2"/>
  <c r="K23" i="2"/>
  <c r="C25" i="2"/>
  <c r="O26" i="2"/>
  <c r="G28" i="2"/>
  <c r="S29" i="2"/>
  <c r="K31" i="2"/>
  <c r="C33" i="2"/>
  <c r="O34" i="2"/>
  <c r="G36" i="2"/>
  <c r="S37" i="2"/>
  <c r="K39" i="2"/>
  <c r="C41" i="2"/>
  <c r="O42" i="2"/>
  <c r="G44" i="2"/>
  <c r="S45" i="2"/>
  <c r="K47" i="2"/>
  <c r="Q48" i="2"/>
  <c r="C50" i="2"/>
  <c r="H51" i="2"/>
  <c r="M52" i="2"/>
  <c r="S53" i="2"/>
  <c r="E55" i="2"/>
  <c r="K56" i="2"/>
  <c r="P57" i="2"/>
  <c r="R58" i="2"/>
  <c r="N59" i="2"/>
  <c r="J60" i="2"/>
  <c r="F61" i="2"/>
  <c r="B62" i="2"/>
  <c r="R62" i="2"/>
  <c r="N63" i="2"/>
  <c r="F64" i="2"/>
  <c r="P64" i="2"/>
  <c r="F65" i="2"/>
  <c r="R65" i="2"/>
  <c r="H66" i="2"/>
  <c r="R66" i="2"/>
  <c r="J67" i="2"/>
  <c r="T67" i="2"/>
  <c r="J68" i="2"/>
  <c r="B69" i="2"/>
  <c r="L69" i="2"/>
  <c r="B70" i="2"/>
  <c r="N70" i="2"/>
  <c r="D71" i="2"/>
  <c r="N71" i="2"/>
  <c r="F72" i="2"/>
  <c r="P72" i="2"/>
  <c r="F73" i="2"/>
  <c r="R73" i="2"/>
  <c r="H74" i="2"/>
  <c r="R74" i="2"/>
  <c r="J75" i="2"/>
  <c r="T75" i="2"/>
  <c r="J76" i="2"/>
  <c r="B77" i="2"/>
  <c r="L77" i="2"/>
  <c r="B78" i="2"/>
  <c r="N78" i="2"/>
  <c r="D79" i="2"/>
  <c r="N79" i="2"/>
  <c r="F80" i="2"/>
  <c r="P80" i="2"/>
  <c r="F81" i="2"/>
  <c r="R81" i="2"/>
  <c r="H82" i="2"/>
  <c r="R82" i="2"/>
  <c r="F83" i="2"/>
  <c r="N83" i="2"/>
  <c r="B84" i="2"/>
  <c r="J84" i="2"/>
  <c r="R84" i="2"/>
  <c r="F85" i="2"/>
  <c r="N85" i="2"/>
  <c r="B86" i="2"/>
  <c r="J86" i="2"/>
  <c r="R86" i="2"/>
  <c r="F87" i="2"/>
  <c r="N87" i="2"/>
  <c r="B88" i="2"/>
  <c r="J88" i="2"/>
  <c r="R88" i="2"/>
  <c r="F89" i="2"/>
  <c r="N89" i="2"/>
  <c r="B90" i="2"/>
  <c r="J90" i="2"/>
  <c r="R90" i="2"/>
  <c r="F91" i="2"/>
  <c r="N91" i="2"/>
  <c r="B92" i="2"/>
  <c r="J92" i="2"/>
  <c r="R92" i="2"/>
  <c r="F93" i="2"/>
  <c r="N93" i="2"/>
  <c r="B94" i="2"/>
  <c r="J94" i="2"/>
  <c r="R94" i="2"/>
  <c r="F95" i="2"/>
  <c r="N95" i="2"/>
  <c r="B96" i="2"/>
  <c r="J96" i="2"/>
  <c r="R96" i="2"/>
  <c r="F97" i="2"/>
  <c r="N97" i="2"/>
  <c r="B98" i="2"/>
  <c r="J98" i="2"/>
  <c r="R98" i="2"/>
  <c r="F99" i="2"/>
  <c r="N99" i="2"/>
  <c r="B100" i="2"/>
  <c r="J100" i="2"/>
  <c r="R100" i="2"/>
  <c r="F101" i="2"/>
  <c r="N101" i="2"/>
  <c r="B102" i="2"/>
  <c r="J102" i="2"/>
  <c r="R102" i="2"/>
  <c r="F103" i="2"/>
  <c r="M9" i="2"/>
  <c r="E11" i="2"/>
  <c r="Q12" i="2"/>
  <c r="I14" i="2"/>
  <c r="U15" i="2"/>
  <c r="M17" i="2"/>
  <c r="E19" i="2"/>
  <c r="Q20" i="2"/>
  <c r="I22" i="2"/>
  <c r="U23" i="2"/>
  <c r="M25" i="2"/>
  <c r="E27" i="2"/>
  <c r="Q28" i="2"/>
  <c r="I30" i="2"/>
  <c r="U31" i="2"/>
  <c r="M33" i="2"/>
  <c r="E35" i="2"/>
  <c r="Q36" i="2"/>
  <c r="I38" i="2"/>
  <c r="U39" i="2"/>
  <c r="M41" i="2"/>
  <c r="E43" i="2"/>
  <c r="Q44" i="2"/>
  <c r="I46" i="2"/>
  <c r="S47" i="2"/>
  <c r="E49" i="2"/>
  <c r="K50" i="2"/>
  <c r="P51" i="2"/>
  <c r="U52" i="2"/>
  <c r="G54" i="2"/>
  <c r="M55" i="2"/>
  <c r="S56" i="2"/>
  <c r="D58" i="2"/>
  <c r="C59" i="2"/>
  <c r="S59" i="2"/>
  <c r="O60" i="2"/>
  <c r="K61" i="2"/>
  <c r="G62" i="2"/>
  <c r="C63" i="2"/>
  <c r="R63" i="2"/>
  <c r="H64" i="2"/>
  <c r="R64" i="2"/>
  <c r="J65" i="2"/>
  <c r="T65" i="2"/>
  <c r="J66" i="2"/>
  <c r="B67" i="2"/>
  <c r="L67" i="2"/>
  <c r="B68" i="2"/>
  <c r="N68" i="2"/>
  <c r="D69" i="2"/>
  <c r="N69" i="2"/>
  <c r="F70" i="2"/>
  <c r="P70" i="2"/>
  <c r="F71" i="2"/>
  <c r="R71" i="2"/>
  <c r="H72" i="2"/>
  <c r="R72" i="2"/>
  <c r="J73" i="2"/>
  <c r="T73" i="2"/>
  <c r="J74" i="2"/>
  <c r="B75" i="2"/>
  <c r="L75" i="2"/>
  <c r="B76" i="2"/>
  <c r="N76" i="2"/>
  <c r="D77" i="2"/>
  <c r="N77" i="2"/>
  <c r="F78" i="2"/>
  <c r="P78" i="2"/>
  <c r="F79" i="2"/>
  <c r="R79" i="2"/>
  <c r="H80" i="2"/>
  <c r="R80" i="2"/>
  <c r="J81" i="2"/>
  <c r="T81" i="2"/>
  <c r="J82" i="2"/>
  <c r="T82" i="2"/>
  <c r="H83" i="2"/>
  <c r="P83" i="2"/>
  <c r="D84" i="2"/>
  <c r="L84" i="2"/>
  <c r="T84" i="2"/>
  <c r="H85" i="2"/>
  <c r="M8" i="2"/>
  <c r="Q11" i="2"/>
  <c r="U14" i="2"/>
  <c r="E18" i="2"/>
  <c r="I21" i="2"/>
  <c r="M24" i="2"/>
  <c r="Q27" i="2"/>
  <c r="U30" i="2"/>
  <c r="E34" i="2"/>
  <c r="I37" i="2"/>
  <c r="M40" i="2"/>
  <c r="Q43" i="2"/>
  <c r="U46" i="2"/>
  <c r="O49" i="2"/>
  <c r="E52" i="2"/>
  <c r="Q54" i="2"/>
  <c r="H57" i="2"/>
  <c r="I59" i="2"/>
  <c r="U60" i="2"/>
  <c r="M62" i="2"/>
  <c r="U63" i="2"/>
  <c r="C65" i="2"/>
  <c r="E66" i="2"/>
  <c r="E67" i="2"/>
  <c r="G68" i="2"/>
  <c r="I69" i="2"/>
  <c r="I70" i="2"/>
  <c r="K71" i="2"/>
  <c r="M72" i="2"/>
  <c r="M73" i="2"/>
  <c r="O74" i="2"/>
  <c r="Q75" i="2"/>
  <c r="Q76" i="2"/>
  <c r="S77" i="2"/>
  <c r="U78" i="2"/>
  <c r="U79" i="2"/>
  <c r="C81" i="2"/>
  <c r="E82" i="2"/>
  <c r="C83" i="2"/>
  <c r="S83" i="2"/>
  <c r="O84" i="2"/>
  <c r="K85" i="2"/>
  <c r="C86" i="2"/>
  <c r="M86" i="2"/>
  <c r="C87" i="2"/>
  <c r="O87" i="2"/>
  <c r="E88" i="2"/>
  <c r="O88" i="2"/>
  <c r="G89" i="2"/>
  <c r="Q89" i="2"/>
  <c r="G90" i="2"/>
  <c r="S90" i="2"/>
  <c r="I91" i="2"/>
  <c r="S91" i="2"/>
  <c r="K92" i="2"/>
  <c r="U92" i="2"/>
  <c r="K93" i="2"/>
  <c r="C94" i="2"/>
  <c r="M94" i="2"/>
  <c r="C95" i="2"/>
  <c r="O95" i="2"/>
  <c r="E96" i="2"/>
  <c r="O96" i="2"/>
  <c r="G97" i="2"/>
  <c r="Q97" i="2"/>
  <c r="G98" i="2"/>
  <c r="S98" i="2"/>
  <c r="I99" i="2"/>
  <c r="S99" i="2"/>
  <c r="K100" i="2"/>
  <c r="U100" i="2"/>
  <c r="K101" i="2"/>
  <c r="C102" i="2"/>
  <c r="M102" i="2"/>
  <c r="C103" i="2"/>
  <c r="N103" i="2"/>
  <c r="C104" i="2"/>
  <c r="L104" i="2"/>
  <c r="U104" i="2"/>
  <c r="J105" i="2"/>
  <c r="R105" i="2"/>
  <c r="F106" i="2"/>
  <c r="N106" i="2"/>
  <c r="B107" i="2"/>
  <c r="J107" i="2"/>
  <c r="R107" i="2"/>
  <c r="F108" i="2"/>
  <c r="N108" i="2"/>
  <c r="B109" i="2"/>
  <c r="J109" i="2"/>
  <c r="R109" i="2"/>
  <c r="F110" i="2"/>
  <c r="N110" i="2"/>
  <c r="B111" i="2"/>
  <c r="J111" i="2"/>
  <c r="R111" i="2"/>
  <c r="F112" i="2"/>
  <c r="N112" i="2"/>
  <c r="B113" i="2"/>
  <c r="J113" i="2"/>
  <c r="R113" i="2"/>
  <c r="F114" i="2"/>
  <c r="N114" i="2"/>
  <c r="B115" i="2"/>
  <c r="J115" i="2"/>
  <c r="R115" i="2"/>
  <c r="F116" i="2"/>
  <c r="N116" i="2"/>
  <c r="B117" i="2"/>
  <c r="J117" i="2"/>
  <c r="R117" i="2"/>
  <c r="F118" i="2"/>
  <c r="N118" i="2"/>
  <c r="B119" i="2"/>
  <c r="J119" i="2"/>
  <c r="R119" i="2"/>
  <c r="F120" i="2"/>
  <c r="N120" i="2"/>
  <c r="B121" i="2"/>
  <c r="J121" i="2"/>
  <c r="R121" i="2"/>
  <c r="F122" i="2"/>
  <c r="N122" i="2"/>
  <c r="B123" i="2"/>
  <c r="J123" i="2"/>
  <c r="R123" i="2"/>
  <c r="F124" i="2"/>
  <c r="N124" i="2"/>
  <c r="B125" i="2"/>
  <c r="Q8" i="2"/>
  <c r="I9" i="2"/>
  <c r="M12" i="2"/>
  <c r="Q15" i="2"/>
  <c r="U18" i="2"/>
  <c r="E22" i="2"/>
  <c r="I25" i="2"/>
  <c r="M28" i="2"/>
  <c r="Q31" i="2"/>
  <c r="U34" i="2"/>
  <c r="E38" i="2"/>
  <c r="I41" i="2"/>
  <c r="M44" i="2"/>
  <c r="P47" i="2"/>
  <c r="G50" i="2"/>
  <c r="S52" i="2"/>
  <c r="I55" i="2"/>
  <c r="U57" i="2"/>
  <c r="Q59" i="2"/>
  <c r="I61" i="2"/>
  <c r="U62" i="2"/>
  <c r="G64" i="2"/>
  <c r="I65" i="2"/>
  <c r="I66" i="2"/>
  <c r="K67" i="2"/>
  <c r="M68" i="2"/>
  <c r="M69" i="2"/>
  <c r="O70" i="2"/>
  <c r="Q71" i="2"/>
  <c r="Q72" i="2"/>
  <c r="S73" i="2"/>
  <c r="U74" i="2"/>
  <c r="U75" i="2"/>
  <c r="C77" i="2"/>
  <c r="E78" i="2"/>
  <c r="E79" i="2"/>
  <c r="G80" i="2"/>
  <c r="I81" i="2"/>
  <c r="I82" i="2"/>
  <c r="G83" i="2"/>
  <c r="C84" i="2"/>
  <c r="S84" i="2"/>
  <c r="O85" i="2"/>
  <c r="E86" i="2"/>
  <c r="O86" i="2"/>
  <c r="G87" i="2"/>
  <c r="Q87" i="2"/>
  <c r="G88" i="2"/>
  <c r="S88" i="2"/>
  <c r="I89" i="2"/>
  <c r="S89" i="2"/>
  <c r="K90" i="2"/>
  <c r="U90" i="2"/>
  <c r="K91" i="2"/>
  <c r="C92" i="2"/>
  <c r="M92" i="2"/>
  <c r="C93" i="2"/>
  <c r="O93" i="2"/>
  <c r="E94" i="2"/>
  <c r="O94" i="2"/>
  <c r="G95" i="2"/>
  <c r="Q95" i="2"/>
  <c r="G96" i="2"/>
  <c r="S96" i="2"/>
  <c r="I97" i="2"/>
  <c r="S97" i="2"/>
  <c r="K98" i="2"/>
  <c r="U98" i="2"/>
  <c r="K99" i="2"/>
  <c r="C100" i="2"/>
  <c r="M100" i="2"/>
  <c r="C101" i="2"/>
  <c r="O101" i="2"/>
  <c r="E102" i="2"/>
  <c r="O102" i="2"/>
  <c r="G103" i="2"/>
  <c r="P103" i="2"/>
  <c r="E104" i="2"/>
  <c r="N104" i="2"/>
  <c r="C105" i="2"/>
  <c r="L105" i="2"/>
  <c r="T105" i="2"/>
  <c r="H106" i="2"/>
  <c r="P106" i="2"/>
  <c r="D107" i="2"/>
  <c r="L107" i="2"/>
  <c r="T107" i="2"/>
  <c r="H108" i="2"/>
  <c r="P108" i="2"/>
  <c r="D109" i="2"/>
  <c r="L109" i="2"/>
  <c r="T109" i="2"/>
  <c r="H110" i="2"/>
  <c r="P110" i="2"/>
  <c r="D111" i="2"/>
  <c r="E10" i="2"/>
  <c r="I13" i="2"/>
  <c r="M16" i="2"/>
  <c r="Q19" i="2"/>
  <c r="U22" i="2"/>
  <c r="E26" i="2"/>
  <c r="I29" i="2"/>
  <c r="M32" i="2"/>
  <c r="Q35" i="2"/>
  <c r="U38" i="2"/>
  <c r="E42" i="2"/>
  <c r="I45" i="2"/>
  <c r="I48" i="2"/>
  <c r="T50" i="2"/>
  <c r="K53" i="2"/>
  <c r="C56" i="2"/>
  <c r="M58" i="2"/>
  <c r="E60" i="2"/>
  <c r="Q61" i="2"/>
  <c r="I63" i="2"/>
  <c r="M64" i="2"/>
  <c r="M65" i="2"/>
  <c r="O66" i="2"/>
  <c r="Q67" i="2"/>
  <c r="Q68" i="2"/>
  <c r="S69" i="2"/>
  <c r="U70" i="2"/>
  <c r="U71" i="2"/>
  <c r="C73" i="2"/>
  <c r="E74" i="2"/>
  <c r="E75" i="2"/>
  <c r="G76" i="2"/>
  <c r="I77" i="2"/>
  <c r="I78" i="2"/>
  <c r="K79" i="2"/>
  <c r="M80" i="2"/>
  <c r="M81" i="2"/>
  <c r="O82" i="2"/>
  <c r="K83" i="2"/>
  <c r="G84" i="2"/>
  <c r="C85" i="2"/>
  <c r="Q85" i="2"/>
  <c r="G86" i="2"/>
  <c r="S86" i="2"/>
  <c r="I87" i="2"/>
  <c r="S87" i="2"/>
  <c r="K88" i="2"/>
  <c r="U88" i="2"/>
  <c r="K89" i="2"/>
  <c r="C90" i="2"/>
  <c r="M90" i="2"/>
  <c r="C91" i="2"/>
  <c r="O91" i="2"/>
  <c r="E92" i="2"/>
  <c r="O92" i="2"/>
  <c r="G93" i="2"/>
  <c r="Q93" i="2"/>
  <c r="G94" i="2"/>
  <c r="S94" i="2"/>
  <c r="I95" i="2"/>
  <c r="S95" i="2"/>
  <c r="K96" i="2"/>
  <c r="U96" i="2"/>
  <c r="K97" i="2"/>
  <c r="C98" i="2"/>
  <c r="M98" i="2"/>
  <c r="C99" i="2"/>
  <c r="O99" i="2"/>
  <c r="E100" i="2"/>
  <c r="O100" i="2"/>
  <c r="G101" i="2"/>
  <c r="Q101" i="2"/>
  <c r="G102" i="2"/>
  <c r="S102" i="2"/>
  <c r="I103" i="2"/>
  <c r="R103" i="2"/>
  <c r="G104" i="2"/>
  <c r="P104" i="2"/>
  <c r="F105" i="2"/>
  <c r="N105" i="2"/>
  <c r="B106" i="2"/>
  <c r="J106" i="2"/>
  <c r="R106" i="2"/>
  <c r="F107" i="2"/>
  <c r="N107" i="2"/>
  <c r="B108" i="2"/>
  <c r="J108" i="2"/>
  <c r="R108" i="2"/>
  <c r="F109" i="2"/>
  <c r="N109" i="2"/>
  <c r="B110" i="2"/>
  <c r="J110" i="2"/>
  <c r="R110" i="2"/>
  <c r="F111" i="2"/>
  <c r="N111" i="2"/>
  <c r="B112" i="2"/>
  <c r="J112" i="2"/>
  <c r="R112" i="2"/>
  <c r="F113" i="2"/>
  <c r="N113" i="2"/>
  <c r="B114" i="2"/>
  <c r="J114" i="2"/>
  <c r="R114" i="2"/>
  <c r="F115" i="2"/>
  <c r="N115" i="2"/>
  <c r="B116" i="2"/>
  <c r="J116" i="2"/>
  <c r="R116" i="2"/>
  <c r="F117" i="2"/>
  <c r="N117" i="2"/>
  <c r="B118" i="2"/>
  <c r="J118" i="2"/>
  <c r="R118" i="2"/>
  <c r="F119" i="2"/>
  <c r="N119" i="2"/>
  <c r="B120" i="2"/>
  <c r="J120" i="2"/>
  <c r="R120" i="2"/>
  <c r="F121" i="2"/>
  <c r="N121" i="2"/>
  <c r="B122" i="2"/>
  <c r="J122" i="2"/>
  <c r="R122" i="2"/>
  <c r="F123" i="2"/>
  <c r="N123" i="2"/>
  <c r="B124" i="2"/>
  <c r="J124" i="2"/>
  <c r="R124" i="2"/>
  <c r="U10" i="2"/>
  <c r="E14" i="2"/>
  <c r="I17" i="2"/>
  <c r="M20" i="2"/>
  <c r="Q23" i="2"/>
  <c r="U26" i="2"/>
  <c r="E30" i="2"/>
  <c r="I33" i="2"/>
  <c r="M36" i="2"/>
  <c r="Q39" i="2"/>
  <c r="U42" i="2"/>
  <c r="E46" i="2"/>
  <c r="U48" i="2"/>
  <c r="M51" i="2"/>
  <c r="D54" i="2"/>
  <c r="O56" i="2"/>
  <c r="U58" i="2"/>
  <c r="M60" i="2"/>
  <c r="E62" i="2"/>
  <c r="Q63" i="2"/>
  <c r="Q64" i="2"/>
  <c r="S65" i="2"/>
  <c r="U66" i="2"/>
  <c r="U67" i="2"/>
  <c r="C69" i="2"/>
  <c r="E70" i="2"/>
  <c r="E71" i="2"/>
  <c r="G72" i="2"/>
  <c r="I73" i="2"/>
  <c r="I74" i="2"/>
  <c r="K75" i="2"/>
  <c r="M76" i="2"/>
  <c r="M77" i="2"/>
  <c r="O78" i="2"/>
  <c r="Q79" i="2"/>
  <c r="Q80" i="2"/>
  <c r="S81" i="2"/>
  <c r="S82" i="2"/>
  <c r="O83" i="2"/>
  <c r="K84" i="2"/>
  <c r="G85" i="2"/>
  <c r="S85" i="2"/>
  <c r="K86" i="2"/>
  <c r="U86" i="2"/>
  <c r="K87" i="2"/>
  <c r="C88" i="2"/>
  <c r="M88" i="2"/>
  <c r="C89" i="2"/>
  <c r="O89" i="2"/>
  <c r="E90" i="2"/>
  <c r="O90" i="2"/>
  <c r="G91" i="2"/>
  <c r="Q91" i="2"/>
  <c r="G92" i="2"/>
  <c r="S92" i="2"/>
  <c r="I93" i="2"/>
  <c r="S93" i="2"/>
  <c r="K94" i="2"/>
  <c r="U94" i="2"/>
  <c r="K95" i="2"/>
  <c r="C96" i="2"/>
  <c r="M96" i="2"/>
  <c r="C97" i="2"/>
  <c r="O97" i="2"/>
  <c r="E98" i="2"/>
  <c r="O98" i="2"/>
  <c r="G99" i="2"/>
  <c r="Q99" i="2"/>
  <c r="G100" i="2"/>
  <c r="S100" i="2"/>
  <c r="I101" i="2"/>
  <c r="S101" i="2"/>
  <c r="K102" i="2"/>
  <c r="U102" i="2"/>
  <c r="K103" i="2"/>
  <c r="T103" i="2"/>
  <c r="J104" i="2"/>
  <c r="S104" i="2"/>
  <c r="H105" i="2"/>
  <c r="P105" i="2"/>
  <c r="D106" i="2"/>
  <c r="L106" i="2"/>
  <c r="T106" i="2"/>
  <c r="H107" i="2"/>
  <c r="P107" i="2"/>
  <c r="D108" i="2"/>
  <c r="L108" i="2"/>
  <c r="T108" i="2"/>
  <c r="H109" i="2"/>
  <c r="P109" i="2"/>
  <c r="D110" i="2"/>
  <c r="L110" i="2"/>
  <c r="T110" i="2"/>
  <c r="H111" i="2"/>
  <c r="P111" i="2"/>
  <c r="D112" i="2"/>
  <c r="L112" i="2"/>
  <c r="T112" i="2"/>
  <c r="H113" i="2"/>
  <c r="P113" i="2"/>
  <c r="D114" i="2"/>
  <c r="L114" i="2"/>
  <c r="T114" i="2"/>
  <c r="H115" i="2"/>
  <c r="P115" i="2"/>
  <c r="D116" i="2"/>
  <c r="L116" i="2"/>
  <c r="T116" i="2"/>
  <c r="H117" i="2"/>
  <c r="P117" i="2"/>
  <c r="D118" i="2"/>
  <c r="L118" i="2"/>
  <c r="T118" i="2"/>
  <c r="H119" i="2"/>
  <c r="P119" i="2"/>
  <c r="D120" i="2"/>
  <c r="L120" i="2"/>
  <c r="T120" i="2"/>
  <c r="H121" i="2"/>
  <c r="P121" i="2"/>
  <c r="D122" i="2"/>
  <c r="L122" i="2"/>
  <c r="T122" i="2"/>
  <c r="H123" i="2"/>
  <c r="P123" i="2"/>
  <c r="D124" i="2"/>
  <c r="L124" i="2"/>
  <c r="Q9" i="2"/>
  <c r="E16" i="2"/>
  <c r="M22" i="2"/>
  <c r="U28" i="2"/>
  <c r="I35" i="2"/>
  <c r="Q41" i="2"/>
  <c r="C48" i="2"/>
  <c r="E53" i="2"/>
  <c r="G58" i="2"/>
  <c r="M61" i="2"/>
  <c r="I64" i="2"/>
  <c r="M66" i="2"/>
  <c r="O68" i="2"/>
  <c r="Q70" i="2"/>
  <c r="U72" i="2"/>
  <c r="C75" i="2"/>
  <c r="E77" i="2"/>
  <c r="I79" i="2"/>
  <c r="K81" i="2"/>
  <c r="I83" i="2"/>
  <c r="U84" i="2"/>
  <c r="F86" i="2"/>
  <c r="H87" i="2"/>
  <c r="H88" i="2"/>
  <c r="J89" i="2"/>
  <c r="L90" i="2"/>
  <c r="L91" i="2"/>
  <c r="N92" i="2"/>
  <c r="P93" i="2"/>
  <c r="P94" i="2"/>
  <c r="R95" i="2"/>
  <c r="T96" i="2"/>
  <c r="T97" i="2"/>
  <c r="B99" i="2"/>
  <c r="D100" i="2"/>
  <c r="D101" i="2"/>
  <c r="F102" i="2"/>
  <c r="H103" i="2"/>
  <c r="F104" i="2"/>
  <c r="D105" i="2"/>
  <c r="U105" i="2"/>
  <c r="Q106" i="2"/>
  <c r="M107" i="2"/>
  <c r="I108" i="2"/>
  <c r="E109" i="2"/>
  <c r="U109" i="2"/>
  <c r="Q110" i="2"/>
  <c r="L111" i="2"/>
  <c r="E112" i="2"/>
  <c r="Q112" i="2"/>
  <c r="K113" i="2"/>
  <c r="C114" i="2"/>
  <c r="P114" i="2"/>
  <c r="I115" i="2"/>
  <c r="U115" i="2"/>
  <c r="O116" i="2"/>
  <c r="G117" i="2"/>
  <c r="T117" i="2"/>
  <c r="M118" i="2"/>
  <c r="E119" i="2"/>
  <c r="S119" i="2"/>
  <c r="K120" i="2"/>
  <c r="D121" i="2"/>
  <c r="Q121" i="2"/>
  <c r="I122" i="2"/>
  <c r="C123" i="2"/>
  <c r="O123" i="2"/>
  <c r="H124" i="2"/>
  <c r="T124" i="2"/>
  <c r="I125" i="2"/>
  <c r="Q125" i="2"/>
  <c r="E126" i="2"/>
  <c r="M126" i="2"/>
  <c r="U126" i="2"/>
  <c r="I127" i="2"/>
  <c r="Q127" i="2"/>
  <c r="E128" i="2"/>
  <c r="M128" i="2"/>
  <c r="U128" i="2"/>
  <c r="I129" i="2"/>
  <c r="Q129" i="2"/>
  <c r="E130" i="2"/>
  <c r="M130" i="2"/>
  <c r="U130" i="2"/>
  <c r="I131" i="2"/>
  <c r="Q131" i="2"/>
  <c r="E132" i="2"/>
  <c r="M132" i="2"/>
  <c r="U132" i="2"/>
  <c r="N132" i="2"/>
  <c r="Q17" i="2"/>
  <c r="U36" i="2"/>
  <c r="H49" i="2"/>
  <c r="E59" i="2"/>
  <c r="U64" i="2"/>
  <c r="E69" i="2"/>
  <c r="K73" i="2"/>
  <c r="Q77" i="2"/>
  <c r="U81" i="2"/>
  <c r="I85" i="2"/>
  <c r="L87" i="2"/>
  <c r="P89" i="2"/>
  <c r="R91" i="2"/>
  <c r="T92" i="2"/>
  <c r="B95" i="2"/>
  <c r="D97" i="2"/>
  <c r="H99" i="2"/>
  <c r="J101" i="2"/>
  <c r="L103" i="2"/>
  <c r="I105" i="2"/>
  <c r="U106" i="2"/>
  <c r="M108" i="2"/>
  <c r="E110" i="2"/>
  <c r="O111" i="2"/>
  <c r="U112" i="2"/>
  <c r="G114" i="2"/>
  <c r="L115" i="2"/>
  <c r="Q116" i="2"/>
  <c r="C118" i="2"/>
  <c r="I119" i="2"/>
  <c r="O120" i="2"/>
  <c r="T121" i="2"/>
  <c r="E123" i="2"/>
  <c r="K124" i="2"/>
  <c r="K125" i="2"/>
  <c r="G126" i="2"/>
  <c r="C127" i="2"/>
  <c r="S127" i="2"/>
  <c r="O128" i="2"/>
  <c r="K129" i="2"/>
  <c r="I10" i="2"/>
  <c r="Q16" i="2"/>
  <c r="E23" i="2"/>
  <c r="M29" i="2"/>
  <c r="U35" i="2"/>
  <c r="I42" i="2"/>
  <c r="L48" i="2"/>
  <c r="O53" i="2"/>
  <c r="O58" i="2"/>
  <c r="S61" i="2"/>
  <c r="N64" i="2"/>
  <c r="P66" i="2"/>
  <c r="R68" i="2"/>
  <c r="B71" i="2"/>
  <c r="D73" i="2"/>
  <c r="F75" i="2"/>
  <c r="J77" i="2"/>
  <c r="L79" i="2"/>
  <c r="N81" i="2"/>
  <c r="L83" i="2"/>
  <c r="D85" i="2"/>
  <c r="H86" i="2"/>
  <c r="J87" i="2"/>
  <c r="L88" i="2"/>
  <c r="L89" i="2"/>
  <c r="N90" i="2"/>
  <c r="P91" i="2"/>
  <c r="P92" i="2"/>
  <c r="R93" i="2"/>
  <c r="T94" i="2"/>
  <c r="T95" i="2"/>
  <c r="B97" i="2"/>
  <c r="D98" i="2"/>
  <c r="D99" i="2"/>
  <c r="F100" i="2"/>
  <c r="H101" i="2"/>
  <c r="H102" i="2"/>
  <c r="J103" i="2"/>
  <c r="H104" i="2"/>
  <c r="G105" i="2"/>
  <c r="C106" i="2"/>
  <c r="S106" i="2"/>
  <c r="O107" i="2"/>
  <c r="K108" i="2"/>
  <c r="G109" i="2"/>
  <c r="C110" i="2"/>
  <c r="S110" i="2"/>
  <c r="M111" i="2"/>
  <c r="G112" i="2"/>
  <c r="S112" i="2"/>
  <c r="L113" i="2"/>
  <c r="E114" i="2"/>
  <c r="Q114" i="2"/>
  <c r="K115" i="2"/>
  <c r="C116" i="2"/>
  <c r="P116" i="2"/>
  <c r="I117" i="2"/>
  <c r="U117" i="2"/>
  <c r="O118" i="2"/>
  <c r="G119" i="2"/>
  <c r="T119" i="2"/>
  <c r="M120" i="2"/>
  <c r="E121" i="2"/>
  <c r="S121" i="2"/>
  <c r="K122" i="2"/>
  <c r="D123" i="2"/>
  <c r="Q123" i="2"/>
  <c r="I124" i="2"/>
  <c r="U124" i="2"/>
  <c r="J125" i="2"/>
  <c r="R125" i="2"/>
  <c r="F126" i="2"/>
  <c r="N126" i="2"/>
  <c r="B127" i="2"/>
  <c r="J127" i="2"/>
  <c r="R127" i="2"/>
  <c r="F128" i="2"/>
  <c r="N128" i="2"/>
  <c r="B129" i="2"/>
  <c r="J129" i="2"/>
  <c r="R129" i="2"/>
  <c r="F130" i="2"/>
  <c r="N130" i="2"/>
  <c r="B131" i="2"/>
  <c r="J131" i="2"/>
  <c r="R131" i="2"/>
  <c r="F132" i="2"/>
  <c r="I11" i="2"/>
  <c r="E24" i="2"/>
  <c r="M30" i="2"/>
  <c r="I43" i="2"/>
  <c r="K54" i="2"/>
  <c r="I62" i="2"/>
  <c r="C67" i="2"/>
  <c r="I71" i="2"/>
  <c r="M75" i="2"/>
  <c r="S79" i="2"/>
  <c r="Q83" i="2"/>
  <c r="L86" i="2"/>
  <c r="N88" i="2"/>
  <c r="P90" i="2"/>
  <c r="T93" i="2"/>
  <c r="D96" i="2"/>
  <c r="F98" i="2"/>
  <c r="H100" i="2"/>
  <c r="L102" i="2"/>
  <c r="K104" i="2"/>
  <c r="E106" i="2"/>
  <c r="Q107" i="2"/>
  <c r="I109" i="2"/>
  <c r="U110" i="2"/>
  <c r="H112" i="2"/>
  <c r="M113" i="2"/>
  <c r="S114" i="2"/>
  <c r="E116" i="2"/>
  <c r="K117" i="2"/>
  <c r="P118" i="2"/>
  <c r="U119" i="2"/>
  <c r="G121" i="2"/>
  <c r="M122" i="2"/>
  <c r="S123" i="2"/>
  <c r="C125" i="2"/>
  <c r="S125" i="2"/>
  <c r="O126" i="2"/>
  <c r="K127" i="2"/>
  <c r="G128" i="2"/>
  <c r="C129" i="2"/>
  <c r="U12" i="2"/>
  <c r="I19" i="2"/>
  <c r="Q25" i="2"/>
  <c r="E32" i="2"/>
  <c r="M38" i="2"/>
  <c r="U44" i="2"/>
  <c r="M50" i="2"/>
  <c r="P55" i="2"/>
  <c r="U59" i="2"/>
  <c r="E63" i="2"/>
  <c r="K65" i="2"/>
  <c r="M67" i="2"/>
  <c r="Q69" i="2"/>
  <c r="S71" i="2"/>
  <c r="U73" i="2"/>
  <c r="E76" i="2"/>
  <c r="G78" i="2"/>
  <c r="I80" i="2"/>
  <c r="M82" i="2"/>
  <c r="E84" i="2"/>
  <c r="P85" i="2"/>
  <c r="P86" i="2"/>
  <c r="R87" i="2"/>
  <c r="T88" i="2"/>
  <c r="T89" i="2"/>
  <c r="B91" i="2"/>
  <c r="D92" i="2"/>
  <c r="D93" i="2"/>
  <c r="F94" i="2"/>
  <c r="H95" i="2"/>
  <c r="H96" i="2"/>
  <c r="J97" i="2"/>
  <c r="L98" i="2"/>
  <c r="L99" i="2"/>
  <c r="N100" i="2"/>
  <c r="P101" i="2"/>
  <c r="P102" i="2"/>
  <c r="Q103" i="2"/>
  <c r="O104" i="2"/>
  <c r="M105" i="2"/>
  <c r="I106" i="2"/>
  <c r="E107" i="2"/>
  <c r="U107" i="2"/>
  <c r="Q108" i="2"/>
  <c r="M109" i="2"/>
  <c r="I110" i="2"/>
  <c r="E111" i="2"/>
  <c r="S111" i="2"/>
  <c r="K112" i="2"/>
  <c r="D113" i="2"/>
  <c r="Q113" i="2"/>
  <c r="I114" i="2"/>
  <c r="C115" i="2"/>
  <c r="O115" i="2"/>
  <c r="H116" i="2"/>
  <c r="U116" i="2"/>
  <c r="M117" i="2"/>
  <c r="G118" i="2"/>
  <c r="S118" i="2"/>
  <c r="L119" i="2"/>
  <c r="E120" i="2"/>
  <c r="Q120" i="2"/>
  <c r="K121" i="2"/>
  <c r="C122" i="2"/>
  <c r="P122" i="2"/>
  <c r="I123" i="2"/>
  <c r="U123" i="2"/>
  <c r="O124" i="2"/>
  <c r="E125" i="2"/>
  <c r="M125" i="2"/>
  <c r="U125" i="2"/>
  <c r="I126" i="2"/>
  <c r="Q126" i="2"/>
  <c r="E127" i="2"/>
  <c r="M127" i="2"/>
  <c r="U127" i="2"/>
  <c r="I128" i="2"/>
  <c r="Q128" i="2"/>
  <c r="E129" i="2"/>
  <c r="M129" i="2"/>
  <c r="U129" i="2"/>
  <c r="I130" i="2"/>
  <c r="Q130" i="2"/>
  <c r="E131" i="2"/>
  <c r="M131" i="2"/>
  <c r="U131" i="2"/>
  <c r="I132" i="2"/>
  <c r="Q132" i="2"/>
  <c r="M13" i="2"/>
  <c r="U19" i="2"/>
  <c r="I26" i="2"/>
  <c r="Q32" i="2"/>
  <c r="E39" i="2"/>
  <c r="M45" i="2"/>
  <c r="C51" i="2"/>
  <c r="E56" i="2"/>
  <c r="G60" i="2"/>
  <c r="K63" i="2"/>
  <c r="N65" i="2"/>
  <c r="R67" i="2"/>
  <c r="T69" i="2"/>
  <c r="B72" i="2"/>
  <c r="F74" i="2"/>
  <c r="H76" i="2"/>
  <c r="J78" i="2"/>
  <c r="N80" i="2"/>
  <c r="P82" i="2"/>
  <c r="H84" i="2"/>
  <c r="R85" i="2"/>
  <c r="T86" i="2"/>
  <c r="T87" i="2"/>
  <c r="B89" i="2"/>
  <c r="D90" i="2"/>
  <c r="D91" i="2"/>
  <c r="F92" i="2"/>
  <c r="H93" i="2"/>
  <c r="H94" i="2"/>
  <c r="J95" i="2"/>
  <c r="L96" i="2"/>
  <c r="L97" i="2"/>
  <c r="N98" i="2"/>
  <c r="P99" i="2"/>
  <c r="P100" i="2"/>
  <c r="R101" i="2"/>
  <c r="T102" i="2"/>
  <c r="S103" i="2"/>
  <c r="R104" i="2"/>
  <c r="O105" i="2"/>
  <c r="K106" i="2"/>
  <c r="G107" i="2"/>
  <c r="C108" i="2"/>
  <c r="S108" i="2"/>
  <c r="O109" i="2"/>
  <c r="K110" i="2"/>
  <c r="G111" i="2"/>
  <c r="T111" i="2"/>
  <c r="M112" i="2"/>
  <c r="E113" i="2"/>
  <c r="S113" i="2"/>
  <c r="K114" i="2"/>
  <c r="D115" i="2"/>
  <c r="Q115" i="2"/>
  <c r="I116" i="2"/>
  <c r="C117" i="2"/>
  <c r="O117" i="2"/>
  <c r="H118" i="2"/>
  <c r="U118" i="2"/>
  <c r="M14" i="2"/>
  <c r="U20" i="2"/>
  <c r="I27" i="2"/>
  <c r="Q33" i="2"/>
  <c r="E40" i="2"/>
  <c r="M46" i="2"/>
  <c r="S51" i="2"/>
  <c r="U56" i="2"/>
  <c r="Q60" i="2"/>
  <c r="S63" i="2"/>
  <c r="U65" i="2"/>
  <c r="E68" i="2"/>
  <c r="G70" i="2"/>
  <c r="I72" i="2"/>
  <c r="M74" i="2"/>
  <c r="O76" i="2"/>
  <c r="Q78" i="2"/>
  <c r="U80" i="2"/>
  <c r="U82" i="2"/>
  <c r="M84" i="2"/>
  <c r="T85" i="2"/>
  <c r="B87" i="2"/>
  <c r="D88" i="2"/>
  <c r="D89" i="2"/>
  <c r="F90" i="2"/>
  <c r="H91" i="2"/>
  <c r="H92" i="2"/>
  <c r="J93" i="2"/>
  <c r="L94" i="2"/>
  <c r="L95" i="2"/>
  <c r="N96" i="2"/>
  <c r="P97" i="2"/>
  <c r="P98" i="2"/>
  <c r="R99" i="2"/>
  <c r="T100" i="2"/>
  <c r="T101" i="2"/>
  <c r="B103" i="2"/>
  <c r="B104" i="2"/>
  <c r="T104" i="2"/>
  <c r="Q105" i="2"/>
  <c r="M106" i="2"/>
  <c r="I107" i="2"/>
  <c r="E108" i="2"/>
  <c r="U108" i="2"/>
  <c r="Q109" i="2"/>
  <c r="M110" i="2"/>
  <c r="I111" i="2"/>
  <c r="U111" i="2"/>
  <c r="O112" i="2"/>
  <c r="G113" i="2"/>
  <c r="T113" i="2"/>
  <c r="M114" i="2"/>
  <c r="E115" i="2"/>
  <c r="S115" i="2"/>
  <c r="K116" i="2"/>
  <c r="D117" i="2"/>
  <c r="Q117" i="2"/>
  <c r="I118" i="2"/>
  <c r="C119" i="2"/>
  <c r="O119" i="2"/>
  <c r="H120" i="2"/>
  <c r="U120" i="2"/>
  <c r="M121" i="2"/>
  <c r="G122" i="2"/>
  <c r="S122" i="2"/>
  <c r="L123" i="2"/>
  <c r="E124" i="2"/>
  <c r="Q124" i="2"/>
  <c r="G125" i="2"/>
  <c r="O125" i="2"/>
  <c r="C126" i="2"/>
  <c r="K126" i="2"/>
  <c r="S126" i="2"/>
  <c r="G127" i="2"/>
  <c r="O127" i="2"/>
  <c r="C128" i="2"/>
  <c r="K128" i="2"/>
  <c r="S128" i="2"/>
  <c r="G129" i="2"/>
  <c r="O129" i="2"/>
  <c r="C130" i="2"/>
  <c r="K130" i="2"/>
  <c r="S130" i="2"/>
  <c r="G131" i="2"/>
  <c r="O131" i="2"/>
  <c r="C132" i="2"/>
  <c r="K132" i="2"/>
  <c r="S132" i="2"/>
  <c r="E15" i="2"/>
  <c r="M21" i="2"/>
  <c r="U27" i="2"/>
  <c r="I34" i="2"/>
  <c r="Q40" i="2"/>
  <c r="E47" i="2"/>
  <c r="I52" i="2"/>
  <c r="K57" i="2"/>
  <c r="C61" i="2"/>
  <c r="B64" i="2"/>
  <c r="F66" i="2"/>
  <c r="H68" i="2"/>
  <c r="J70" i="2"/>
  <c r="N72" i="2"/>
  <c r="P74" i="2"/>
  <c r="R76" i="2"/>
  <c r="B79" i="2"/>
  <c r="D81" i="2"/>
  <c r="D83" i="2"/>
  <c r="P84" i="2"/>
  <c r="D86" i="2"/>
  <c r="D87" i="2"/>
  <c r="F88" i="2"/>
  <c r="H89" i="2"/>
  <c r="H90" i="2"/>
  <c r="J91" i="2"/>
  <c r="L92" i="2"/>
  <c r="L93" i="2"/>
  <c r="N94" i="2"/>
  <c r="P95" i="2"/>
  <c r="P96" i="2"/>
  <c r="R97" i="2"/>
  <c r="T98" i="2"/>
  <c r="T99" i="2"/>
  <c r="B101" i="2"/>
  <c r="D102" i="2"/>
  <c r="D103" i="2"/>
  <c r="D104" i="2"/>
  <c r="B105" i="2"/>
  <c r="S105" i="2"/>
  <c r="O106" i="2"/>
  <c r="K107" i="2"/>
  <c r="G108" i="2"/>
  <c r="C109" i="2"/>
  <c r="S109" i="2"/>
  <c r="O110" i="2"/>
  <c r="K111" i="2"/>
  <c r="C112" i="2"/>
  <c r="P112" i="2"/>
  <c r="I113" i="2"/>
  <c r="U113" i="2"/>
  <c r="O114" i="2"/>
  <c r="G115" i="2"/>
  <c r="T115" i="2"/>
  <c r="M116" i="2"/>
  <c r="U11" i="2"/>
  <c r="K59" i="2"/>
  <c r="T77" i="2"/>
  <c r="R89" i="2"/>
  <c r="H98" i="2"/>
  <c r="G106" i="2"/>
  <c r="I112" i="2"/>
  <c r="E117" i="2"/>
  <c r="M119" i="2"/>
  <c r="I121" i="2"/>
  <c r="U122" i="2"/>
  <c r="P124" i="2"/>
  <c r="T125" i="2"/>
  <c r="T126" i="2"/>
  <c r="B128" i="2"/>
  <c r="D129" i="2"/>
  <c r="B130" i="2"/>
  <c r="R130" i="2"/>
  <c r="N131" i="2"/>
  <c r="J132" i="2"/>
  <c r="L132" i="2"/>
  <c r="D65" i="2"/>
  <c r="T91" i="2"/>
  <c r="S107" i="2"/>
  <c r="S117" i="2"/>
  <c r="O121" i="2"/>
  <c r="D125" i="2"/>
  <c r="F127" i="2"/>
  <c r="H129" i="2"/>
  <c r="C131" i="2"/>
  <c r="O132" i="2"/>
  <c r="F67" i="2"/>
  <c r="B93" i="2"/>
  <c r="O108" i="2"/>
  <c r="E118" i="2"/>
  <c r="U121" i="2"/>
  <c r="H127" i="2"/>
  <c r="J128" i="2"/>
  <c r="T131" i="2"/>
  <c r="I18" i="2"/>
  <c r="O62" i="2"/>
  <c r="B80" i="2"/>
  <c r="T90" i="2"/>
  <c r="J99" i="2"/>
  <c r="C107" i="2"/>
  <c r="C113" i="2"/>
  <c r="L117" i="2"/>
  <c r="Q119" i="2"/>
  <c r="L121" i="2"/>
  <c r="G123" i="2"/>
  <c r="S124" i="2"/>
  <c r="B126" i="2"/>
  <c r="D127" i="2"/>
  <c r="D128" i="2"/>
  <c r="F129" i="2"/>
  <c r="D130" i="2"/>
  <c r="T130" i="2"/>
  <c r="P131" i="2"/>
  <c r="Q24" i="2"/>
  <c r="F82" i="2"/>
  <c r="L100" i="2"/>
  <c r="O113" i="2"/>
  <c r="C120" i="2"/>
  <c r="K123" i="2"/>
  <c r="D126" i="2"/>
  <c r="H128" i="2"/>
  <c r="G130" i="2"/>
  <c r="S131" i="2"/>
  <c r="E31" i="2"/>
  <c r="T83" i="2"/>
  <c r="L101" i="2"/>
  <c r="H114" i="2"/>
  <c r="G120" i="2"/>
  <c r="H126" i="2"/>
  <c r="L129" i="2"/>
  <c r="P132" i="2"/>
  <c r="M37" i="2"/>
  <c r="J69" i="2"/>
  <c r="L85" i="2"/>
  <c r="D94" i="2"/>
  <c r="N102" i="2"/>
  <c r="K109" i="2"/>
  <c r="U114" i="2"/>
  <c r="K118" i="2"/>
  <c r="I120" i="2"/>
  <c r="E122" i="2"/>
  <c r="T123" i="2"/>
  <c r="H125" i="2"/>
  <c r="J126" i="2"/>
  <c r="L127" i="2"/>
  <c r="L128" i="2"/>
  <c r="N129" i="2"/>
  <c r="J130" i="2"/>
  <c r="F131" i="2"/>
  <c r="B132" i="2"/>
  <c r="R132" i="2"/>
  <c r="U43" i="2"/>
  <c r="L71" i="2"/>
  <c r="N86" i="2"/>
  <c r="D95" i="2"/>
  <c r="O103" i="2"/>
  <c r="G110" i="2"/>
  <c r="M115" i="2"/>
  <c r="Q118" i="2"/>
  <c r="P120" i="2"/>
  <c r="H122" i="2"/>
  <c r="C124" i="2"/>
  <c r="L125" i="2"/>
  <c r="L126" i="2"/>
  <c r="N127" i="2"/>
  <c r="P128" i="2"/>
  <c r="P129" i="2"/>
  <c r="L130" i="2"/>
  <c r="H131" i="2"/>
  <c r="D132" i="2"/>
  <c r="T132" i="2"/>
  <c r="M123" i="2"/>
  <c r="H130" i="2"/>
  <c r="Q49" i="2"/>
  <c r="N73" i="2"/>
  <c r="P87" i="2"/>
  <c r="F96" i="2"/>
  <c r="M104" i="2"/>
  <c r="C111" i="2"/>
  <c r="G116" i="2"/>
  <c r="D119" i="2"/>
  <c r="S120" i="2"/>
  <c r="O122" i="2"/>
  <c r="G124" i="2"/>
  <c r="N125" i="2"/>
  <c r="P126" i="2"/>
  <c r="P127" i="2"/>
  <c r="R128" i="2"/>
  <c r="S129" i="2"/>
  <c r="O130" i="2"/>
  <c r="K131" i="2"/>
  <c r="G132" i="2"/>
  <c r="T54" i="2"/>
  <c r="R75" i="2"/>
  <c r="P88" i="2"/>
  <c r="H97" i="2"/>
  <c r="K105" i="2"/>
  <c r="Q111" i="2"/>
  <c r="S116" i="2"/>
  <c r="K119" i="2"/>
  <c r="C121" i="2"/>
  <c r="Q122" i="2"/>
  <c r="M124" i="2"/>
  <c r="P125" i="2"/>
  <c r="R126" i="2"/>
  <c r="T127" i="2"/>
  <c r="T128" i="2"/>
  <c r="T129" i="2"/>
  <c r="P130" i="2"/>
  <c r="L131" i="2"/>
  <c r="H132" i="2"/>
  <c r="F125" i="2"/>
  <c r="D131" i="2"/>
  <c r="D7" i="2"/>
  <c r="F7" i="2"/>
  <c r="N7" i="2"/>
  <c r="G7" i="2"/>
  <c r="O7" i="2"/>
  <c r="H7" i="2"/>
  <c r="P7" i="2"/>
  <c r="I7" i="2"/>
  <c r="Q7" i="2"/>
  <c r="J7" i="2"/>
  <c r="R7" i="2"/>
  <c r="K7" i="2"/>
  <c r="L7" i="2"/>
  <c r="T7" i="2"/>
  <c r="E7" i="2"/>
  <c r="M7" i="2"/>
  <c r="U7" i="2"/>
  <c r="S7" i="2"/>
  <c r="C7" i="2"/>
  <c r="B7" i="2"/>
  <c r="C6" i="2" l="1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B6" i="2"/>
</calcChain>
</file>

<file path=xl/sharedStrings.xml><?xml version="1.0" encoding="utf-8"?>
<sst xmlns="http://schemas.openxmlformats.org/spreadsheetml/2006/main" count="86" uniqueCount="31">
  <si>
    <t>r</t>
  </si>
  <si>
    <t>s</t>
  </si>
  <si>
    <t>AA</t>
  </si>
  <si>
    <t>rij</t>
  </si>
  <si>
    <t>eij</t>
  </si>
  <si>
    <t>ri</t>
  </si>
  <si>
    <t>si</t>
  </si>
  <si>
    <t xml:space="preserve">A United-Residue Force Field for Off-Lattice Protein-Structure Simulations. I. Functional Forms and Parameters of Long-Range Side-Chain Interaction Potentials from Protein Crystal Data
</t>
  </si>
  <si>
    <t>Calculated Values of eT (Kilocalories per Mole) for the GBV Potential (Diagonal and Lower Triangle) and Their Standard Deviations i j
(Upper Triangle; Last Line Contains the Standard Deviations of the Diagonal Constants).</t>
  </si>
  <si>
    <t>Cys</t>
  </si>
  <si>
    <t>Met</t>
  </si>
  <si>
    <t>Phe</t>
  </si>
  <si>
    <t>Ile</t>
  </si>
  <si>
    <t>Leu</t>
  </si>
  <si>
    <t>Val</t>
  </si>
  <si>
    <t>Trp</t>
  </si>
  <si>
    <t>Tyr</t>
  </si>
  <si>
    <t>Ala</t>
  </si>
  <si>
    <t>Gly</t>
  </si>
  <si>
    <t>Thr</t>
  </si>
  <si>
    <t>Ser</t>
  </si>
  <si>
    <t>Gln</t>
  </si>
  <si>
    <t>Asn</t>
  </si>
  <si>
    <t>Glu</t>
  </si>
  <si>
    <t>Asp</t>
  </si>
  <si>
    <t>His</t>
  </si>
  <si>
    <t>Arg</t>
  </si>
  <si>
    <t>Lys</t>
  </si>
  <si>
    <t>Pro</t>
  </si>
  <si>
    <t>Name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</si>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</sst>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wrapText="1"/>
    </xf>
    <xf numFmtId="0" fontId="0" fillId="2" borderId="0" xfId="0" applyFill="1"/>
    <xf numFmtId="0" fontId="0" fillId="0" borderId="0" xfId="0" applyAlignment="1">
      <alignment wrapText="1"/>
    </xf>
    <xf numFmtId="2" fontId="0" fillId="0" borderId="0" xfId="0" applyNumberFormat="1"/>
    <xf numFmtId="2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Cys!$B$6</c:f>
              <c:strCache>
                <c:ptCount val="1"/>
                <c:pt idx="0">
                  <c:v>Cys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Cys!$B$7:$B$132</c:f>
              <c:numCache>
                <c:formatCode>0.00</c:formatCode>
                <c:ptCount val="126"/>
                <c:pt idx="0">
                  <c:v>92482235.292696923</c:v>
                </c:pt>
                <c:pt idx="1">
                  <c:v>29462844.537121493</c:v>
                </c:pt>
                <c:pt idx="2">
                  <c:v>10368107.769957626</c:v>
                </c:pt>
                <c:pt idx="3">
                  <c:v>3966283.3260593535</c:v>
                </c:pt>
                <c:pt idx="4">
                  <c:v>1628985.022932007</c:v>
                </c:pt>
                <c:pt idx="5">
                  <c:v>711214.13697659143</c:v>
                </c:pt>
                <c:pt idx="6">
                  <c:v>327458.08457953425</c:v>
                </c:pt>
                <c:pt idx="7">
                  <c:v>157951.71175745607</c:v>
                </c:pt>
                <c:pt idx="8">
                  <c:v>79381.961513724425</c:v>
                </c:pt>
                <c:pt idx="9">
                  <c:v>41374.429852127876</c:v>
                </c:pt>
                <c:pt idx="10">
                  <c:v>22275.50459491965</c:v>
                </c:pt>
                <c:pt idx="11">
                  <c:v>12345.510160956726</c:v>
                </c:pt>
                <c:pt idx="12">
                  <c:v>7021.9479022382357</c:v>
                </c:pt>
                <c:pt idx="13">
                  <c:v>4087.8669131977117</c:v>
                </c:pt>
                <c:pt idx="14">
                  <c:v>2429.7465872096677</c:v>
                </c:pt>
                <c:pt idx="15">
                  <c:v>1471.1904655564629</c:v>
                </c:pt>
                <c:pt idx="16">
                  <c:v>905.52207985098084</c:v>
                </c:pt>
                <c:pt idx="17">
                  <c:v>565.41428887877112</c:v>
                </c:pt>
                <c:pt idx="18">
                  <c:v>357.43783421173742</c:v>
                </c:pt>
                <c:pt idx="19">
                  <c:v>228.30480478158808</c:v>
                </c:pt>
                <c:pt idx="20">
                  <c:v>147.02085599050378</c:v>
                </c:pt>
                <c:pt idx="21">
                  <c:v>95.2294661206152</c:v>
                </c:pt>
                <c:pt idx="22">
                  <c:v>61.875711894115007</c:v>
                </c:pt>
                <c:pt idx="23">
                  <c:v>40.198300294338409</c:v>
                </c:pt>
                <c:pt idx="24">
                  <c:v>26.002501541225694</c:v>
                </c:pt>
                <c:pt idx="25">
                  <c:v>16.651357239238472</c:v>
                </c:pt>
                <c:pt idx="26">
                  <c:v>10.466915436823596</c:v>
                </c:pt>
                <c:pt idx="27">
                  <c:v>6.3694694333191064</c:v>
                </c:pt>
                <c:pt idx="28">
                  <c:v>3.6571265831168809</c:v>
                </c:pt>
                <c:pt idx="29">
                  <c:v>1.8693413416648337</c:v>
                </c:pt>
                <c:pt idx="30">
                  <c:v>0.70138481967469324</c:v>
                </c:pt>
                <c:pt idx="31">
                  <c:v>-4.988188418567252E-2</c:v>
                </c:pt>
                <c:pt idx="32">
                  <c:v>-0.52075997349929792</c:v>
                </c:pt>
                <c:pt idx="33">
                  <c:v>-0.80321012452650775</c:v>
                </c:pt>
                <c:pt idx="34">
                  <c:v>-0.9595537712495068</c:v>
                </c:pt>
                <c:pt idx="35">
                  <c:v>-1.0321644766080287</c:v>
                </c:pt>
                <c:pt idx="36">
                  <c:v>-1.0499088123064135</c:v>
                </c:pt>
                <c:pt idx="37">
                  <c:v>-1.0324592432490156</c:v>
                </c:pt>
                <c:pt idx="38">
                  <c:v>-0.99320208421862188</c:v>
                </c:pt>
                <c:pt idx="39">
                  <c:v>-0.94121055554877775</c:v>
                </c:pt>
                <c:pt idx="40">
                  <c:v>-0.88259111215104558</c:v>
                </c:pt>
                <c:pt idx="41">
                  <c:v>-0.82140674556344351</c:v>
                </c:pt>
                <c:pt idx="42">
                  <c:v>-0.76031293441495262</c:v>
                </c:pt>
                <c:pt idx="43">
                  <c:v>-0.70099726227605852</c:v>
                </c:pt>
                <c:pt idx="44">
                  <c:v>-0.64448417674543967</c:v>
                </c:pt>
                <c:pt idx="45">
                  <c:v>-0.59134667158401177</c:v>
                </c:pt>
                <c:pt idx="46">
                  <c:v>-0.5418534569213066</c:v>
                </c:pt>
                <c:pt idx="47">
                  <c:v>-0.49607125314207262</c:v>
                </c:pt>
                <c:pt idx="48">
                  <c:v>-0.45393577365414728</c:v>
                </c:pt>
                <c:pt idx="49">
                  <c:v>-0.41530081078627001</c:v>
                </c:pt>
                <c:pt idx="50">
                  <c:v>-0.37997198507726915</c:v>
                </c:pt>
                <c:pt idx="51">
                  <c:v>-0.34772974593313877</c:v>
                </c:pt>
                <c:pt idx="52">
                  <c:v>-0.31834484220385312</c:v>
                </c:pt>
                <c:pt idx="53">
                  <c:v>-0.29158852625680975</c:v>
                </c:pt>
                <c:pt idx="54">
                  <c:v>-0.26723908653265316</c:v>
                </c:pt>
                <c:pt idx="55">
                  <c:v>-0.24508583381973084</c:v>
                </c:pt>
                <c:pt idx="56">
                  <c:v>-0.22493133541208007</c:v>
                </c:pt>
                <c:pt idx="57">
                  <c:v>-0.20659245736454618</c:v>
                </c:pt>
                <c:pt idx="58">
                  <c:v>-0.18990060938246603</c:v>
                </c:pt>
                <c:pt idx="59">
                  <c:v>-0.17470146937086931</c:v>
                </c:pt>
                <c:pt idx="60">
                  <c:v>-0.16085438123724421</c:v>
                </c:pt>
                <c:pt idx="61">
                  <c:v>-0.14823156029321818</c:v>
                </c:pt>
                <c:pt idx="62">
                  <c:v>-0.13671719854941666</c:v>
                </c:pt>
                <c:pt idx="63">
                  <c:v>-0.12620653239951618</c:v>
                </c:pt>
                <c:pt idx="64">
                  <c:v>-0.11660491413283</c:v>
                </c:pt>
                <c:pt idx="65">
                  <c:v>-0.10782691389938238</c:v>
                </c:pt>
                <c:pt idx="66">
                  <c:v>-9.9795468392798056E-2</c:v>
                </c:pt>
                <c:pt idx="67">
                  <c:v>-9.2441085338185305E-2</c:v>
                </c:pt>
                <c:pt idx="68">
                  <c:v>-8.5701107960277953E-2</c:v>
                </c:pt>
                <c:pt idx="69">
                  <c:v>-7.9519040305814484E-2</c:v>
                </c:pt>
                <c:pt idx="70">
                  <c:v>-7.3843932132998336E-2</c:v>
                </c:pt>
                <c:pt idx="71">
                  <c:v>-6.8629820722277843E-2</c:v>
                </c:pt>
                <c:pt idx="72">
                  <c:v>-6.3835226164506015E-2</c:v>
                </c:pt>
                <c:pt idx="73">
                  <c:v>-5.942269627138104E-2</c:v>
                </c:pt>
                <c:pt idx="74">
                  <c:v>-5.5358397105078637E-2</c:v>
                </c:pt>
                <c:pt idx="75">
                  <c:v>-5.1611745150985225E-2</c:v>
                </c:pt>
                <c:pt idx="76">
                  <c:v>-4.8155077297004502E-2</c:v>
                </c:pt>
                <c:pt idx="77">
                  <c:v>-4.4963354991123576E-2</c:v>
                </c:pt>
                <c:pt idx="78">
                  <c:v>-4.2013899195236834E-2</c:v>
                </c:pt>
                <c:pt idx="79">
                  <c:v>-3.9286153016634087E-2</c:v>
                </c:pt>
                <c:pt idx="80">
                  <c:v>-3.6761469164916877E-2</c:v>
                </c:pt>
                <c:pt idx="81">
                  <c:v>-3.4422919642148164E-2</c:v>
                </c:pt>
                <c:pt idx="82">
                  <c:v>-3.2255125321931429E-2</c:v>
                </c:pt>
                <c:pt idx="83">
                  <c:v>-3.0244103305462487E-2</c:v>
                </c:pt>
                <c:pt idx="84">
                  <c:v>-2.8377130157665378E-2</c:v>
                </c:pt>
                <c:pt idx="85">
                  <c:v>-2.6642619323731121E-2</c:v>
                </c:pt>
                <c:pt idx="86">
                  <c:v>-2.5030011205898841E-2</c:v>
                </c:pt>
                <c:pt idx="87">
                  <c:v>-2.3529674542817305E-2</c:v>
                </c:pt>
                <c:pt idx="88">
                  <c:v>-2.2132817880262806E-2</c:v>
                </c:pt>
                <c:pt idx="89">
                  <c:v>-2.0831410053492226E-2</c:v>
                </c:pt>
                <c:pt idx="90">
                  <c:v>-1.9618108719271901E-2</c:v>
                </c:pt>
                <c:pt idx="91">
                  <c:v>-1.8486196080851655E-2</c:v>
                </c:pt>
                <c:pt idx="92">
                  <c:v>-1.742952104301675E-2</c:v>
                </c:pt>
                <c:pt idx="93">
                  <c:v>-1.644244711796989E-2</c:v>
                </c:pt>
                <c:pt idx="94">
                  <c:v>-1.5519805477207885E-2</c:v>
                </c:pt>
                <c:pt idx="95">
                  <c:v>-1.4656852610730679E-2</c:v>
                </c:pt>
                <c:pt idx="96">
                  <c:v>-1.3849232113732783E-2</c:v>
                </c:pt>
                <c:pt idx="97">
                  <c:v>-1.3092940173180228E-2</c:v>
                </c:pt>
                <c:pt idx="98">
                  <c:v>-1.2384294373091888E-2</c:v>
                </c:pt>
                <c:pt idx="99">
                  <c:v>-1.1719905478572712E-2</c:v>
                </c:pt>
                <c:pt idx="100">
                  <c:v>-1.1096651895268395E-2</c:v>
                </c:pt>
                <c:pt idx="101">
                  <c:v>-1.0511656533447074E-2</c:v>
                </c:pt>
                <c:pt idx="102">
                  <c:v>-9.9622658348250317E-3</c:v>
                </c:pt>
                <c:pt idx="103">
                  <c:v>-9.4460307459524745E-3</c:v>
                </c:pt>
                <c:pt idx="104">
                  <c:v>-8.9606894448267943E-3</c:v>
                </c:pt>
                <c:pt idx="105">
                  <c:v>-8.5041516477283845E-3</c:v>
                </c:pt>
                <c:pt idx="106">
                  <c:v>-8.0744843413652085E-3</c:v>
                </c:pt>
                <c:pt idx="107">
                  <c:v>-7.669898801520394E-3</c:v>
                </c:pt>
                <c:pt idx="108">
                  <c:v>-7.2887387737475603E-3</c:v>
                </c:pt>
                <c:pt idx="109">
                  <c:v>-6.9294697044500397E-3</c:v>
                </c:pt>
                <c:pt idx="110">
                  <c:v>-6.5906689220884065E-3</c:v>
                </c:pt>
                <c:pt idx="111">
                  <c:v>-6.2710166784417576E-3</c:v>
                </c:pt>
                <c:pt idx="112">
                  <c:v>-5.9692879689392311E-3</c:v>
                </c:pt>
                <c:pt idx="113">
                  <c:v>-5.6843450592013621E-3</c:v>
                </c:pt>
                <c:pt idx="114">
                  <c:v>-5.4151306521936192E-3</c:v>
                </c:pt>
                <c:pt idx="115">
                  <c:v>-5.1606616368921644E-3</c:v>
                </c:pt>
                <c:pt idx="116">
                  <c:v>-4.9200233651791169E-3</c:v>
                </c:pt>
                <c:pt idx="117">
                  <c:v>-4.6923644088958253E-3</c:v>
                </c:pt>
                <c:pt idx="118">
                  <c:v>-4.476891753654298E-3</c:v>
                </c:pt>
                <c:pt idx="119">
                  <c:v>-4.2728663901976252E-3</c:v>
                </c:pt>
                <c:pt idx="120">
                  <c:v>-4.079599267862024E-3</c:v>
                </c:pt>
                <c:pt idx="121">
                  <c:v>-3.8964475780722038E-3</c:v>
                </c:pt>
                <c:pt idx="122">
                  <c:v>-3.7228113388389265E-3</c:v>
                </c:pt>
                <c:pt idx="123">
                  <c:v>-3.5581302539596984E-3</c:v>
                </c:pt>
                <c:pt idx="124">
                  <c:v>-3.4018808230824268E-3</c:v>
                </c:pt>
                <c:pt idx="125">
                  <c:v>-3.2535736810065429E-3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Cys!$C$6</c:f>
              <c:strCache>
                <c:ptCount val="1"/>
                <c:pt idx="0">
                  <c:v>Met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Cys!$C$7:$C$132</c:f>
              <c:numCache>
                <c:formatCode>0.00</c:formatCode>
                <c:ptCount val="126"/>
                <c:pt idx="0">
                  <c:v>9773321.3499585614</c:v>
                </c:pt>
                <c:pt idx="1">
                  <c:v>3112505.7729103025</c:v>
                </c:pt>
                <c:pt idx="2">
                  <c:v>1094715.4868027626</c:v>
                </c:pt>
                <c:pt idx="3">
                  <c:v>418437.62709797593</c:v>
                </c:pt>
                <c:pt idx="4">
                  <c:v>171649.35981201316</c:v>
                </c:pt>
                <c:pt idx="5">
                  <c:v>74813.118639586988</c:v>
                </c:pt>
                <c:pt idx="6">
                  <c:v>34362.577429839221</c:v>
                </c:pt>
                <c:pt idx="7">
                  <c:v>16520.195766481171</c:v>
                </c:pt>
                <c:pt idx="8">
                  <c:v>8265.4630789286002</c:v>
                </c:pt>
                <c:pt idx="9">
                  <c:v>4282.3615848740528</c:v>
                </c:pt>
                <c:pt idx="10">
                  <c:v>2287.4893513465618</c:v>
                </c:pt>
                <c:pt idx="11">
                  <c:v>1254.7953308831807</c:v>
                </c:pt>
                <c:pt idx="12">
                  <c:v>704.24584356893945</c:v>
                </c:pt>
                <c:pt idx="13">
                  <c:v>402.97168267439707</c:v>
                </c:pt>
                <c:pt idx="14">
                  <c:v>234.25181063296003</c:v>
                </c:pt>
                <c:pt idx="15">
                  <c:v>137.82551614904486</c:v>
                </c:pt>
                <c:pt idx="16">
                  <c:v>81.735139433488158</c:v>
                </c:pt>
                <c:pt idx="17">
                  <c:v>48.614428438495906</c:v>
                </c:pt>
                <c:pt idx="18">
                  <c:v>28.814748523350541</c:v>
                </c:pt>
                <c:pt idx="19">
                  <c:v>16.8662450892217</c:v>
                </c:pt>
                <c:pt idx="20">
                  <c:v>9.6108370340577789</c:v>
                </c:pt>
                <c:pt idx="21">
                  <c:v>5.1947964943709248</c:v>
                </c:pt>
                <c:pt idx="22">
                  <c:v>2.5137475606474902</c:v>
                </c:pt>
                <c:pt idx="23">
                  <c:v>0.90099120449919967</c:v>
                </c:pt>
                <c:pt idx="24">
                  <c:v>-5.0649632247065382E-2</c:v>
                </c:pt>
                <c:pt idx="25">
                  <c:v>-0.5923421519983133</c:v>
                </c:pt>
                <c:pt idx="26">
                  <c:v>-0.88030007001751709</c:v>
                </c:pt>
                <c:pt idx="27">
                  <c:v>-1.0123007777828024</c:v>
                </c:pt>
                <c:pt idx="28">
                  <c:v>-1.0498057514448149</c:v>
                </c:pt>
                <c:pt idx="29">
                  <c:v>-1.031516812647685</c:v>
                </c:pt>
                <c:pt idx="30">
                  <c:v>-0.98177203505273847</c:v>
                </c:pt>
                <c:pt idx="31">
                  <c:v>-0.91579512703331034</c:v>
                </c:pt>
                <c:pt idx="32">
                  <c:v>-0.84300511819547141</c:v>
                </c:pt>
                <c:pt idx="33">
                  <c:v>-0.7691182537234349</c:v>
                </c:pt>
                <c:pt idx="34">
                  <c:v>-0.69749093499570525</c:v>
                </c:pt>
                <c:pt idx="35">
                  <c:v>-0.6299818099688036</c:v>
                </c:pt>
                <c:pt idx="36">
                  <c:v>-0.56750697989426058</c:v>
                </c:pt>
                <c:pt idx="37">
                  <c:v>-0.51039810551213138</c:v>
                </c:pt>
                <c:pt idx="38">
                  <c:v>-0.45863324954852419</c:v>
                </c:pt>
                <c:pt idx="39">
                  <c:v>-0.41198520384343063</c:v>
                </c:pt>
                <c:pt idx="40">
                  <c:v>-0.37011615918947044</c:v>
                </c:pt>
                <c:pt idx="41">
                  <c:v>-0.33263743310041216</c:v>
                </c:pt>
                <c:pt idx="42">
                  <c:v>-0.2991464502512558</c:v>
                </c:pt>
                <c:pt idx="43">
                  <c:v>-0.26924895145171185</c:v>
                </c:pt>
                <c:pt idx="44">
                  <c:v>-0.24257166156095916</c:v>
                </c:pt>
                <c:pt idx="45">
                  <c:v>-0.21876885112736827</c:v>
                </c:pt>
                <c:pt idx="46">
                  <c:v>-0.1975250471301076</c:v>
                </c:pt>
                <c:pt idx="47">
                  <c:v>-0.17855537089755391</c:v>
                </c:pt>
                <c:pt idx="48">
                  <c:v>-0.1616044677292883</c:v>
                </c:pt>
                <c:pt idx="49">
                  <c:v>-0.14644465299476581</c:v>
                </c:pt>
                <c:pt idx="50">
                  <c:v>-0.13287367468989045</c:v>
                </c:pt>
                <c:pt idx="51">
                  <c:v>-0.12071234392384127</c:v>
                </c:pt>
                <c:pt idx="52">
                  <c:v>-0.10980218703328179</c:v>
                </c:pt>
                <c:pt idx="53">
                  <c:v>-0.1000032090325661</c:v>
                </c:pt>
                <c:pt idx="54">
                  <c:v>-9.1191816625769279E-2</c:v>
                </c:pt>
                <c:pt idx="55">
                  <c:v>-8.3258922498241836E-2</c:v>
                </c:pt>
                <c:pt idx="56">
                  <c:v>-7.6108236033363655E-2</c:v>
                </c:pt>
                <c:pt idx="57">
                  <c:v>-6.9654735588893069E-2</c:v>
                </c:pt>
                <c:pt idx="58">
                  <c:v>-6.3823311754718642E-2</c:v>
                </c:pt>
                <c:pt idx="59">
                  <c:v>-5.8547568085292961E-2</c:v>
                </c:pt>
                <c:pt idx="60">
                  <c:v>-5.3768764643572033E-2</c:v>
                </c:pt>
                <c:pt idx="61">
                  <c:v>-4.9434889635493043E-2</c:v>
                </c:pt>
                <c:pt idx="62">
                  <c:v>-4.5499845009618643E-2</c:v>
                </c:pt>
                <c:pt idx="63">
                  <c:v>-4.1922732853892843E-2</c:v>
                </c:pt>
                <c:pt idx="64">
                  <c:v>-3.8667230552111034E-2</c:v>
                </c:pt>
                <c:pt idx="65">
                  <c:v>-3.5701043847519522E-2</c:v>
                </c:pt>
                <c:pt idx="66">
                  <c:v>-3.299542812684815E-2</c:v>
                </c:pt>
                <c:pt idx="67">
                  <c:v>-3.052476934248826E-2</c:v>
                </c:pt>
                <c:pt idx="68">
                  <c:v>-2.8266217010817423E-2</c:v>
                </c:pt>
                <c:pt idx="69">
                  <c:v>-2.6199362651047171E-2</c:v>
                </c:pt>
                <c:pt idx="70">
                  <c:v>-2.4305957859672416E-2</c:v>
                </c:pt>
                <c:pt idx="71">
                  <c:v>-2.2569666953735378E-2</c:v>
                </c:pt>
                <c:pt idx="72">
                  <c:v>-2.0975849767549862E-2</c:v>
                </c:pt>
                <c:pt idx="73">
                  <c:v>-1.9511370759508609E-2</c:v>
                </c:pt>
                <c:pt idx="74">
                  <c:v>-1.8164431085877824E-2</c:v>
                </c:pt>
                <c:pt idx="75">
                  <c:v>-1.692442073478953E-2</c:v>
                </c:pt>
                <c:pt idx="76">
                  <c:v>-1.5781788193341029E-2</c:v>
                </c:pt>
                <c:pt idx="77">
                  <c:v>-1.4727925450628941E-2</c:v>
                </c:pt>
                <c:pt idx="78">
                  <c:v>-1.3755066425899834E-2</c:v>
                </c:pt>
                <c:pt idx="79">
                  <c:v>-1.28561971593638E-2</c:v>
                </c:pt>
                <c:pt idx="80">
                  <c:v>-1.202497631854477E-2</c:v>
                </c:pt>
                <c:pt idx="81">
                  <c:v>-1.1255664759697871E-2</c:v>
                </c:pt>
                <c:pt idx="82">
                  <c:v>-1.0543063045633447E-2</c:v>
                </c:pt>
                <c:pt idx="83">
                  <c:v>-9.8824559615901236E-3</c:v>
                </c:pt>
                <c:pt idx="84">
                  <c:v>-9.2695631924957361E-3</c:v>
                </c:pt>
                <c:pt idx="85">
                  <c:v>-8.7004954305640227E-3</c:v>
                </c:pt>
                <c:pt idx="86">
                  <c:v>-8.171715273875545E-3</c:v>
                </c:pt>
                <c:pt idx="87">
                  <c:v>-7.6800023562667973E-3</c:v>
                </c:pt>
                <c:pt idx="88">
                  <c:v>-7.2224222181291511E-3</c:v>
                </c:pt>
                <c:pt idx="89">
                  <c:v>-6.7962984880027026E-3</c:v>
                </c:pt>
                <c:pt idx="90">
                  <c:v>-6.3991879973497078E-3</c:v>
                </c:pt>
                <c:pt idx="91">
                  <c:v>-6.0288584966533181E-3</c:v>
                </c:pt>
                <c:pt idx="92">
                  <c:v>-5.6832686809089906E-3</c:v>
                </c:pt>
                <c:pt idx="93">
                  <c:v>-5.3605502674365152E-3</c:v>
                </c:pt>
                <c:pt idx="94">
                  <c:v>-5.0589918994091501E-3</c:v>
                </c:pt>
                <c:pt idx="95">
                  <c:v>-4.7770246751520969E-3</c:v>
                </c:pt>
                <c:pt idx="96">
                  <c:v>-4.5132091266049165E-3</c:v>
                </c:pt>
                <c:pt idx="97">
                  <c:v>-4.2662234908029525E-3</c:v>
                </c:pt>
                <c:pt idx="98">
                  <c:v>-4.0348531361850204E-3</c:v>
                </c:pt>
                <c:pt idx="99">
                  <c:v>-3.8179810213013138E-3</c:v>
                </c:pt>
                <c:pt idx="100">
                  <c:v>-3.6145790773561303E-3</c:v>
                </c:pt>
                <c:pt idx="101">
                  <c:v>-3.4237004182174529E-3</c:v>
                </c:pt>
                <c:pt idx="102">
                  <c:v>-3.2444722922691273E-3</c:v>
                </c:pt>
                <c:pt idx="103">
                  <c:v>-3.0760896999543767E-3</c:v>
                </c:pt>
                <c:pt idx="104">
                  <c:v>-2.9178096092197163E-3</c:v>
                </c:pt>
                <c:pt idx="105">
                  <c:v>-2.7689457084539219E-3</c:v>
                </c:pt>
                <c:pt idx="106">
                  <c:v>-2.6288636430475657E-3</c:v>
                </c:pt>
                <c:pt idx="107">
                  <c:v>-2.4969766874789532E-3</c:v>
                </c:pt>
                <c:pt idx="108">
                  <c:v>-2.3727418099532818E-3</c:v>
                </c:pt>
                <c:pt idx="109">
                  <c:v>-2.2556560911630888E-3</c:v>
                </c:pt>
                <c:pt idx="110">
                  <c:v>-2.1452534627685624E-3</c:v>
                </c:pt>
                <c:pt idx="111">
                  <c:v>-2.0411017347772191E-3</c:v>
                </c:pt>
                <c:pt idx="112">
                  <c:v>-1.9427998841864997E-3</c:v>
                </c:pt>
                <c:pt idx="113">
                  <c:v>-1.8499755800867183E-3</c:v>
                </c:pt>
                <c:pt idx="114">
                  <c:v>-1.7622829229462552E-3</c:v>
                </c:pt>
                <c:pt idx="115">
                  <c:v>-1.6794003780515904E-3</c:v>
                </c:pt>
                <c:pt idx="116">
                  <c:v>-1.6010288850833057E-3</c:v>
                </c:pt>
                <c:pt idx="117">
                  <c:v>-1.526890127603006E-3</c:v>
                </c:pt>
                <c:pt idx="118">
                  <c:v>-1.4567249478296192E-3</c:v>
                </c:pt>
                <c:pt idx="119">
                  <c:v>-1.390291893518117E-3</c:v>
                </c:pt>
                <c:pt idx="120">
                  <c:v>-1.3273658850381795E-3</c:v>
                </c:pt>
                <c:pt idx="121">
                  <c:v>-1.2677369919014492E-3</c:v>
                </c:pt>
                <c:pt idx="122">
                  <c:v>-1.2112093090182953E-3</c:v>
                </c:pt>
                <c:pt idx="123">
                  <c:v>-1.1575999238916763E-3</c:v>
                </c:pt>
                <c:pt idx="124">
                  <c:v>-1.1067379667880008E-3</c:v>
                </c:pt>
                <c:pt idx="125">
                  <c:v>-1.058463736673171E-3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Cys!$D$6</c:f>
              <c:strCache>
                <c:ptCount val="1"/>
                <c:pt idx="0">
                  <c:v>Phe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Cys!$D$7:$D$132</c:f>
              <c:numCache>
                <c:formatCode>0.00</c:formatCode>
                <c:ptCount val="126"/>
                <c:pt idx="0">
                  <c:v>163474327.44543222</c:v>
                </c:pt>
                <c:pt idx="1">
                  <c:v>52081516.308838598</c:v>
                </c:pt>
                <c:pt idx="2">
                  <c:v>18328896.772206225</c:v>
                </c:pt>
                <c:pt idx="3">
                  <c:v>7012337.9256827952</c:v>
                </c:pt>
                <c:pt idx="4">
                  <c:v>2880436.6127920868</c:v>
                </c:pt>
                <c:pt idx="5">
                  <c:v>1257854.7011708021</c:v>
                </c:pt>
                <c:pt idx="6">
                  <c:v>579308.63816774241</c:v>
                </c:pt>
                <c:pt idx="7">
                  <c:v>279543.06744437129</c:v>
                </c:pt>
                <c:pt idx="8">
                  <c:v>140564.34204089097</c:v>
                </c:pt>
                <c:pt idx="9">
                  <c:v>73314.32755021585</c:v>
                </c:pt>
                <c:pt idx="10">
                  <c:v>39507.668992053594</c:v>
                </c:pt>
                <c:pt idx="11">
                  <c:v>21921.806982733357</c:v>
                </c:pt>
                <c:pt idx="12">
                  <c:v>12487.699630673436</c:v>
                </c:pt>
                <c:pt idx="13">
                  <c:v>7283.7776379225652</c:v>
                </c:pt>
                <c:pt idx="14">
                  <c:v>4339.8458481389926</c:v>
                </c:pt>
                <c:pt idx="15">
                  <c:v>2635.7480525068859</c:v>
                </c:pt>
                <c:pt idx="16">
                  <c:v>1628.4930563052956</c:v>
                </c:pt>
                <c:pt idx="17">
                  <c:v>1021.6766020312403</c:v>
                </c:pt>
                <c:pt idx="18">
                  <c:v>649.70167196999296</c:v>
                </c:pt>
                <c:pt idx="19">
                  <c:v>418.05258554945021</c:v>
                </c:pt>
                <c:pt idx="20">
                  <c:v>271.70858949637767</c:v>
                </c:pt>
                <c:pt idx="21">
                  <c:v>178.05017298949869</c:v>
                </c:pt>
                <c:pt idx="22">
                  <c:v>117.40879416502702</c:v>
                </c:pt>
                <c:pt idx="23">
                  <c:v>77.737528746919992</c:v>
                </c:pt>
                <c:pt idx="24">
                  <c:v>51.549555927423846</c:v>
                </c:pt>
                <c:pt idx="25">
                  <c:v>34.128809901726996</c:v>
                </c:pt>
                <c:pt idx="26">
                  <c:v>22.467153856537504</c:v>
                </c:pt>
                <c:pt idx="27">
                  <c:v>14.623479173575435</c:v>
                </c:pt>
                <c:pt idx="28">
                  <c:v>9.331720508825164</c:v>
                </c:pt>
                <c:pt idx="29">
                  <c:v>5.7579054259579951</c:v>
                </c:pt>
                <c:pt idx="30">
                  <c:v>3.3476850948743064</c:v>
                </c:pt>
                <c:pt idx="31">
                  <c:v>1.7295210601201689</c:v>
                </c:pt>
                <c:pt idx="32">
                  <c:v>0.6525316842356752</c:v>
                </c:pt>
                <c:pt idx="33">
                  <c:v>-5.3824614763982016E-2</c:v>
                </c:pt>
                <c:pt idx="34">
                  <c:v>-0.50615633101312441</c:v>
                </c:pt>
                <c:pt idx="35">
                  <c:v>-0.78459317281824859</c:v>
                </c:pt>
                <c:pt idx="36">
                  <c:v>-0.9444215926366365</c:v>
                </c:pt>
                <c:pt idx="37">
                  <c:v>-1.0239033491910983</c:v>
                </c:pt>
                <c:pt idx="38">
                  <c:v>-1.0495683439179013</c:v>
                </c:pt>
                <c:pt idx="39">
                  <c:v>-1.0398223929218211</c:v>
                </c:pt>
                <c:pt idx="40">
                  <c:v>-1.0074220770991089</c:v>
                </c:pt>
                <c:pt idx="41">
                  <c:v>-0.96118234825012572</c:v>
                </c:pt>
                <c:pt idx="42">
                  <c:v>-0.90716099339586354</c:v>
                </c:pt>
                <c:pt idx="43">
                  <c:v>-0.84948412471353818</c:v>
                </c:pt>
                <c:pt idx="44">
                  <c:v>-0.79092388544884307</c:v>
                </c:pt>
                <c:pt idx="45">
                  <c:v>-0.73330418420945365</c:v>
                </c:pt>
                <c:pt idx="46">
                  <c:v>-0.67778647383467117</c:v>
                </c:pt>
                <c:pt idx="47">
                  <c:v>-0.62507147506896366</c:v>
                </c:pt>
                <c:pt idx="48">
                  <c:v>-0.57554175958974785</c:v>
                </c:pt>
                <c:pt idx="49">
                  <c:v>-0.52936257213835547</c:v>
                </c:pt>
                <c:pt idx="50">
                  <c:v>-0.48655307337139564</c:v>
                </c:pt>
                <c:pt idx="51">
                  <c:v>-0.44703657916563355</c:v>
                </c:pt>
                <c:pt idx="52">
                  <c:v>-0.41067585776174181</c:v>
                </c:pt>
                <c:pt idx="53">
                  <c:v>-0.37729778436410538</c:v>
                </c:pt>
                <c:pt idx="54">
                  <c:v>-0.34671041275493625</c:v>
                </c:pt>
                <c:pt idx="55">
                  <c:v>-0.31871464695513357</c:v>
                </c:pt>
                <c:pt idx="56">
                  <c:v>-0.2931120739909176</c:v>
                </c:pt>
                <c:pt idx="57">
                  <c:v>-0.26971007591585788</c:v>
                </c:pt>
                <c:pt idx="58">
                  <c:v>-0.2483250228358769</c:v>
                </c:pt>
                <c:pt idx="59">
                  <c:v>-0.22878412202135645</c:v>
                </c:pt>
                <c:pt idx="60">
                  <c:v>-0.21092633542308159</c:v>
                </c:pt>
                <c:pt idx="61">
                  <c:v>-0.19460266079490035</c:v>
                </c:pt>
                <c:pt idx="62">
                  <c:v>-0.1796759872348592</c:v>
                </c:pt>
                <c:pt idx="63">
                  <c:v>-0.16602067508679477</c:v>
                </c:pt>
                <c:pt idx="64">
                  <c:v>-0.15352196622453618</c:v>
                </c:pt>
                <c:pt idx="65">
                  <c:v>-0.14207529906197194</c:v>
                </c:pt>
                <c:pt idx="66">
                  <c:v>-0.13158557980920088</c:v>
                </c:pt>
                <c:pt idx="67">
                  <c:v>-0.12196644508758635</c:v>
                </c:pt>
                <c:pt idx="68">
                  <c:v>-0.11313953926102112</c:v>
                </c:pt>
                <c:pt idx="69">
                  <c:v>-0.10503382145946129</c:v>
                </c:pt>
                <c:pt idx="70">
                  <c:v>-9.7584911336425967E-2</c:v>
                </c:pt>
                <c:pt idx="71">
                  <c:v>-9.0734478440484975E-2</c:v>
                </c:pt>
                <c:pt idx="72">
                  <c:v>-8.4429677201013104E-2</c:v>
                </c:pt>
                <c:pt idx="73">
                  <c:v>-7.8622627573127116E-2</c:v>
                </c:pt>
                <c:pt idx="74">
                  <c:v>-7.3269940095187266E-2</c:v>
                </c:pt>
                <c:pt idx="75">
                  <c:v>-6.833228329465918E-2</c:v>
                </c:pt>
                <c:pt idx="76">
                  <c:v>-6.3773990896272156E-2</c:v>
                </c:pt>
                <c:pt idx="77">
                  <c:v>-5.9562706039758384E-2</c:v>
                </c:pt>
                <c:pt idx="78">
                  <c:v>-5.566905963015735E-2</c:v>
                </c:pt>
                <c:pt idx="79">
                  <c:v>-5.2066379969031698E-2</c:v>
                </c:pt>
                <c:pt idx="80">
                  <c:v>-4.8730430912095904E-2</c:v>
                </c:pt>
                <c:pt idx="81">
                  <c:v>-4.5639175940646787E-2</c:v>
                </c:pt>
                <c:pt idx="82">
                  <c:v>-4.2772565701640883E-2</c:v>
                </c:pt>
                <c:pt idx="83">
                  <c:v>-4.0112346750894728E-2</c:v>
                </c:pt>
                <c:pt idx="84">
                  <c:v>-3.7641889416472965E-2</c:v>
                </c:pt>
                <c:pt idx="85">
                  <c:v>-3.534603287869293E-2</c:v>
                </c:pt>
                <c:pt idx="86">
                  <c:v>-3.3210945735311359E-2</c:v>
                </c:pt>
                <c:pt idx="87">
                  <c:v>-3.1224000482918724E-2</c:v>
                </c:pt>
                <c:pt idx="88">
                  <c:v>-2.9373660497009211E-2</c:v>
                </c:pt>
                <c:pt idx="89">
                  <c:v>-2.764937823303985E-2</c:v>
                </c:pt>
                <c:pt idx="90">
                  <c:v>-2.6041503498989784E-2</c:v>
                </c:pt>
                <c:pt idx="91">
                  <c:v>-2.4541200766781918E-2</c:v>
                </c:pt>
                <c:pt idx="92">
                  <c:v>-2.3140374595951477E-2</c:v>
                </c:pt>
                <c:pt idx="93">
                  <c:v>-2.1831602338801159E-2</c:v>
                </c:pt>
                <c:pt idx="94">
                  <c:v>-2.0608073382690762E-2</c:v>
                </c:pt>
                <c:pt idx="95">
                  <c:v>-1.9463534262825051E-2</c:v>
                </c:pt>
                <c:pt idx="96">
                  <c:v>-1.8392239048671412E-2</c:v>
                </c:pt>
                <c:pt idx="97">
                  <c:v>-1.7388904469680128E-2</c:v>
                </c:pt>
                <c:pt idx="98">
                  <c:v>-1.6448669301980696E-2</c:v>
                </c:pt>
                <c:pt idx="99">
                  <c:v>-1.5567057587826633E-2</c:v>
                </c:pt>
                <c:pt idx="100">
                  <c:v>-1.4739945304351148E-2</c:v>
                </c:pt>
                <c:pt idx="101">
                  <c:v>-1.3963530138222203E-2</c:v>
                </c:pt>
                <c:pt idx="102">
                  <c:v>-1.3234304058541202E-2</c:v>
                </c:pt>
                <c:pt idx="103">
                  <c:v>-1.2549028412266601E-2</c:v>
                </c:pt>
                <c:pt idx="104">
                  <c:v>-1.1904711294967835E-2</c:v>
                </c:pt>
                <c:pt idx="105">
                  <c:v>-1.1298586975190641E-2</c:v>
                </c:pt>
                <c:pt idx="106">
                  <c:v>-1.07280971734726E-2</c:v>
                </c:pt>
                <c:pt idx="107">
                  <c:v>-1.0190874017379756E-2</c:v>
                </c:pt>
                <c:pt idx="108">
                  <c:v>-9.6847245121054193E-3</c:v>
                </c:pt>
                <c:pt idx="109">
                  <c:v>-9.2076163824161006E-3</c:v>
                </c:pt>
                <c:pt idx="110">
                  <c:v>-8.7576651562552774E-3</c:v>
                </c:pt>
                <c:pt idx="111">
                  <c:v>-8.3331223733112882E-3</c:v>
                </c:pt>
                <c:pt idx="112">
                  <c:v>-7.9323648134869956E-3</c:v>
                </c:pt>
                <c:pt idx="113">
                  <c:v>-7.5538846506234443E-3</c:v>
                </c:pt>
                <c:pt idx="114">
                  <c:v>-7.1962804461606781E-3</c:v>
                </c:pt>
                <c:pt idx="115">
                  <c:v>-6.8582489057816276E-3</c:v>
                </c:pt>
                <c:pt idx="116">
                  <c:v>-6.5385773295855865E-3</c:v>
                </c:pt>
                <c:pt idx="117">
                  <c:v>-6.2361366930675051E-3</c:v>
                </c:pt>
                <c:pt idx="118">
                  <c:v>-5.9498753022215337E-3</c:v>
                </c:pt>
                <c:pt idx="119">
                  <c:v>-5.6788129715151852E-3</c:v>
                </c:pt>
                <c:pt idx="120">
                  <c:v>-5.4220356783590351E-3</c:v>
                </c:pt>
                <c:pt idx="121">
                  <c:v>-5.1786906520849951E-3</c:v>
                </c:pt>
                <c:pt idx="122">
                  <c:v>-4.9479818593945969E-3</c:v>
                </c:pt>
                <c:pt idx="123">
                  <c:v>-4.7291658517945277E-3</c:v>
                </c:pt>
                <c:pt idx="124">
                  <c:v>-4.5215479437402039E-3</c:v>
                </c:pt>
                <c:pt idx="125">
                  <c:v>-4.3244786930963864E-3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Cys!$E$6</c:f>
              <c:strCache>
                <c:ptCount val="1"/>
                <c:pt idx="0">
                  <c:v>Ile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Cys!$E$7:$E$132</c:f>
              <c:numCache>
                <c:formatCode>0.00</c:formatCode>
                <c:ptCount val="126"/>
                <c:pt idx="0">
                  <c:v>24326990.402823687</c:v>
                </c:pt>
                <c:pt idx="1">
                  <c:v>7748843.3253590595</c:v>
                </c:pt>
                <c:pt idx="2">
                  <c:v>2726181.9087878773</c:v>
                </c:pt>
                <c:pt idx="3">
                  <c:v>1042502.0138627215</c:v>
                </c:pt>
                <c:pt idx="4">
                  <c:v>427929.11223340756</c:v>
                </c:pt>
                <c:pt idx="5">
                  <c:v>186686.88199596733</c:v>
                </c:pt>
                <c:pt idx="6">
                  <c:v>85860.136225809445</c:v>
                </c:pt>
                <c:pt idx="7">
                  <c:v>41352.807670447779</c:v>
                </c:pt>
                <c:pt idx="8">
                  <c:v>20740.473612644666</c:v>
                </c:pt>
                <c:pt idx="9">
                  <c:v>10780.868941639761</c:v>
                </c:pt>
                <c:pt idx="10">
                  <c:v>5783.7033214707926</c:v>
                </c:pt>
                <c:pt idx="11">
                  <c:v>3190.6660777508387</c:v>
                </c:pt>
                <c:pt idx="12">
                  <c:v>1804.0298823917212</c:v>
                </c:pt>
                <c:pt idx="13">
                  <c:v>1042.2460383518387</c:v>
                </c:pt>
                <c:pt idx="14">
                  <c:v>613.49400789246624</c:v>
                </c:pt>
                <c:pt idx="15">
                  <c:v>366.89747930123417</c:v>
                </c:pt>
                <c:pt idx="16">
                  <c:v>222.30050461995637</c:v>
                </c:pt>
                <c:pt idx="17">
                  <c:v>136.04888729013408</c:v>
                </c:pt>
                <c:pt idx="18">
                  <c:v>83.822437014957515</c:v>
                </c:pt>
                <c:pt idx="19">
                  <c:v>51.787907618544942</c:v>
                </c:pt>
                <c:pt idx="20">
                  <c:v>31.925983092335226</c:v>
                </c:pt>
                <c:pt idx="21">
                  <c:v>19.506158348362224</c:v>
                </c:pt>
                <c:pt idx="22">
                  <c:v>11.693227180083444</c:v>
                </c:pt>
                <c:pt idx="23">
                  <c:v>6.763110844256869</c:v>
                </c:pt>
                <c:pt idx="24">
                  <c:v>3.6535232901960666</c:v>
                </c:pt>
                <c:pt idx="25">
                  <c:v>1.7021371307951669</c:v>
                </c:pt>
                <c:pt idx="26">
                  <c:v>0.49160889882747993</c:v>
                </c:pt>
                <c:pt idx="27">
                  <c:v>-0.2434873819363258</c:v>
                </c:pt>
                <c:pt idx="28">
                  <c:v>-0.67330653276901409</c:v>
                </c:pt>
                <c:pt idx="29">
                  <c:v>-0.90764400875922313</c:v>
                </c:pt>
                <c:pt idx="30">
                  <c:v>-1.0177024288375602</c:v>
                </c:pt>
                <c:pt idx="31">
                  <c:v>-1.0498077846917799</c:v>
                </c:pt>
                <c:pt idx="32">
                  <c:v>-1.0341377192271253</c:v>
                </c:pt>
                <c:pt idx="33">
                  <c:v>-0.99032555581007664</c:v>
                </c:pt>
                <c:pt idx="34">
                  <c:v>-0.93108754962729678</c:v>
                </c:pt>
                <c:pt idx="35">
                  <c:v>-0.86458762496925046</c:v>
                </c:pt>
                <c:pt idx="36">
                  <c:v>-0.79598878242179893</c:v>
                </c:pt>
                <c:pt idx="37">
                  <c:v>-0.72847637830466083</c:v>
                </c:pt>
                <c:pt idx="38">
                  <c:v>-0.66393598920904962</c:v>
                </c:pt>
                <c:pt idx="39">
                  <c:v>-0.60340389460199473</c:v>
                </c:pt>
                <c:pt idx="40">
                  <c:v>-0.54736701817179534</c:v>
                </c:pt>
                <c:pt idx="41">
                  <c:v>-0.49596270923806052</c:v>
                </c:pt>
                <c:pt idx="42">
                  <c:v>-0.44911161286813001</c:v>
                </c:pt>
                <c:pt idx="43">
                  <c:v>-0.40660570032971838</c:v>
                </c:pt>
                <c:pt idx="44">
                  <c:v>-0.36816618883440766</c:v>
                </c:pt>
                <c:pt idx="45">
                  <c:v>-0.33348122456521961</c:v>
                </c:pt>
                <c:pt idx="46">
                  <c:v>-0.30222997379754735</c:v>
                </c:pt>
                <c:pt idx="47">
                  <c:v>-0.27409760747160444</c:v>
                </c:pt>
                <c:pt idx="48">
                  <c:v>-0.24878421347371055</c:v>
                </c:pt>
                <c:pt idx="49">
                  <c:v>-0.22600969161138146</c:v>
                </c:pt>
                <c:pt idx="50">
                  <c:v>-0.20551602299443358</c:v>
                </c:pt>
                <c:pt idx="51">
                  <c:v>-0.18706785495477024</c:v>
                </c:pt>
                <c:pt idx="52">
                  <c:v>-0.17045203586420224</c:v>
                </c:pt>
                <c:pt idx="53">
                  <c:v>-0.15547652505662868</c:v>
                </c:pt>
                <c:pt idx="54">
                  <c:v>-0.14196896040596899</c:v>
                </c:pt>
                <c:pt idx="55">
                  <c:v>-0.12977506888541634</c:v>
                </c:pt>
                <c:pt idx="56">
                  <c:v>-0.11875703931337406</c:v>
                </c:pt>
                <c:pt idx="57">
                  <c:v>-0.10879193170242611</c:v>
                </c:pt>
                <c:pt idx="58">
                  <c:v>-9.9770167477539598E-2</c:v>
                </c:pt>
                <c:pt idx="59">
                  <c:v>-9.1594124723491474E-2</c:v>
                </c:pt>
                <c:pt idx="60">
                  <c:v>-8.4176849397193471E-2</c:v>
                </c:pt>
                <c:pt idx="61">
                  <c:v>-7.7440884918554137E-2</c:v>
                </c:pt>
                <c:pt idx="62">
                  <c:v>-7.1317217229928398E-2</c:v>
                </c:pt>
                <c:pt idx="63">
                  <c:v>-6.5744329251225225E-2</c:v>
                </c:pt>
                <c:pt idx="64">
                  <c:v>-6.0667356939772356E-2</c:v>
                </c:pt>
                <c:pt idx="65">
                  <c:v>-5.6037338398495028E-2</c:v>
                </c:pt>
                <c:pt idx="66">
                  <c:v>-5.1810547324977335E-2</c:v>
                </c:pt>
                <c:pt idx="67">
                  <c:v>-4.7947902326910263E-2</c:v>
                </c:pt>
                <c:pt idx="68">
                  <c:v>-4.4414444090043949E-2</c:v>
                </c:pt>
                <c:pt idx="69">
                  <c:v>-4.1178872968321234E-2</c:v>
                </c:pt>
                <c:pt idx="70">
                  <c:v>-3.8213140203228108E-2</c:v>
                </c:pt>
                <c:pt idx="71">
                  <c:v>-3.5492086625900997E-2</c:v>
                </c:pt>
                <c:pt idx="72">
                  <c:v>-3.2993123323307824E-2</c:v>
                </c:pt>
                <c:pt idx="73">
                  <c:v>-3.0695949342367357E-2</c:v>
                </c:pt>
                <c:pt idx="74">
                  <c:v>-2.8582302054350608E-2</c:v>
                </c:pt>
                <c:pt idx="75">
                  <c:v>-2.6635736302522826E-2</c:v>
                </c:pt>
                <c:pt idx="76">
                  <c:v>-2.4841428908213559E-2</c:v>
                </c:pt>
                <c:pt idx="77">
                  <c:v>-2.3186005515851548E-2</c:v>
                </c:pt>
                <c:pt idx="78">
                  <c:v>-2.1657387118687772E-2</c:v>
                </c:pt>
                <c:pt idx="79">
                  <c:v>-2.0244653927302951E-2</c:v>
                </c:pt>
                <c:pt idx="80">
                  <c:v>-1.8937924526174568E-2</c:v>
                </c:pt>
                <c:pt idx="81">
                  <c:v>-1.7728248513212627E-2</c:v>
                </c:pt>
                <c:pt idx="82">
                  <c:v>-1.6607511036783363E-2</c:v>
                </c:pt>
                <c:pt idx="83">
                  <c:v>-1.5568347837644509E-2</c:v>
                </c:pt>
                <c:pt idx="84">
                  <c:v>-1.4604069572470563E-2</c:v>
                </c:pt>
                <c:pt idx="85">
                  <c:v>-1.3708594344034496E-2</c:v>
                </c:pt>
                <c:pt idx="86">
                  <c:v>-1.2876387493141654E-2</c:v>
                </c:pt>
                <c:pt idx="87">
                  <c:v>-1.2102407821319014E-2</c:v>
                </c:pt>
                <c:pt idx="88">
                  <c:v>-1.1382059513040303E-2</c:v>
                </c:pt>
                <c:pt idx="89">
                  <c:v>-1.0711149113672434E-2</c:v>
                </c:pt>
                <c:pt idx="90">
                  <c:v>-1.0085846995910273E-2</c:v>
                </c:pt>
                <c:pt idx="91">
                  <c:v>-9.5026528145869815E-3</c:v>
                </c:pt>
                <c:pt idx="92">
                  <c:v>-8.9583645085972424E-3</c:v>
                </c:pt>
                <c:pt idx="93">
                  <c:v>-8.4500504602959513E-3</c:v>
                </c:pt>
                <c:pt idx="94">
                  <c:v>-7.9750244680457192E-3</c:v>
                </c:pt>
                <c:pt idx="95">
                  <c:v>-7.53082322738023E-3</c:v>
                </c:pt>
                <c:pt idx="96">
                  <c:v>-7.1151860512212945E-3</c:v>
                </c:pt>
                <c:pt idx="97">
                  <c:v>-6.7260365903404461E-3</c:v>
                </c:pt>
                <c:pt idx="98">
                  <c:v>-6.3614663423205188E-3</c:v>
                </c:pt>
                <c:pt idx="99">
                  <c:v>-6.019719761108152E-3</c:v>
                </c:pt>
                <c:pt idx="100">
                  <c:v>-5.6991808002562604E-3</c:v>
                </c:pt>
                <c:pt idx="101">
                  <c:v>-5.3983607414867319E-3</c:v>
                </c:pt>
                <c:pt idx="102">
                  <c:v>-5.1158871765623268E-3</c:v>
                </c:pt>
                <c:pt idx="103">
                  <c:v>-4.850494024910207E-3</c:v>
                </c:pt>
                <c:pt idx="104">
                  <c:v>-4.6010124822197431E-3</c:v>
                </c:pt>
                <c:pt idx="105">
                  <c:v>-4.3663628065473744E-3</c:v>
                </c:pt>
                <c:pt idx="106">
                  <c:v>-4.1455468584792356E-3</c:v>
                </c:pt>
                <c:pt idx="107">
                  <c:v>-3.937641320782375E-3</c:v>
                </c:pt>
                <c:pt idx="108">
                  <c:v>-3.7417915308542581E-3</c:v>
                </c:pt>
                <c:pt idx="109">
                  <c:v>-3.5572058662762546E-3</c:v>
                </c:pt>
                <c:pt idx="110">
                  <c:v>-3.3831506299941212E-3</c:v>
                </c:pt>
                <c:pt idx="111">
                  <c:v>-3.2189453871786008E-3</c:v>
                </c:pt>
                <c:pt idx="112">
                  <c:v>-3.0639587107420584E-3</c:v>
                </c:pt>
                <c:pt idx="113">
                  <c:v>-2.9176042968729748E-3</c:v>
                </c:pt>
                <c:pt idx="114">
                  <c:v>-2.7793374158609141E-3</c:v>
                </c:pt>
                <c:pt idx="115">
                  <c:v>-2.6486516669745564E-3</c:v>
                </c:pt>
                <c:pt idx="116">
                  <c:v>-2.5250760092724658E-3</c:v>
                </c:pt>
                <c:pt idx="117">
                  <c:v>-2.4081720430124236E-3</c:v>
                </c:pt>
                <c:pt idx="118">
                  <c:v>-2.2975315188175751E-3</c:v>
                </c:pt>
                <c:pt idx="119">
                  <c:v>-2.1927740539891614E-3</c:v>
                </c:pt>
                <c:pt idx="120">
                  <c:v>-2.0935450373549213E-3</c:v>
                </c:pt>
                <c:pt idx="121">
                  <c:v>-1.9995137058351599E-3</c:v>
                </c:pt>
                <c:pt idx="122">
                  <c:v>-1.9103713775172919E-3</c:v>
                </c:pt>
                <c:pt idx="123">
                  <c:v>-1.8258298274746239E-3</c:v>
                </c:pt>
                <c:pt idx="124">
                  <c:v>-1.7456197938637583E-3</c:v>
                </c:pt>
                <c:pt idx="125">
                  <c:v>-1.669489603003045E-3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Cys!$F$6</c:f>
              <c:strCache>
                <c:ptCount val="1"/>
                <c:pt idx="0">
                  <c:v>Leu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Cys!$F$7:$F$132</c:f>
              <c:numCache>
                <c:formatCode>0.00</c:formatCode>
                <c:ptCount val="126"/>
                <c:pt idx="0">
                  <c:v>7908272.8301377771</c:v>
                </c:pt>
                <c:pt idx="1">
                  <c:v>2518402.0733598862</c:v>
                </c:pt>
                <c:pt idx="2">
                  <c:v>885681.24987455807</c:v>
                </c:pt>
                <c:pt idx="3">
                  <c:v>338491.76853374898</c:v>
                </c:pt>
                <c:pt idx="4">
                  <c:v>138826.68544294877</c:v>
                </c:pt>
                <c:pt idx="5">
                  <c:v>60490.088880867399</c:v>
                </c:pt>
                <c:pt idx="6">
                  <c:v>27772.67151852807</c:v>
                </c:pt>
                <c:pt idx="7">
                  <c:v>13344.628393189507</c:v>
                </c:pt>
                <c:pt idx="8">
                  <c:v>6671.6262960955846</c:v>
                </c:pt>
                <c:pt idx="9">
                  <c:v>3453.1025584191884</c:v>
                </c:pt>
                <c:pt idx="10">
                  <c:v>1842.0550344957874</c:v>
                </c:pt>
                <c:pt idx="11">
                  <c:v>1008.6653977559889</c:v>
                </c:pt>
                <c:pt idx="12">
                  <c:v>564.78917091654569</c:v>
                </c:pt>
                <c:pt idx="13">
                  <c:v>322.18500114819858</c:v>
                </c:pt>
                <c:pt idx="14">
                  <c:v>186.53348250827349</c:v>
                </c:pt>
                <c:pt idx="15">
                  <c:v>109.16076064462308</c:v>
                </c:pt>
                <c:pt idx="16">
                  <c:v>64.268109458214468</c:v>
                </c:pt>
                <c:pt idx="17">
                  <c:v>37.845679953437163</c:v>
                </c:pt>
                <c:pt idx="18">
                  <c:v>22.116195042814368</c:v>
                </c:pt>
                <c:pt idx="19">
                  <c:v>12.67524486948655</c:v>
                </c:pt>
                <c:pt idx="20">
                  <c:v>6.9831213523576521</c:v>
                </c:pt>
                <c:pt idx="21">
                  <c:v>3.5513826271552089</c:v>
                </c:pt>
                <c:pt idx="22">
                  <c:v>1.4949575433327424</c:v>
                </c:pt>
                <c:pt idx="23">
                  <c:v>0.28077815568626757</c:v>
                </c:pt>
                <c:pt idx="24">
                  <c:v>-0.41579414315017393</c:v>
                </c:pt>
                <c:pt idx="25">
                  <c:v>-0.79431297057523431</c:v>
                </c:pt>
                <c:pt idx="26">
                  <c:v>-0.97835460051667411</c:v>
                </c:pt>
                <c:pt idx="27">
                  <c:v>-1.0448512695340582</c:v>
                </c:pt>
                <c:pt idx="28">
                  <c:v>-1.0418330628475951</c:v>
                </c:pt>
                <c:pt idx="29">
                  <c:v>-0.99928133994974777</c:v>
                </c:pt>
                <c:pt idx="30">
                  <c:v>-0.93583635954017719</c:v>
                </c:pt>
                <c:pt idx="31">
                  <c:v>-0.86298047561837976</c:v>
                </c:pt>
                <c:pt idx="32">
                  <c:v>-0.78766763655835492</c:v>
                </c:pt>
                <c:pt idx="33">
                  <c:v>-0.7139872681259154</c:v>
                </c:pt>
                <c:pt idx="34">
                  <c:v>-0.64422272623846355</c:v>
                </c:pt>
                <c:pt idx="35">
                  <c:v>-0.57952716764830881</c:v>
                </c:pt>
                <c:pt idx="36">
                  <c:v>-0.52035600444662267</c:v>
                </c:pt>
                <c:pt idx="37">
                  <c:v>-0.46674359163106255</c:v>
                </c:pt>
                <c:pt idx="38">
                  <c:v>-0.41847977691703664</c:v>
                </c:pt>
                <c:pt idx="39">
                  <c:v>-0.37522186241896471</c:v>
                </c:pt>
                <c:pt idx="40">
                  <c:v>-0.33656483251377783</c:v>
                </c:pt>
                <c:pt idx="41">
                  <c:v>-0.30208461514776425</c:v>
                </c:pt>
                <c:pt idx="42">
                  <c:v>-0.2713639571669646</c:v>
                </c:pt>
                <c:pt idx="43">
                  <c:v>-0.24400714747002422</c:v>
                </c:pt>
                <c:pt idx="44">
                  <c:v>-0.21964765071142536</c:v>
                </c:pt>
                <c:pt idx="45">
                  <c:v>-0.19795129954098209</c:v>
                </c:pt>
                <c:pt idx="46">
                  <c:v>-0.17861676813064956</c:v>
                </c:pt>
                <c:pt idx="47">
                  <c:v>-0.16137444304863624</c:v>
                </c:pt>
                <c:pt idx="48">
                  <c:v>-0.14598440913101657</c:v>
                </c:pt>
                <c:pt idx="49">
                  <c:v>-0.13223400632981938</c:v>
                </c:pt>
                <c:pt idx="50">
                  <c:v>-0.11993524190925435</c:v>
                </c:pt>
                <c:pt idx="51">
                  <c:v>-0.10892223021773598</c:v>
                </c:pt>
                <c:pt idx="52">
                  <c:v>-9.9048759433704683E-2</c:v>
                </c:pt>
                <c:pt idx="53">
                  <c:v>-9.0186037851906389E-2</c:v>
                </c:pt>
                <c:pt idx="54">
                  <c:v>-8.222064261727853E-2</c:v>
                </c:pt>
                <c:pt idx="55">
                  <c:v>-7.5052675462373708E-2</c:v>
                </c:pt>
                <c:pt idx="56">
                  <c:v>-6.8594119060993095E-2</c:v>
                </c:pt>
                <c:pt idx="57">
                  <c:v>-6.2767381480292941E-2</c:v>
                </c:pt>
                <c:pt idx="58">
                  <c:v>-5.7504013170983248E-2</c:v>
                </c:pt>
                <c:pt idx="59">
                  <c:v>-5.2743579836555497E-2</c:v>
                </c:pt>
                <c:pt idx="60">
                  <c:v>-4.8432674612662929E-2</c:v>
                </c:pt>
                <c:pt idx="61">
                  <c:v>-4.4524053771849634E-2</c:v>
                </c:pt>
                <c:pt idx="62">
                  <c:v>-4.0975881325702471E-2</c:v>
                </c:pt>
                <c:pt idx="63">
                  <c:v>-3.7751069221093572E-2</c:v>
                </c:pt>
                <c:pt idx="64">
                  <c:v>-3.4816701191531851E-2</c:v>
                </c:pt>
                <c:pt idx="65">
                  <c:v>-3.2143529651726441E-2</c:v>
                </c:pt>
                <c:pt idx="66">
                  <c:v>-2.9705536269627318E-2</c:v>
                </c:pt>
                <c:pt idx="67">
                  <c:v>-2.7479547993370736E-2</c:v>
                </c:pt>
                <c:pt idx="68">
                  <c:v>-2.5444901342313246E-2</c:v>
                </c:pt>
                <c:pt idx="69">
                  <c:v>-2.3583148691727129E-2</c:v>
                </c:pt>
                <c:pt idx="70">
                  <c:v>-2.1877801094753034E-2</c:v>
                </c:pt>
                <c:pt idx="71">
                  <c:v>-2.0314102900569165E-2</c:v>
                </c:pt>
                <c:pt idx="72">
                  <c:v>-1.8878834053399698E-2</c:v>
                </c:pt>
                <c:pt idx="73">
                  <c:v>-1.7560136502236319E-2</c:v>
                </c:pt>
                <c:pt idx="74">
                  <c:v>-1.6347361625056307E-2</c:v>
                </c:pt>
                <c:pt idx="75">
                  <c:v>-1.523093598241956E-2</c:v>
                </c:pt>
                <c:pt idx="76">
                  <c:v>-1.4202243071445337E-2</c:v>
                </c:pt>
                <c:pt idx="77">
                  <c:v>-1.3253519059368408E-2</c:v>
                </c:pt>
                <c:pt idx="78">
                  <c:v>-1.2377760742449059E-2</c:v>
                </c:pt>
                <c:pt idx="79">
                  <c:v>-1.1568644206515972E-2</c:v>
                </c:pt>
                <c:pt idx="80">
                  <c:v>-1.0820452864726026E-2</c:v>
                </c:pt>
                <c:pt idx="81">
                  <c:v>-1.0128013720480621E-2</c:v>
                </c:pt>
                <c:pt idx="82">
                  <c:v>-9.4866408525320495E-3</c:v>
                </c:pt>
                <c:pt idx="83">
                  <c:v>-8.8920852483440754E-3</c:v>
                </c:pt>
                <c:pt idx="84">
                  <c:v>-8.3404902234993569E-3</c:v>
                </c:pt>
                <c:pt idx="85">
                  <c:v>-7.828351761754641E-3</c:v>
                </c:pt>
                <c:pt idx="86">
                  <c:v>-7.3524831942869415E-3</c:v>
                </c:pt>
                <c:pt idx="87">
                  <c:v>-6.9099837095158044E-3</c:v>
                </c:pt>
                <c:pt idx="88">
                  <c:v>-6.4982102481499953E-3</c:v>
                </c:pt>
                <c:pt idx="89">
                  <c:v>-6.114752393098985E-3</c:v>
                </c:pt>
                <c:pt idx="90">
                  <c:v>-5.7574099117353016E-3</c:v>
                </c:pt>
                <c:pt idx="91">
                  <c:v>-5.4241726496617017E-3</c:v>
                </c:pt>
                <c:pt idx="92">
                  <c:v>-5.1132025114586479E-3</c:v>
                </c:pt>
                <c:pt idx="93">
                  <c:v>-4.8228172955812262E-3</c:v>
                </c:pt>
                <c:pt idx="94">
                  <c:v>-4.5514761782561759E-3</c:v>
                </c:pt>
                <c:pt idx="95">
                  <c:v>-4.2977666654322793E-3</c:v>
                </c:pt>
                <c:pt idx="96">
                  <c:v>-4.060392853019075E-3</c:v>
                </c:pt>
                <c:pt idx="97">
                  <c:v>-3.8381648542055963E-3</c:v>
                </c:pt>
                <c:pt idx="98">
                  <c:v>-3.6299892689245859E-3</c:v>
                </c:pt>
                <c:pt idx="99">
                  <c:v>-3.4348605848136958E-3</c:v>
                </c:pt>
                <c:pt idx="100">
                  <c:v>-3.2518534115788039E-3</c:v>
                </c:pt>
                <c:pt idx="101">
                  <c:v>-3.0801154617075247E-3</c:v>
                </c:pt>
                <c:pt idx="102">
                  <c:v>-2.9188612002041493E-3</c:v>
                </c:pt>
                <c:pt idx="103">
                  <c:v>-2.7673660945874991E-3</c:v>
                </c:pt>
                <c:pt idx="104">
                  <c:v>-2.6249614039544054E-3</c:v>
                </c:pt>
                <c:pt idx="105">
                  <c:v>-2.4910294525891477E-3</c:v>
                </c:pt>
                <c:pt idx="106">
                  <c:v>-2.3649993395023937E-3</c:v>
                </c:pt>
                <c:pt idx="107">
                  <c:v>-2.2463430405065855E-3</c:v>
                </c:pt>
                <c:pt idx="108">
                  <c:v>-2.1345718640612961E-3</c:v>
                </c:pt>
                <c:pt idx="109">
                  <c:v>-2.0292332262237798E-3</c:v>
                </c:pt>
                <c:pt idx="110">
                  <c:v>-1.9299077136797169E-3</c:v>
                </c:pt>
                <c:pt idx="111">
                  <c:v>-1.8362064070622137E-3</c:v>
                </c:pt>
                <c:pt idx="112">
                  <c:v>-1.7477684396413127E-3</c:v>
                </c:pt>
                <c:pt idx="113">
                  <c:v>-1.6642587690239405E-3</c:v>
                </c:pt>
                <c:pt idx="114">
                  <c:v>-1.5853661417822523E-3</c:v>
                </c:pt>
                <c:pt idx="115">
                  <c:v>-1.5108012329589865E-3</c:v>
                </c:pt>
                <c:pt idx="116">
                  <c:v>-1.4402949442103728E-3</c:v>
                </c:pt>
                <c:pt idx="117">
                  <c:v>-1.3735968459651325E-3</c:v>
                </c:pt>
                <c:pt idx="118">
                  <c:v>-1.3104737504242379E-3</c:v>
                </c:pt>
                <c:pt idx="119">
                  <c:v>-1.2507084035197815E-3</c:v>
                </c:pt>
                <c:pt idx="120">
                  <c:v>-1.1940982851094081E-3</c:v>
                </c:pt>
                <c:pt idx="121">
                  <c:v>-1.1404545077205992E-3</c:v>
                </c:pt>
                <c:pt idx="122">
                  <c:v>-1.089600805089636E-3</c:v>
                </c:pt>
                <c:pt idx="123">
                  <c:v>-1.0413726025753308E-3</c:v>
                </c:pt>
                <c:pt idx="124">
                  <c:v>-9.9561616227779423E-4</c:v>
                </c:pt>
                <c:pt idx="125">
                  <c:v>-9.5218779636683007E-4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Cys!$G$6</c:f>
              <c:strCache>
                <c:ptCount val="1"/>
                <c:pt idx="0">
                  <c:v>Val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Cys!$G$7:$G$132</c:f>
              <c:numCache>
                <c:formatCode>0.00</c:formatCode>
                <c:ptCount val="126"/>
                <c:pt idx="0">
                  <c:v>12147860.722137377</c:v>
                </c:pt>
                <c:pt idx="1">
                  <c:v>3868926.2463051002</c:v>
                </c:pt>
                <c:pt idx="2">
                  <c:v>1360871.9346544787</c:v>
                </c:pt>
                <c:pt idx="3">
                  <c:v>520236.66787945468</c:v>
                </c:pt>
                <c:pt idx="4">
                  <c:v>213448.08782560576</c:v>
                </c:pt>
                <c:pt idx="5">
                  <c:v>93055.572153363421</c:v>
                </c:pt>
                <c:pt idx="6">
                  <c:v>42757.37991180981</c:v>
                </c:pt>
                <c:pt idx="7">
                  <c:v>20566.573033966073</c:v>
                </c:pt>
                <c:pt idx="8">
                  <c:v>10297.08268218533</c:v>
                </c:pt>
                <c:pt idx="9">
                  <c:v>5339.8921245675574</c:v>
                </c:pt>
                <c:pt idx="10">
                  <c:v>2855.8900699223445</c:v>
                </c:pt>
                <c:pt idx="11">
                  <c:v>1569.1241774583805</c:v>
                </c:pt>
                <c:pt idx="12">
                  <c:v>882.52850981630081</c:v>
                </c:pt>
                <c:pt idx="13">
                  <c:v>506.38738252665337</c:v>
                </c:pt>
                <c:pt idx="14">
                  <c:v>295.44009652090858</c:v>
                </c:pt>
                <c:pt idx="15">
                  <c:v>174.66123675766232</c:v>
                </c:pt>
                <c:pt idx="16">
                  <c:v>104.24301880117825</c:v>
                </c:pt>
                <c:pt idx="17">
                  <c:v>62.539785887852545</c:v>
                </c:pt>
                <c:pt idx="18">
                  <c:v>37.515996122279773</c:v>
                </c:pt>
                <c:pt idx="19">
                  <c:v>22.342178758535258</c:v>
                </c:pt>
                <c:pt idx="20">
                  <c:v>13.070690389745183</c:v>
                </c:pt>
                <c:pt idx="21">
                  <c:v>7.3810672549962666</c:v>
                </c:pt>
                <c:pt idx="22">
                  <c:v>3.888487155768094</c:v>
                </c:pt>
                <c:pt idx="23">
                  <c:v>1.7551925021054151</c:v>
                </c:pt>
                <c:pt idx="24">
                  <c:v>0.46822351228961118</c:v>
                </c:pt>
                <c:pt idx="25">
                  <c:v>-0.28983075883501369</c:v>
                </c:pt>
                <c:pt idx="26">
                  <c:v>-0.71714445897782875</c:v>
                </c:pt>
                <c:pt idx="27">
                  <c:v>-0.93834943518929048</c:v>
                </c:pt>
                <c:pt idx="28">
                  <c:v>-1.0322529321112865</c:v>
                </c:pt>
                <c:pt idx="29">
                  <c:v>-1.0488517336296908</c:v>
                </c:pt>
                <c:pt idx="30">
                  <c:v>-1.0198899507920205</c:v>
                </c:pt>
                <c:pt idx="31">
                  <c:v>-0.96547513121147832</c:v>
                </c:pt>
                <c:pt idx="32">
                  <c:v>-0.89826094446342952</c:v>
                </c:pt>
                <c:pt idx="33">
                  <c:v>-0.8261120580072</c:v>
                </c:pt>
                <c:pt idx="34">
                  <c:v>-0.75381334483828677</c:v>
                </c:pt>
                <c:pt idx="35">
                  <c:v>-0.68417219086811876</c:v>
                </c:pt>
                <c:pt idx="36">
                  <c:v>-0.61873240684608777</c:v>
                </c:pt>
                <c:pt idx="37">
                  <c:v>-0.55823787887411425</c:v>
                </c:pt>
                <c:pt idx="38">
                  <c:v>-0.50293401003836824</c:v>
                </c:pt>
                <c:pt idx="39">
                  <c:v>-0.45276350802775078</c:v>
                </c:pt>
                <c:pt idx="40">
                  <c:v>-0.40749309223016544</c:v>
                </c:pt>
                <c:pt idx="41">
                  <c:v>-0.36679491620531079</c:v>
                </c:pt>
                <c:pt idx="42">
                  <c:v>-0.33029826990720013</c:v>
                </c:pt>
                <c:pt idx="43">
                  <c:v>-0.29762178716234666</c:v>
                </c:pt>
                <c:pt idx="44">
                  <c:v>-0.26839289989561249</c:v>
                </c:pt>
                <c:pt idx="45">
                  <c:v>-0.24225899453596814</c:v>
                </c:pt>
                <c:pt idx="46">
                  <c:v>-0.21889321882981078</c:v>
                </c:pt>
                <c:pt idx="47">
                  <c:v>-0.19799688956094263</c:v>
                </c:pt>
                <c:pt idx="48">
                  <c:v>-0.17929978906839678</c:v>
                </c:pt>
                <c:pt idx="49">
                  <c:v>-0.16255919737889699</c:v>
                </c:pt>
                <c:pt idx="50">
                  <c:v>-0.14755821278390296</c:v>
                </c:pt>
                <c:pt idx="51">
                  <c:v>-0.13410371772761931</c:v>
                </c:pt>
                <c:pt idx="52">
                  <c:v>-0.12202421643154264</c:v>
                </c:pt>
                <c:pt idx="53">
                  <c:v>-0.11116768413612074</c:v>
                </c:pt>
                <c:pt idx="54">
                  <c:v>-0.10139951074148</c:v>
                </c:pt>
                <c:pt idx="55">
                  <c:v>-9.2600584289640492E-2</c:v>
                </c:pt>
                <c:pt idx="56">
                  <c:v>-8.4665535636995165E-2</c:v>
                </c:pt>
                <c:pt idx="57">
                  <c:v>-7.7501150429736321E-2</c:v>
                </c:pt>
                <c:pt idx="58">
                  <c:v>-7.1024945155492E-2</c:v>
                </c:pt>
                <c:pt idx="59">
                  <c:v>-6.5163898603138981E-2</c:v>
                </c:pt>
                <c:pt idx="60">
                  <c:v>-5.9853327171354012E-2</c:v>
                </c:pt>
                <c:pt idx="61">
                  <c:v>-5.5035891217172013E-2</c:v>
                </c:pt>
                <c:pt idx="62">
                  <c:v>-5.0660719419605621E-2</c:v>
                </c:pt>
                <c:pt idx="63">
                  <c:v>-4.6682638543878316E-2</c:v>
                </c:pt>
                <c:pt idx="64">
                  <c:v>-4.3061496760224791E-2</c:v>
                </c:pt>
                <c:pt idx="65">
                  <c:v>-3.9761569621829598E-2</c:v>
                </c:pt>
                <c:pt idx="66">
                  <c:v>-3.6751038826562922E-2</c:v>
                </c:pt>
                <c:pt idx="67">
                  <c:v>-3.4001534906303386E-2</c:v>
                </c:pt>
                <c:pt idx="68">
                  <c:v>-3.1487735963636972E-2</c:v>
                </c:pt>
                <c:pt idx="69">
                  <c:v>-2.9187015485119646E-2</c:v>
                </c:pt>
                <c:pt idx="70">
                  <c:v>-2.7079133091801297E-2</c:v>
                </c:pt>
                <c:pt idx="71">
                  <c:v>-2.514596283782701E-2</c:v>
                </c:pt>
                <c:pt idx="72">
                  <c:v>-2.3371254337982497E-2</c:v>
                </c:pt>
                <c:pt idx="73">
                  <c:v>-2.1740422599183105E-2</c:v>
                </c:pt>
                <c:pt idx="74">
                  <c:v>-2.0240362954812088E-2</c:v>
                </c:pt>
                <c:pt idx="75">
                  <c:v>-1.8859287960853434E-2</c:v>
                </c:pt>
                <c:pt idx="76">
                  <c:v>-1.7586583515446164E-2</c:v>
                </c:pt>
                <c:pt idx="77">
                  <c:v>-1.641268181511794E-2</c:v>
                </c:pt>
                <c:pt idx="78">
                  <c:v>-1.5328949067472789E-2</c:v>
                </c:pt>
                <c:pt idx="79">
                  <c:v>-1.4327586146957175E-2</c:v>
                </c:pt>
                <c:pt idx="80">
                  <c:v>-1.3401540612444685E-2</c:v>
                </c:pt>
                <c:pt idx="81">
                  <c:v>-1.2544428707173911E-2</c:v>
                </c:pt>
                <c:pt idx="82">
                  <c:v>-1.175046613695676E-2</c:v>
                </c:pt>
                <c:pt idx="83">
                  <c:v>-1.1014406574995346E-2</c:v>
                </c:pt>
                <c:pt idx="84">
                  <c:v>-1.0331486974125009E-2</c:v>
                </c:pt>
                <c:pt idx="85">
                  <c:v>-9.6973788824792663E-3</c:v>
                </c:pt>
                <c:pt idx="86">
                  <c:v>-9.1081450587483653E-3</c:v>
                </c:pt>
                <c:pt idx="87">
                  <c:v>-8.5602007703732743E-3</c:v>
                </c:pt>
                <c:pt idx="88">
                  <c:v>-8.050279233914227E-3</c:v>
                </c:pt>
                <c:pt idx="89">
                  <c:v>-7.5754007229588442E-3</c:v>
                </c:pt>
                <c:pt idx="90">
                  <c:v>-7.1328449265867259E-3</c:v>
                </c:pt>
                <c:pt idx="91">
                  <c:v>-6.7201261917119856E-3</c:v>
                </c:pt>
                <c:pt idx="92">
                  <c:v>-6.3349713265514812E-3</c:v>
                </c:pt>
                <c:pt idx="93">
                  <c:v>-5.9752996808572984E-3</c:v>
                </c:pt>
                <c:pt idx="94">
                  <c:v>-5.6392052521329148E-3</c:v>
                </c:pt>
                <c:pt idx="95">
                  <c:v>-5.3249405964522741E-3</c:v>
                </c:pt>
                <c:pt idx="96">
                  <c:v>-5.0309023482638885E-3</c:v>
                </c:pt>
                <c:pt idx="97">
                  <c:v>-4.7556181761582378E-3</c:v>
                </c:pt>
                <c:pt idx="98">
                  <c:v>-4.4977350214141865E-3</c:v>
                </c:pt>
                <c:pt idx="99">
                  <c:v>-4.2560084835719146E-3</c:v>
                </c:pt>
                <c:pt idx="100">
                  <c:v>-4.0292932326118211E-3</c:v>
                </c:pt>
                <c:pt idx="101">
                  <c:v>-3.8165343408173083E-3</c:v>
                </c:pt>
                <c:pt idx="102">
                  <c:v>-3.6167594392940237E-3</c:v>
                </c:pt>
                <c:pt idx="103">
                  <c:v>-3.4290716146101749E-3</c:v>
                </c:pt>
                <c:pt idx="104">
                  <c:v>-3.2526429702856123E-3</c:v>
                </c:pt>
                <c:pt idx="105">
                  <c:v>-3.0867087860432778E-3</c:v>
                </c:pt>
                <c:pt idx="106">
                  <c:v>-2.9305622149775152E-3</c:v>
                </c:pt>
                <c:pt idx="107">
                  <c:v>-2.7835494652043765E-3</c:v>
                </c:pt>
                <c:pt idx="108">
                  <c:v>-2.6450654182401815E-3</c:v>
                </c:pt>
                <c:pt idx="109">
                  <c:v>-2.5145496413937077E-3</c:v>
                </c:pt>
                <c:pt idx="110">
                  <c:v>-2.3914827559310208E-3</c:v>
                </c:pt>
                <c:pt idx="111">
                  <c:v>-2.2753831267474326E-3</c:v>
                </c:pt>
                <c:pt idx="112">
                  <c:v>-2.1658038428167227E-3</c:v>
                </c:pt>
                <c:pt idx="113">
                  <c:v>-2.0623299608352134E-3</c:v>
                </c:pt>
                <c:pt idx="114">
                  <c:v>-1.9645759872826143E-3</c:v>
                </c:pt>
                <c:pt idx="115">
                  <c:v>-1.8721835766222126E-3</c:v>
                </c:pt>
                <c:pt idx="116">
                  <c:v>-1.7848194255949917E-3</c:v>
                </c:pt>
                <c:pt idx="117">
                  <c:v>-1.7021733455559395E-3</c:v>
                </c:pt>
                <c:pt idx="118">
                  <c:v>-1.6239564965832708E-3</c:v>
                </c:pt>
                <c:pt idx="119">
                  <c:v>-1.549899768686172E-3</c:v>
                </c:pt>
                <c:pt idx="120">
                  <c:v>-1.4797522968649081E-3</c:v>
                </c:pt>
                <c:pt idx="121">
                  <c:v>-1.4132800980571978E-3</c:v>
                </c:pt>
                <c:pt idx="122">
                  <c:v>-1.3502648191528524E-3</c:v>
                </c:pt>
                <c:pt idx="123">
                  <c:v>-1.2905025862893756E-3</c:v>
                </c:pt>
                <c:pt idx="124">
                  <c:v>-1.2338029465671291E-3</c:v>
                </c:pt>
                <c:pt idx="125">
                  <c:v>-1.1799878941551084E-3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Cys!$H$6</c:f>
              <c:strCache>
                <c:ptCount val="1"/>
                <c:pt idx="0">
                  <c:v>Trp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Cys!$H$7:$H$132</c:f>
              <c:numCache>
                <c:formatCode>0.00</c:formatCode>
                <c:ptCount val="126"/>
                <c:pt idx="0">
                  <c:v>3030630490.6196094</c:v>
                </c:pt>
                <c:pt idx="1">
                  <c:v>965624534.54572415</c:v>
                </c:pt>
                <c:pt idx="2">
                  <c:v>339880247.28059411</c:v>
                </c:pt>
                <c:pt idx="3">
                  <c:v>130062136.91157009</c:v>
                </c:pt>
                <c:pt idx="4">
                  <c:v>53443018.468072116</c:v>
                </c:pt>
                <c:pt idx="5">
                  <c:v>23349084.329651263</c:v>
                </c:pt>
                <c:pt idx="6">
                  <c:v>10760638.42939214</c:v>
                </c:pt>
                <c:pt idx="7">
                  <c:v>5197227.0155286258</c:v>
                </c:pt>
                <c:pt idx="8">
                  <c:v>2616548.9521849146</c:v>
                </c:pt>
                <c:pt idx="9">
                  <c:v>1366924.9735911689</c:v>
                </c:pt>
                <c:pt idx="10">
                  <c:v>738164.70111540484</c:v>
                </c:pt>
                <c:pt idx="11">
                  <c:v>410703.87839998183</c:v>
                </c:pt>
                <c:pt idx="12">
                  <c:v>234768.63390974121</c:v>
                </c:pt>
                <c:pt idx="13">
                  <c:v>137535.61734681207</c:v>
                </c:pt>
                <c:pt idx="14">
                  <c:v>82397.420501593399</c:v>
                </c:pt>
                <c:pt idx="15">
                  <c:v>50385.310531316616</c:v>
                </c:pt>
                <c:pt idx="16">
                  <c:v>31393.934162954472</c:v>
                </c:pt>
                <c:pt idx="17">
                  <c:v>19900.999175073241</c:v>
                </c:pt>
                <c:pt idx="18">
                  <c:v>12817.143411967734</c:v>
                </c:pt>
                <c:pt idx="19">
                  <c:v>8376.2280692740442</c:v>
                </c:pt>
                <c:pt idx="20">
                  <c:v>5548.1136154304413</c:v>
                </c:pt>
                <c:pt idx="21">
                  <c:v>3720.6431259346064</c:v>
                </c:pt>
                <c:pt idx="22">
                  <c:v>2523.6757992665143</c:v>
                </c:pt>
                <c:pt idx="23">
                  <c:v>1729.752161379972</c:v>
                </c:pt>
                <c:pt idx="24">
                  <c:v>1196.9613031934116</c:v>
                </c:pt>
                <c:pt idx="25">
                  <c:v>835.50153367918983</c:v>
                </c:pt>
                <c:pt idx="26">
                  <c:v>587.78538671154274</c:v>
                </c:pt>
                <c:pt idx="27">
                  <c:v>416.41945864955005</c:v>
                </c:pt>
                <c:pt idx="28">
                  <c:v>296.8362013171556</c:v>
                </c:pt>
                <c:pt idx="29">
                  <c:v>212.71529124960344</c:v>
                </c:pt>
                <c:pt idx="30">
                  <c:v>153.10160072507477</c:v>
                </c:pt>
                <c:pt idx="31">
                  <c:v>110.56890228049754</c:v>
                </c:pt>
                <c:pt idx="32">
                  <c:v>80.036325708321755</c:v>
                </c:pt>
                <c:pt idx="33">
                  <c:v>57.997171912165783</c:v>
                </c:pt>
                <c:pt idx="34">
                  <c:v>42.011194300838476</c:v>
                </c:pt>
                <c:pt idx="35">
                  <c:v>30.367041692858272</c:v>
                </c:pt>
                <c:pt idx="36">
                  <c:v>21.8557322077225</c:v>
                </c:pt>
                <c:pt idx="37">
                  <c:v>15.617284773002662</c:v>
                </c:pt>
                <c:pt idx="38">
                  <c:v>11.036003135812244</c:v>
                </c:pt>
                <c:pt idx="39">
                  <c:v>7.6684029956522375</c:v>
                </c:pt>
                <c:pt idx="40">
                  <c:v>5.1932263530234897</c:v>
                </c:pt>
                <c:pt idx="41">
                  <c:v>3.3765214251488747</c:v>
                </c:pt>
                <c:pt idx="42">
                  <c:v>2.0470779660054199</c:v>
                </c:pt>
                <c:pt idx="43">
                  <c:v>1.0790328664471509</c:v>
                </c:pt>
                <c:pt idx="44">
                  <c:v>0.37947553399633288</c:v>
                </c:pt>
                <c:pt idx="45">
                  <c:v>-0.12043697441789487</c:v>
                </c:pt>
                <c:pt idx="46">
                  <c:v>-0.47188520159280434</c:v>
                </c:pt>
                <c:pt idx="47">
                  <c:v>-0.71302994212879633</c:v>
                </c:pt>
                <c:pt idx="48">
                  <c:v>-0.87239462372671783</c:v>
                </c:pt>
                <c:pt idx="49">
                  <c:v>-0.97134152919250105</c:v>
                </c:pt>
                <c:pt idx="50">
                  <c:v>-1.0258929804253598</c:v>
                </c:pt>
                <c:pt idx="51">
                  <c:v>-1.0480765904911564</c:v>
                </c:pt>
                <c:pt idx="52">
                  <c:v>-1.0469230292981848</c:v>
                </c:pt>
                <c:pt idx="53">
                  <c:v>-1.029208902977218</c:v>
                </c:pt>
                <c:pt idx="54">
                  <c:v>-1.0000118425118987</c:v>
                </c:pt>
                <c:pt idx="55">
                  <c:v>-0.96312665274512677</c:v>
                </c:pt>
                <c:pt idx="56">
                  <c:v>-0.92137825446428034</c:v>
                </c:pt>
                <c:pt idx="57">
                  <c:v>-0.87685767273794657</c:v>
                </c:pt>
                <c:pt idx="58">
                  <c:v>-0.8311004419099135</c:v>
                </c:pt>
                <c:pt idx="59">
                  <c:v>-0.78522177734635501</c:v>
                </c:pt>
                <c:pt idx="60">
                  <c:v>-0.74001918603138261</c:v>
                </c:pt>
                <c:pt idx="61">
                  <c:v>-0.69605048208134979</c:v>
                </c:pt>
                <c:pt idx="62">
                  <c:v>-0.65369317422827533</c:v>
                </c:pt>
                <c:pt idx="63">
                  <c:v>-0.61318970981681797</c:v>
                </c:pt>
                <c:pt idx="64">
                  <c:v>-0.57468195629015761</c:v>
                </c:pt>
                <c:pt idx="65">
                  <c:v>-0.53823747670301003</c:v>
                </c:pt>
                <c:pt idx="66">
                  <c:v>-0.50386953778000454</c:v>
                </c:pt>
                <c:pt idx="67">
                  <c:v>-0.47155232423652754</c:v>
                </c:pt>
                <c:pt idx="68">
                  <c:v>-0.44123248242040103</c:v>
                </c:pt>
                <c:pt idx="69">
                  <c:v>-0.41283785100169346</c:v>
                </c:pt>
                <c:pt idx="70">
                  <c:v>-0.38628403510697557</c:v>
                </c:pt>
                <c:pt idx="71">
                  <c:v>-0.36147932712046937</c:v>
                </c:pt>
                <c:pt idx="72">
                  <c:v>-0.3383283605479786</c:v>
                </c:pt>
                <c:pt idx="73">
                  <c:v>-0.31673479402703736</c:v>
                </c:pt>
                <c:pt idx="74">
                  <c:v>-0.29660325414031397</c:v>
                </c:pt>
                <c:pt idx="75">
                  <c:v>-0.27784071315979142</c:v>
                </c:pt>
                <c:pt idx="76">
                  <c:v>-0.26035743744999079</c:v>
                </c:pt>
                <c:pt idx="77">
                  <c:v>-0.24406761113748326</c:v>
                </c:pt>
                <c:pt idx="78">
                  <c:v>-0.22888971564579191</c:v>
                </c:pt>
                <c:pt idx="79">
                  <c:v>-0.21474672715103102</c:v>
                </c:pt>
                <c:pt idx="80">
                  <c:v>-0.2015661796761401</c:v>
                </c:pt>
                <c:pt idx="81">
                  <c:v>-0.18928013044783018</c:v>
                </c:pt>
                <c:pt idx="82">
                  <c:v>-0.17782505555223416</c:v>
                </c:pt>
                <c:pt idx="83">
                  <c:v>-0.16714169727555114</c:v>
                </c:pt>
                <c:pt idx="84">
                  <c:v>-0.15717487936786345</c:v>
                </c:pt>
                <c:pt idx="85">
                  <c:v>-0.14787330248475233</c:v>
                </c:pt>
                <c:pt idx="86">
                  <c:v>-0.13918932898183284</c:v>
                </c:pt>
                <c:pt idx="87">
                  <c:v>-0.13107876386013606</c:v>
                </c:pt>
                <c:pt idx="88">
                  <c:v>-0.12350063682897901</c:v>
                </c:pt>
                <c:pt idx="89">
                  <c:v>-0.11641698904609442</c:v>
                </c:pt>
                <c:pt idx="90">
                  <c:v>-0.10979266701789434</c:v>
                </c:pt>
                <c:pt idx="91">
                  <c:v>-0.10359512532230608</c:v>
                </c:pt>
                <c:pt idx="92">
                  <c:v>-9.7794239195346327E-2</c:v>
                </c:pt>
                <c:pt idx="93">
                  <c:v>-9.2362127555856516E-2</c:v>
                </c:pt>
                <c:pt idx="94">
                  <c:v>-8.7272986695754715E-2</c:v>
                </c:pt>
                <c:pt idx="95">
                  <c:v>-8.2502934608590497E-2</c:v>
                </c:pt>
                <c:pt idx="96">
                  <c:v>-7.8029865745901997E-2</c:v>
                </c:pt>
                <c:pt idx="97">
                  <c:v>-7.3833315862319143E-2</c:v>
                </c:pt>
                <c:pt idx="98">
                  <c:v>-6.989433652362248E-2</c:v>
                </c:pt>
                <c:pt idx="99">
                  <c:v>-6.6195378796999951E-2</c:v>
                </c:pt>
                <c:pt idx="100">
                  <c:v>-6.2720185611711679E-2</c:v>
                </c:pt>
                <c:pt idx="101">
                  <c:v>-5.9453692265204708E-2</c:v>
                </c:pt>
                <c:pt idx="102">
                  <c:v>-5.6381934549689483E-2</c:v>
                </c:pt>
                <c:pt idx="103">
                  <c:v>-5.3491963983671099E-2</c:v>
                </c:pt>
                <c:pt idx="104">
                  <c:v>-5.0771769649104397E-2</c:v>
                </c:pt>
                <c:pt idx="105">
                  <c:v>-4.8210206155571221E-2</c:v>
                </c:pt>
                <c:pt idx="106">
                  <c:v>-4.5796927276524318E-2</c:v>
                </c:pt>
                <c:pt idx="107">
                  <c:v>-4.3522324827964559E-2</c:v>
                </c:pt>
                <c:pt idx="108">
                  <c:v>-4.1377472385996823E-2</c:v>
                </c:pt>
                <c:pt idx="109">
                  <c:v>-3.9354073465857634E-2</c:v>
                </c:pt>
                <c:pt idx="110">
                  <c:v>-3.7444413810729743E-2</c:v>
                </c:pt>
                <c:pt idx="111">
                  <c:v>-3.564131746360661E-2</c:v>
                </c:pt>
                <c:pt idx="112">
                  <c:v>-3.3938106319397768E-2</c:v>
                </c:pt>
                <c:pt idx="113">
                  <c:v>-3.2328562877224895E-2</c:v>
                </c:pt>
                <c:pt idx="114">
                  <c:v>-3.0806895934353082E-2</c:v>
                </c:pt>
                <c:pt idx="115">
                  <c:v>-2.9367708983390681E-2</c:v>
                </c:pt>
                <c:pt idx="116">
                  <c:v>-2.8005971093268269E-2</c:v>
                </c:pt>
                <c:pt idx="117">
                  <c:v>-2.6716990072089407E-2</c:v>
                </c:pt>
                <c:pt idx="118">
                  <c:v>-2.5496387726272631E-2</c:v>
                </c:pt>
                <c:pt idx="119">
                  <c:v>-2.4340077045523961E-2</c:v>
                </c:pt>
                <c:pt idx="120">
                  <c:v>-2.3244241157151638E-2</c:v>
                </c:pt>
                <c:pt idx="121">
                  <c:v>-2.2205313906123479E-2</c:v>
                </c:pt>
                <c:pt idx="122">
                  <c:v>-2.1219961929135812E-2</c:v>
                </c:pt>
                <c:pt idx="123">
                  <c:v>-2.0285068101881219E-2</c:v>
                </c:pt>
                <c:pt idx="124">
                  <c:v>-1.9397716248732724E-2</c:v>
                </c:pt>
                <c:pt idx="125">
                  <c:v>-1.8555177013269891E-2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Cys!$I$6</c:f>
              <c:strCache>
                <c:ptCount val="1"/>
                <c:pt idx="0">
                  <c:v>Tyr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Cys!$I$7:$I$132</c:f>
              <c:numCache>
                <c:formatCode>0.00</c:formatCode>
                <c:ptCount val="126"/>
                <c:pt idx="0">
                  <c:v>35568476.680554979</c:v>
                </c:pt>
                <c:pt idx="1">
                  <c:v>11330207.494831968</c:v>
                </c:pt>
                <c:pt idx="2">
                  <c:v>3986518.4540227372</c:v>
                </c:pt>
                <c:pt idx="3">
                  <c:v>1524661.6012397117</c:v>
                </c:pt>
                <c:pt idx="4">
                  <c:v>625969.43367217947</c:v>
                </c:pt>
                <c:pt idx="5">
                  <c:v>273159.5883930315</c:v>
                </c:pt>
                <c:pt idx="6">
                  <c:v>125679.40555639876</c:v>
                </c:pt>
                <c:pt idx="7">
                  <c:v>60563.481271348697</c:v>
                </c:pt>
                <c:pt idx="8">
                  <c:v>30397.617645276303</c:v>
                </c:pt>
                <c:pt idx="9">
                  <c:v>15815.909196053952</c:v>
                </c:pt>
                <c:pt idx="10">
                  <c:v>8495.6864689245012</c:v>
                </c:pt>
                <c:pt idx="11">
                  <c:v>4694.5433796641937</c:v>
                </c:pt>
                <c:pt idx="12">
                  <c:v>2660.0294859009737</c:v>
                </c:pt>
                <c:pt idx="13">
                  <c:v>1541.0272388562316</c:v>
                </c:pt>
                <c:pt idx="14">
                  <c:v>910.30236425193766</c:v>
                </c:pt>
                <c:pt idx="15">
                  <c:v>546.87346623957774</c:v>
                </c:pt>
                <c:pt idx="16">
                  <c:v>333.27780715715744</c:v>
                </c:pt>
                <c:pt idx="17">
                  <c:v>205.50148738536899</c:v>
                </c:pt>
                <c:pt idx="18">
                  <c:v>127.85308869712118</c:v>
                </c:pt>
                <c:pt idx="19">
                  <c:v>80.011552949385077</c:v>
                </c:pt>
                <c:pt idx="20">
                  <c:v>50.182474552022207</c:v>
                </c:pt>
                <c:pt idx="21">
                  <c:v>31.398452722491683</c:v>
                </c:pt>
                <c:pt idx="22">
                  <c:v>19.476365267925953</c:v>
                </c:pt>
                <c:pt idx="23">
                  <c:v>11.867166296290751</c:v>
                </c:pt>
                <c:pt idx="24">
                  <c:v>6.9963377833517164</c:v>
                </c:pt>
                <c:pt idx="25">
                  <c:v>3.8792325260726743</c:v>
                </c:pt>
                <c:pt idx="26">
                  <c:v>1.8931732991238999</c:v>
                </c:pt>
                <c:pt idx="27">
                  <c:v>0.64043024159050888</c:v>
                </c:pt>
                <c:pt idx="28">
                  <c:v>-0.13529596034896293</c:v>
                </c:pt>
                <c:pt idx="29">
                  <c:v>-0.6004301331951204</c:v>
                </c:pt>
                <c:pt idx="30">
                  <c:v>-0.86372745448707944</c:v>
                </c:pt>
                <c:pt idx="31">
                  <c:v>-0.99661238750463821</c:v>
                </c:pt>
                <c:pt idx="32">
                  <c:v>-1.0461548179180291</c:v>
                </c:pt>
                <c:pt idx="33">
                  <c:v>-1.0434266137558474</c:v>
                </c:pt>
                <c:pt idx="34">
                  <c:v>-1.0089295710903854</c:v>
                </c:pt>
                <c:pt idx="35">
                  <c:v>-0.95614871385730238</c:v>
                </c:pt>
                <c:pt idx="36">
                  <c:v>-0.89389477346032009</c:v>
                </c:pt>
                <c:pt idx="37">
                  <c:v>-0.82785806849116472</c:v>
                </c:pt>
                <c:pt idx="38">
                  <c:v>-0.76164481634016379</c:v>
                </c:pt>
                <c:pt idx="39">
                  <c:v>-0.69747136319538905</c:v>
                </c:pt>
                <c:pt idx="40">
                  <c:v>-0.63663087399657947</c:v>
                </c:pt>
                <c:pt idx="41">
                  <c:v>-0.57980780692386458</c:v>
                </c:pt>
                <c:pt idx="42">
                  <c:v>-0.52729005228399917</c:v>
                </c:pt>
                <c:pt idx="43">
                  <c:v>-0.47911197796433308</c:v>
                </c:pt>
                <c:pt idx="44">
                  <c:v>-0.43515066513022616</c:v>
                </c:pt>
                <c:pt idx="45">
                  <c:v>-0.39519035068170294</c:v>
                </c:pt>
                <c:pt idx="46">
                  <c:v>-0.35896524311887845</c:v>
                </c:pt>
                <c:pt idx="47">
                  <c:v>-0.32618762279212293</c:v>
                </c:pt>
                <c:pt idx="48">
                  <c:v>-0.29656594020851912</c:v>
                </c:pt>
                <c:pt idx="49">
                  <c:v>-0.26981613579617053</c:v>
                </c:pt>
                <c:pt idx="50">
                  <c:v>-0.24566838934562341</c:v>
                </c:pt>
                <c:pt idx="51">
                  <c:v>-0.2238708131315473</c:v>
                </c:pt>
                <c:pt idx="52">
                  <c:v>-0.20419112643181156</c:v>
                </c:pt>
                <c:pt idx="53">
                  <c:v>-0.18641702152451578</c:v>
                </c:pt>
                <c:pt idx="54">
                  <c:v>-0.17035570542078698</c:v>
                </c:pt>
                <c:pt idx="55">
                  <c:v>-0.15583294576030107</c:v>
                </c:pt>
                <c:pt idx="56">
                  <c:v>-0.1426918417351149</c:v>
                </c:pt>
                <c:pt idx="57">
                  <c:v>-0.13079146672341549</c:v>
                </c:pt>
                <c:pt idx="58">
                  <c:v>-0.12000547825853559</c:v>
                </c:pt>
                <c:pt idx="59">
                  <c:v>-0.11022075595076283</c:v>
                </c:pt>
                <c:pt idx="60">
                  <c:v>-0.10133610411533524</c:v>
                </c:pt>
                <c:pt idx="61">
                  <c:v>-9.3261039732393844E-2</c:v>
                </c:pt>
                <c:pt idx="62">
                  <c:v>-8.5914675601657414E-2</c:v>
                </c:pt>
                <c:pt idx="63">
                  <c:v>-7.9224701502302208E-2</c:v>
                </c:pt>
                <c:pt idx="64">
                  <c:v>-7.3126461672639892E-2</c:v>
                </c:pt>
                <c:pt idx="65">
                  <c:v>-6.7562124178793315E-2</c:v>
                </c:pt>
                <c:pt idx="66">
                  <c:v>-6.2479936184332417E-2</c:v>
                </c:pt>
                <c:pt idx="67">
                  <c:v>-5.7833558372000535E-2</c:v>
                </c:pt>
                <c:pt idx="68">
                  <c:v>-5.3581471532028996E-2</c:v>
                </c:pt>
                <c:pt idx="69">
                  <c:v>-4.9686448430823482E-2</c:v>
                </c:pt>
                <c:pt idx="70">
                  <c:v>-4.6115084379542197E-2</c:v>
                </c:pt>
                <c:pt idx="71">
                  <c:v>-4.2837380346066316E-2</c:v>
                </c:pt>
                <c:pt idx="72">
                  <c:v>-3.9826372936731594E-2</c:v>
                </c:pt>
                <c:pt idx="73">
                  <c:v>-3.7057806076707792E-2</c:v>
                </c:pt>
                <c:pt idx="74">
                  <c:v>-3.4509839714825401E-2</c:v>
                </c:pt>
                <c:pt idx="75">
                  <c:v>-3.2162791354335994E-2</c:v>
                </c:pt>
                <c:pt idx="76">
                  <c:v>-2.9998906656534156E-2</c:v>
                </c:pt>
                <c:pt idx="77">
                  <c:v>-2.8002155774787062E-2</c:v>
                </c:pt>
                <c:pt idx="78">
                  <c:v>-2.6158052450702608E-2</c:v>
                </c:pt>
                <c:pt idx="79">
                  <c:v>-2.4453493242204794E-2</c:v>
                </c:pt>
                <c:pt idx="80">
                  <c:v>-2.2876614556658886E-2</c:v>
                </c:pt>
                <c:pt idx="81">
                  <c:v>-2.1416665433072336E-2</c:v>
                </c:pt>
                <c:pt idx="82">
                  <c:v>-2.0063894258312901E-2</c:v>
                </c:pt>
                <c:pt idx="83">
                  <c:v>-1.8809447815899608E-2</c:v>
                </c:pt>
                <c:pt idx="84">
                  <c:v>-1.7645281254877819E-2</c:v>
                </c:pt>
                <c:pt idx="85">
                  <c:v>-1.6564077733132225E-2</c:v>
                </c:pt>
                <c:pt idx="86">
                  <c:v>-1.555917663660825E-2</c:v>
                </c:pt>
                <c:pt idx="87">
                  <c:v>-1.4624509405504664E-2</c:v>
                </c:pt>
                <c:pt idx="88">
                  <c:v>-1.3754542112575714E-2</c:v>
                </c:pt>
                <c:pt idx="89">
                  <c:v>-1.2944224039051634E-2</c:v>
                </c:pt>
                <c:pt idx="90">
                  <c:v>-1.218894158197536E-2</c:v>
                </c:pt>
                <c:pt idx="91">
                  <c:v>-1.1484476904410049E-2</c:v>
                </c:pt>
                <c:pt idx="92">
                  <c:v>-1.0826970808278803E-2</c:v>
                </c:pt>
                <c:pt idx="93">
                  <c:v>-1.0212889369693426E-2</c:v>
                </c:pt>
                <c:pt idx="94">
                  <c:v>-9.6389939295142921E-3</c:v>
                </c:pt>
                <c:pt idx="95">
                  <c:v>-9.102314078440376E-3</c:v>
                </c:pt>
                <c:pt idx="96">
                  <c:v>-8.6001233169337721E-3</c:v>
                </c:pt>
                <c:pt idx="97">
                  <c:v>-8.1299171064152433E-3</c:v>
                </c:pt>
                <c:pt idx="98">
                  <c:v>-7.6893930600246806E-3</c:v>
                </c:pt>
                <c:pt idx="99">
                  <c:v>-7.2764330493449263E-3</c:v>
                </c:pt>
                <c:pt idx="100">
                  <c:v>-6.889087028296605E-3</c:v>
                </c:pt>
                <c:pt idx="101">
                  <c:v>-6.5255583973278849E-3</c:v>
                </c:pt>
                <c:pt idx="102">
                  <c:v>-6.1841907503954159E-3</c:v>
                </c:pt>
                <c:pt idx="103">
                  <c:v>-5.8634558643703679E-3</c:v>
                </c:pt>
                <c:pt idx="104">
                  <c:v>-5.5619428056743626E-3</c:v>
                </c:pt>
                <c:pt idx="105">
                  <c:v>-5.2783480423902124E-3</c:v>
                </c:pt>
                <c:pt idx="106">
                  <c:v>-5.0114664620087611E-3</c:v>
                </c:pt>
                <c:pt idx="107">
                  <c:v>-4.7601832055458246E-3</c:v>
                </c:pt>
                <c:pt idx="108">
                  <c:v>-4.5234662381518137E-3</c:v>
                </c:pt>
                <c:pt idx="109">
                  <c:v>-4.3003595846799166E-3</c:v>
                </c:pt>
                <c:pt idx="110">
                  <c:v>-4.0899771660988446E-3</c:v>
                </c:pt>
                <c:pt idx="111">
                  <c:v>-3.8914971792408555E-3</c:v>
                </c:pt>
                <c:pt idx="112">
                  <c:v>-3.704156968258758E-3</c:v>
                </c:pt>
                <c:pt idx="113">
                  <c:v>-3.5272483414104756E-3</c:v>
                </c:pt>
                <c:pt idx="114">
                  <c:v>-3.3601132914689168E-3</c:v>
                </c:pt>
                <c:pt idx="115">
                  <c:v>-3.2021400822329063E-3</c:v>
                </c:pt>
                <c:pt idx="116">
                  <c:v>-3.0527596673484547E-3</c:v>
                </c:pt>
                <c:pt idx="117">
                  <c:v>-2.9114424109882549E-3</c:v>
                </c:pt>
                <c:pt idx="118">
                  <c:v>-2.7776950829254141E-3</c:v>
                </c:pt>
                <c:pt idx="119">
                  <c:v>-2.6510581032137643E-3</c:v>
                </c:pt>
                <c:pt idx="120">
                  <c:v>-2.5311030140859302E-3</c:v>
                </c:pt>
                <c:pt idx="121">
                  <c:v>-2.4174301588323296E-3</c:v>
                </c:pt>
                <c:pt idx="122">
                  <c:v>-2.3096665493559597E-3</c:v>
                </c:pt>
                <c:pt idx="123">
                  <c:v>-2.2074639058333547E-3</c:v>
                </c:pt>
                <c:pt idx="124">
                  <c:v>-2.1104968534723652E-3</c:v>
                </c:pt>
                <c:pt idx="125">
                  <c:v>-2.0184612627611284E-3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Cys!$J$6</c:f>
              <c:strCache>
                <c:ptCount val="1"/>
                <c:pt idx="0">
                  <c:v>Ala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Cys!$J$7:$J$132</c:f>
              <c:numCache>
                <c:formatCode>0.00</c:formatCode>
                <c:ptCount val="126"/>
                <c:pt idx="0">
                  <c:v>3152184.7027843106</c:v>
                </c:pt>
                <c:pt idx="1">
                  <c:v>1003488.156166363</c:v>
                </c:pt>
                <c:pt idx="2">
                  <c:v>352727.5642306204</c:v>
                </c:pt>
                <c:pt idx="3">
                  <c:v>134700.0212078687</c:v>
                </c:pt>
                <c:pt idx="4">
                  <c:v>55180.753914980822</c:v>
                </c:pt>
                <c:pt idx="5">
                  <c:v>24003.420313004684</c:v>
                </c:pt>
                <c:pt idx="6">
                  <c:v>10994.743216151113</c:v>
                </c:pt>
                <c:pt idx="7">
                  <c:v>5265.7593375618508</c:v>
                </c:pt>
                <c:pt idx="8">
                  <c:v>2620.9508058028673</c:v>
                </c:pt>
                <c:pt idx="9">
                  <c:v>1348.4510912360033</c:v>
                </c:pt>
                <c:pt idx="10">
                  <c:v>713.57973442316506</c:v>
                </c:pt>
                <c:pt idx="11">
                  <c:v>386.575046573755</c:v>
                </c:pt>
                <c:pt idx="12">
                  <c:v>213.38359965768441</c:v>
                </c:pt>
                <c:pt idx="13">
                  <c:v>119.4123035471829</c:v>
                </c:pt>
                <c:pt idx="14">
                  <c:v>67.361976920869822</c:v>
                </c:pt>
                <c:pt idx="15">
                  <c:v>38.033786054430031</c:v>
                </c:pt>
                <c:pt idx="16">
                  <c:v>21.284582075663071</c:v>
                </c:pt>
                <c:pt idx="17">
                  <c:v>11.628369177940975</c:v>
                </c:pt>
                <c:pt idx="18">
                  <c:v>6.0349368212673005</c:v>
                </c:pt>
                <c:pt idx="19">
                  <c:v>2.7988397793647102</c:v>
                </c:pt>
                <c:pt idx="20">
                  <c:v>0.94418400453945472</c:v>
                </c:pt>
                <c:pt idx="21">
                  <c:v>-9.5575487610953788E-2</c:v>
                </c:pt>
                <c:pt idx="22">
                  <c:v>-0.6533945093560638</c:v>
                </c:pt>
                <c:pt idx="23">
                  <c:v>-0.92690868772627422</c:v>
                </c:pt>
                <c:pt idx="24">
                  <c:v>-1.0343085362872322</c:v>
                </c:pt>
                <c:pt idx="25">
                  <c:v>-1.0465994250973365</c:v>
                </c:pt>
                <c:pt idx="26">
                  <c:v>-1.0064866038749412</c:v>
                </c:pt>
                <c:pt idx="27">
                  <c:v>-0.93956840944398634</c:v>
                </c:pt>
                <c:pt idx="28">
                  <c:v>-0.86104360411829484</c:v>
                </c:pt>
                <c:pt idx="29">
                  <c:v>-0.77976892675412557</c:v>
                </c:pt>
                <c:pt idx="30">
                  <c:v>-0.70073321374489816</c:v>
                </c:pt>
                <c:pt idx="31">
                  <c:v>-0.62657545229420919</c:v>
                </c:pt>
                <c:pt idx="32">
                  <c:v>-0.55852026117092402</c:v>
                </c:pt>
                <c:pt idx="33">
                  <c:v>-0.49695557914786448</c:v>
                </c:pt>
                <c:pt idx="34">
                  <c:v>-0.44178917537840001</c:v>
                </c:pt>
                <c:pt idx="35">
                  <c:v>-0.39266774481408878</c:v>
                </c:pt>
                <c:pt idx="36">
                  <c:v>-0.34911034559734083</c:v>
                </c:pt>
                <c:pt idx="37">
                  <c:v>-0.31058837124369548</c:v>
                </c:pt>
                <c:pt idx="38">
                  <c:v>-0.27657219024582469</c:v>
                </c:pt>
                <c:pt idx="39">
                  <c:v>-0.24655709497816614</c:v>
                </c:pt>
                <c:pt idx="40">
                  <c:v>-0.22007651828858141</c:v>
                </c:pt>
                <c:pt idx="41">
                  <c:v>-0.19670753136601057</c:v>
                </c:pt>
                <c:pt idx="42">
                  <c:v>-0.17607177647823466</c:v>
                </c:pt>
                <c:pt idx="43">
                  <c:v>-0.15783380945048314</c:v>
                </c:pt>
                <c:pt idx="44">
                  <c:v>-0.14169807833091441</c:v>
                </c:pt>
                <c:pt idx="45">
                  <c:v>-0.12740528935738821</c:v>
                </c:pt>
                <c:pt idx="46">
                  <c:v>-0.11472860999492207</c:v>
                </c:pt>
                <c:pt idx="47">
                  <c:v>-0.10346996861659527</c:v>
                </c:pt>
                <c:pt idx="48">
                  <c:v>-9.3456591311607204E-2</c:v>
                </c:pt>
                <c:pt idx="49">
                  <c:v>-8.453784270224729E-2</c:v>
                </c:pt>
                <c:pt idx="50">
                  <c:v>-7.65823930897543E-2</c:v>
                </c:pt>
                <c:pt idx="51">
                  <c:v>-6.9475708145777942E-2</c:v>
                </c:pt>
                <c:pt idx="52">
                  <c:v>-6.3117842906207186E-2</c:v>
                </c:pt>
                <c:pt idx="53">
                  <c:v>-5.7421514619714856E-2</c:v>
                </c:pt>
                <c:pt idx="54">
                  <c:v>-5.2310426235474924E-2</c:v>
                </c:pt>
                <c:pt idx="55">
                  <c:v>-4.7717812179879623E-2</c:v>
                </c:pt>
                <c:pt idx="56">
                  <c:v>-4.3585179425556307E-2</c:v>
                </c:pt>
                <c:pt idx="57">
                  <c:v>-3.9861218978630923E-2</c:v>
                </c:pt>
                <c:pt idx="58">
                  <c:v>-3.6500865358416505E-2</c:v>
                </c:pt>
                <c:pt idx="59">
                  <c:v>-3.3464484151145613E-2</c:v>
                </c:pt>
                <c:pt idx="60">
                  <c:v>-3.0717170132837847E-2</c:v>
                </c:pt>
                <c:pt idx="61">
                  <c:v>-2.8228140694279532E-2</c:v>
                </c:pt>
                <c:pt idx="62">
                  <c:v>-2.5970211326303953E-2</c:v>
                </c:pt>
                <c:pt idx="63">
                  <c:v>-2.3919341726006637E-2</c:v>
                </c:pt>
                <c:pt idx="64">
                  <c:v>-2.2054242669909439E-2</c:v>
                </c:pt>
                <c:pt idx="65">
                  <c:v>-2.0356035182710553E-2</c:v>
                </c:pt>
                <c:pt idx="66">
                  <c:v>-1.8807954728577079E-2</c:v>
                </c:pt>
                <c:pt idx="67">
                  <c:v>-1.7395094185801915E-2</c:v>
                </c:pt>
                <c:pt idx="68">
                  <c:v>-1.6104180254668664E-2</c:v>
                </c:pt>
                <c:pt idx="69">
                  <c:v>-1.4923378711025044E-2</c:v>
                </c:pt>
                <c:pt idx="70">
                  <c:v>-1.3842124571235495E-2</c:v>
                </c:pt>
                <c:pt idx="71">
                  <c:v>-1.2850973792976842E-2</c:v>
                </c:pt>
                <c:pt idx="72">
                  <c:v>-1.194147361408928E-2</c:v>
                </c:pt>
                <c:pt idx="73">
                  <c:v>-1.1106049040037201E-2</c:v>
                </c:pt>
                <c:pt idx="74">
                  <c:v>-1.0337903339556927E-2</c:v>
                </c:pt>
                <c:pt idx="75">
                  <c:v>-9.6309307064591839E-3</c:v>
                </c:pt>
                <c:pt idx="76">
                  <c:v>-8.9796395007698468E-3</c:v>
                </c:pt>
                <c:pt idx="77">
                  <c:v>-8.3790847008047443E-3</c:v>
                </c:pt>
                <c:pt idx="78">
                  <c:v>-7.8248083848260434E-3</c:v>
                </c:pt>
                <c:pt idx="79">
                  <c:v>-7.3127872212498599E-3</c:v>
                </c:pt>
                <c:pt idx="80">
                  <c:v>-6.839386083910882E-3</c:v>
                </c:pt>
                <c:pt idx="81">
                  <c:v>-6.4013170269926808E-3</c:v>
                </c:pt>
                <c:pt idx="82">
                  <c:v>-5.995602955750007E-3</c:v>
                </c:pt>
                <c:pt idx="83">
                  <c:v>-5.6195454165048385E-3</c:v>
                </c:pt>
                <c:pt idx="84">
                  <c:v>-5.2706960046487537E-3</c:v>
                </c:pt>
                <c:pt idx="85">
                  <c:v>-4.9468309542809175E-3</c:v>
                </c:pt>
                <c:pt idx="86">
                  <c:v>-4.6459285291424084E-3</c:v>
                </c:pt>
                <c:pt idx="87">
                  <c:v>-4.3661488829410339E-3</c:v>
                </c:pt>
                <c:pt idx="88">
                  <c:v>-4.1058160990754492E-3</c:v>
                </c:pt>
                <c:pt idx="89">
                  <c:v>-3.8634021560838396E-3</c:v>
                </c:pt>
                <c:pt idx="90">
                  <c:v>-3.637512596645083E-3</c:v>
                </c:pt>
                <c:pt idx="91">
                  <c:v>-3.4268737053201478E-3</c:v>
                </c:pt>
                <c:pt idx="92">
                  <c:v>-3.2303210240109043E-3</c:v>
                </c:pt>
                <c:pt idx="93">
                  <c:v>-3.0467890548231966E-3</c:v>
                </c:pt>
                <c:pt idx="94">
                  <c:v>-2.8753020180706758E-3</c:v>
                </c:pt>
                <c:pt idx="95">
                  <c:v>-2.7149655489054087E-3</c:v>
                </c:pt>
                <c:pt idx="96">
                  <c:v>-2.5649592298199785E-3</c:v>
                </c:pt>
                <c:pt idx="97">
                  <c:v>-2.4245298682987974E-3</c:v>
                </c:pt>
                <c:pt idx="98">
                  <c:v>-2.2929854394323152E-3</c:v>
                </c:pt>
                <c:pt idx="99">
                  <c:v>-2.1696896225433986E-3</c:v>
                </c:pt>
                <c:pt idx="100">
                  <c:v>-2.0540568689796398E-3</c:v>
                </c:pt>
                <c:pt idx="101">
                  <c:v>-1.9455479453455648E-3</c:v>
                </c:pt>
                <c:pt idx="102">
                  <c:v>-1.8436659027105068E-3</c:v>
                </c:pt>
                <c:pt idx="103">
                  <c:v>-1.7479524278412057E-3</c:v>
                </c:pt>
                <c:pt idx="104">
                  <c:v>-1.6579845373672589E-3</c:v>
                </c:pt>
                <c:pt idx="105">
                  <c:v>-1.5733715800748025E-3</c:v>
                </c:pt>
                <c:pt idx="106">
                  <c:v>-1.4937525163103127E-3</c:v>
                </c:pt>
                <c:pt idx="107">
                  <c:v>-1.4187934468241662E-3</c:v>
                </c:pt>
                <c:pt idx="108">
                  <c:v>-1.3481853663464174E-3</c:v>
                </c:pt>
                <c:pt idx="109">
                  <c:v>-1.2816421198120738E-3</c:v>
                </c:pt>
                <c:pt idx="110">
                  <c:v>-1.2188985414807029E-3</c:v>
                </c:pt>
                <c:pt idx="111">
                  <c:v>-1.1597087592613456E-3</c:v>
                </c:pt>
                <c:pt idx="112">
                  <c:v>-1.1038446483894191E-3</c:v>
                </c:pt>
                <c:pt idx="113">
                  <c:v>-1.0510944202348487E-3</c:v>
                </c:pt>
                <c:pt idx="114">
                  <c:v>-1.0012613334740104E-3</c:v>
                </c:pt>
                <c:pt idx="115">
                  <c:v>-9.5416251615285867E-4</c:v>
                </c:pt>
                <c:pt idx="116">
                  <c:v>-9.0962788832346219E-4</c:v>
                </c:pt>
                <c:pt idx="117">
                  <c:v>-8.6749917596688352E-4</c:v>
                </c:pt>
                <c:pt idx="118">
                  <c:v>-8.27629007836226E-4</c:v>
                </c:pt>
                <c:pt idx="119">
                  <c:v>-7.8988008767710903E-4</c:v>
                </c:pt>
                <c:pt idx="120">
                  <c:v>-7.5412443501974072E-4</c:v>
                </c:pt>
                <c:pt idx="121">
                  <c:v>-7.202426883968539E-4</c:v>
                </c:pt>
                <c:pt idx="122">
                  <c:v>-6.8812346543345622E-4</c:v>
                </c:pt>
                <c:pt idx="123">
                  <c:v>-6.5766277478527559E-4</c:v>
                </c:pt>
                <c:pt idx="124">
                  <c:v>-6.2876347537946773E-4</c:v>
                </c:pt>
                <c:pt idx="125">
                  <c:v>-6.0133477883953564E-4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Cys!$K$6</c:f>
              <c:strCache>
                <c:ptCount val="1"/>
                <c:pt idx="0">
                  <c:v>Gly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Cys!$K$7:$K$132</c:f>
              <c:numCache>
                <c:formatCode>0.00</c:formatCode>
                <c:ptCount val="126"/>
                <c:pt idx="0">
                  <c:v>4092121.4741876409</c:v>
                </c:pt>
                <c:pt idx="1">
                  <c:v>1302856.3008759024</c:v>
                </c:pt>
                <c:pt idx="2">
                  <c:v>458034.76674890355</c:v>
                </c:pt>
                <c:pt idx="3">
                  <c:v>174960.67057203315</c:v>
                </c:pt>
                <c:pt idx="4">
                  <c:v>71701.493628525088</c:v>
                </c:pt>
                <c:pt idx="5">
                  <c:v>31207.224787436098</c:v>
                </c:pt>
                <c:pt idx="6">
                  <c:v>14305.643154722175</c:v>
                </c:pt>
                <c:pt idx="7">
                  <c:v>6858.9061141775692</c:v>
                </c:pt>
                <c:pt idx="8">
                  <c:v>3418.9883609064505</c:v>
                </c:pt>
                <c:pt idx="9">
                  <c:v>1762.5742532860825</c:v>
                </c:pt>
                <c:pt idx="10">
                  <c:v>935.25620602842707</c:v>
                </c:pt>
                <c:pt idx="11">
                  <c:v>508.51215194528879</c:v>
                </c:pt>
                <c:pt idx="12">
                  <c:v>282.068471342154</c:v>
                </c:pt>
                <c:pt idx="13">
                  <c:v>158.90048663776599</c:v>
                </c:pt>
                <c:pt idx="14">
                  <c:v>90.459445430479747</c:v>
                </c:pt>
                <c:pt idx="15">
                  <c:v>51.734563241877474</c:v>
                </c:pt>
                <c:pt idx="16">
                  <c:v>29.497809879370688</c:v>
                </c:pt>
                <c:pt idx="17">
                  <c:v>16.585020189191482</c:v>
                </c:pt>
                <c:pt idx="18">
                  <c:v>9.0323630490390272</c:v>
                </c:pt>
                <c:pt idx="19">
                  <c:v>4.6042591023215262</c:v>
                </c:pt>
                <c:pt idx="20">
                  <c:v>2.018127155117996</c:v>
                </c:pt>
                <c:pt idx="21">
                  <c:v>0.52696700640461991</c:v>
                </c:pt>
                <c:pt idx="22">
                  <c:v>-0.31000220143335933</c:v>
                </c:pt>
                <c:pt idx="23">
                  <c:v>-0.75574248693533597</c:v>
                </c:pt>
                <c:pt idx="24">
                  <c:v>-0.96851595851674588</c:v>
                </c:pt>
                <c:pt idx="25">
                  <c:v>-1.0441780753729373</c:v>
                </c:pt>
                <c:pt idx="26">
                  <c:v>-1.0409907400379039</c:v>
                </c:pt>
                <c:pt idx="27">
                  <c:v>-0.99436808221841422</c:v>
                </c:pt>
                <c:pt idx="28">
                  <c:v>-0.92574085024160713</c:v>
                </c:pt>
                <c:pt idx="29">
                  <c:v>-0.84793956655150571</c:v>
                </c:pt>
                <c:pt idx="30">
                  <c:v>-0.76849234431985325</c:v>
                </c:pt>
                <c:pt idx="31">
                  <c:v>-0.69165994318073321</c:v>
                </c:pt>
                <c:pt idx="32">
                  <c:v>-0.61969871718341185</c:v>
                </c:pt>
                <c:pt idx="33">
                  <c:v>-0.55364740814806657</c:v>
                </c:pt>
                <c:pt idx="34">
                  <c:v>-0.49381813084618115</c:v>
                </c:pt>
                <c:pt idx="35">
                  <c:v>-0.44010247123923052</c:v>
                </c:pt>
                <c:pt idx="36">
                  <c:v>-0.39216148785147859</c:v>
                </c:pt>
                <c:pt idx="37">
                  <c:v>-0.34954259055287717</c:v>
                </c:pt>
                <c:pt idx="38">
                  <c:v>-0.31175031188242841</c:v>
                </c:pt>
                <c:pt idx="39">
                  <c:v>-0.27828804071327679</c:v>
                </c:pt>
                <c:pt idx="40">
                  <c:v>-0.24868154569123002</c:v>
                </c:pt>
                <c:pt idx="41">
                  <c:v>-0.22249117293456572</c:v>
                </c:pt>
                <c:pt idx="42">
                  <c:v>-0.19931709851780349</c:v>
                </c:pt>
                <c:pt idx="43">
                  <c:v>-0.17880041916029044</c:v>
                </c:pt>
                <c:pt idx="44">
                  <c:v>-0.16062184256063944</c:v>
                </c:pt>
                <c:pt idx="45">
                  <c:v>-0.1444990835884736</c:v>
                </c:pt>
                <c:pt idx="46">
                  <c:v>-0.13018365228470891</c:v>
                </c:pt>
                <c:pt idx="47">
                  <c:v>-0.11745745046884025</c:v>
                </c:pt>
                <c:pt idx="48">
                  <c:v>-0.10612942204179499</c:v>
                </c:pt>
                <c:pt idx="49">
                  <c:v>-9.6032393298090629E-2</c:v>
                </c:pt>
                <c:pt idx="50">
                  <c:v>-8.7020171440678543E-2</c:v>
                </c:pt>
                <c:pt idx="51">
                  <c:v>-7.8964927592994658E-2</c:v>
                </c:pt>
                <c:pt idx="52">
                  <c:v>-7.175486555407308E-2</c:v>
                </c:pt>
                <c:pt idx="53">
                  <c:v>-6.5292163251625165E-2</c:v>
                </c:pt>
                <c:pt idx="54">
                  <c:v>-5.9491166353931237E-2</c:v>
                </c:pt>
                <c:pt idx="55">
                  <c:v>-5.4276810233235086E-2</c:v>
                </c:pt>
                <c:pt idx="56">
                  <c:v>-4.958324576803351E-2</c:v>
                </c:pt>
                <c:pt idx="57">
                  <c:v>-4.5352645259990311E-2</c:v>
                </c:pt>
                <c:pt idx="58">
                  <c:v>-4.1534166342190676E-2</c:v>
                </c:pt>
                <c:pt idx="59">
                  <c:v>-3.8083053741622179E-2</c:v>
                </c:pt>
                <c:pt idx="60">
                  <c:v>-3.4959860867594068E-2</c:v>
                </c:pt>
                <c:pt idx="61">
                  <c:v>-3.2129775273495531E-2</c:v>
                </c:pt>
                <c:pt idx="62">
                  <c:v>-2.9562033994537853E-2</c:v>
                </c:pt>
                <c:pt idx="63">
                  <c:v>-2.7229416554954106E-2</c:v>
                </c:pt>
                <c:pt idx="64">
                  <c:v>-2.5107805047512519E-2</c:v>
                </c:pt>
                <c:pt idx="65">
                  <c:v>-2.3175802115320276E-2</c:v>
                </c:pt>
                <c:pt idx="66">
                  <c:v>-2.1414398919262573E-2</c:v>
                </c:pt>
                <c:pt idx="67">
                  <c:v>-1.9806686267460811E-2</c:v>
                </c:pt>
                <c:pt idx="68">
                  <c:v>-1.8337603031411718E-2</c:v>
                </c:pt>
                <c:pt idx="69">
                  <c:v>-1.6993716793018254E-2</c:v>
                </c:pt>
                <c:pt idx="70">
                  <c:v>-1.576303237304319E-2</c:v>
                </c:pt>
                <c:pt idx="71">
                  <c:v>-1.4634824499034938E-2</c:v>
                </c:pt>
                <c:pt idx="72">
                  <c:v>-1.3599491392595997E-2</c:v>
                </c:pt>
                <c:pt idx="73">
                  <c:v>-1.2648426503675694E-2</c:v>
                </c:pt>
                <c:pt idx="74">
                  <c:v>-1.1773906003678494E-2</c:v>
                </c:pt>
                <c:pt idx="75">
                  <c:v>-1.0968989978586471E-2</c:v>
                </c:pt>
                <c:pt idx="76">
                  <c:v>-1.0227435545811774E-2</c:v>
                </c:pt>
                <c:pt idx="77">
                  <c:v>-9.5436203608621709E-3</c:v>
                </c:pt>
                <c:pt idx="78">
                  <c:v>-8.9124751879206786E-3</c:v>
                </c:pt>
                <c:pt idx="79">
                  <c:v>-8.3294243870803905E-3</c:v>
                </c:pt>
                <c:pt idx="80">
                  <c:v>-7.7903333244940956E-3</c:v>
                </c:pt>
                <c:pt idx="81">
                  <c:v>-7.2914618437334971E-3</c:v>
                </c:pt>
                <c:pt idx="82">
                  <c:v>-6.8294230503079499E-3</c:v>
                </c:pt>
                <c:pt idx="83">
                  <c:v>-6.4011467592189515E-3</c:v>
                </c:pt>
                <c:pt idx="84">
                  <c:v>-6.0038470398823375E-3</c:v>
                </c:pt>
                <c:pt idx="85">
                  <c:v>-5.6349933656632857E-3</c:v>
                </c:pt>
                <c:pt idx="86">
                  <c:v>-5.2922849382834999E-3</c:v>
                </c:pt>
                <c:pt idx="87">
                  <c:v>-4.9736278118776654E-3</c:v>
                </c:pt>
                <c:pt idx="88">
                  <c:v>-4.6771144886953225E-3</c:v>
                </c:pt>
                <c:pt idx="89">
                  <c:v>-4.401005699386955E-3</c:v>
                </c:pt>
                <c:pt idx="90">
                  <c:v>-4.1437141163535854E-3</c:v>
                </c:pt>
                <c:pt idx="91">
                  <c:v>-3.9037897795252702E-3</c:v>
                </c:pt>
                <c:pt idx="92">
                  <c:v>-3.6799070408051293E-3</c:v>
                </c:pt>
                <c:pt idx="93">
                  <c:v>-3.4708528568208612E-3</c:v>
                </c:pt>
                <c:pt idx="94">
                  <c:v>-3.2755162800347641E-3</c:v>
                </c:pt>
                <c:pt idx="95">
                  <c:v>-3.092879016079921E-3</c:v>
                </c:pt>
                <c:pt idx="96">
                  <c:v>-2.9220069307613855E-3</c:v>
                </c:pt>
                <c:pt idx="97">
                  <c:v>-2.7620424037847371E-3</c:v>
                </c:pt>
                <c:pt idx="98">
                  <c:v>-2.6121974382074418E-3</c:v>
                </c:pt>
                <c:pt idx="99">
                  <c:v>-2.4717474450722736E-3</c:v>
                </c:pt>
                <c:pt idx="100">
                  <c:v>-2.3400256318673405E-3</c:v>
                </c:pt>
                <c:pt idx="101">
                  <c:v>-2.2164179315293129E-3</c:v>
                </c:pt>
                <c:pt idx="102">
                  <c:v>-2.1003584158074498E-3</c:v>
                </c:pt>
                <c:pt idx="103">
                  <c:v>-1.9913251430596578E-3</c:v>
                </c:pt>
                <c:pt idx="104">
                  <c:v>-1.8888363960649112E-3</c:v>
                </c:pt>
                <c:pt idx="105">
                  <c:v>-1.7924472703015535E-3</c:v>
                </c:pt>
                <c:pt idx="106">
                  <c:v>-1.7017465774390741E-3</c:v>
                </c:pt>
                <c:pt idx="107">
                  <c:v>-1.6163540325915755E-3</c:v>
                </c:pt>
                <c:pt idx="108">
                  <c:v>-1.5359176972455139E-3</c:v>
                </c:pt>
                <c:pt idx="109">
                  <c:v>-1.4601116527552739E-3</c:v>
                </c:pt>
                <c:pt idx="110">
                  <c:v>-1.3886338819440488E-3</c:v>
                </c:pt>
                <c:pt idx="111">
                  <c:v>-1.3212043386947334E-3</c:v>
                </c:pt>
                <c:pt idx="112">
                  <c:v>-1.2575631875013453E-3</c:v>
                </c:pt>
                <c:pt idx="113">
                  <c:v>-1.1974691968067203E-3</c:v>
                </c:pt>
                <c:pt idx="114">
                  <c:v>-1.1406982716039606E-3</c:v>
                </c:pt>
                <c:pt idx="115">
                  <c:v>-1.0870421122509241E-3</c:v>
                </c:pt>
                <c:pt idx="116">
                  <c:v>-1.0363069877598113E-3</c:v>
                </c:pt>
                <c:pt idx="117">
                  <c:v>-9.883126129957905E-4</c:v>
                </c:pt>
                <c:pt idx="118">
                  <c:v>-9.4289112026565774E-4</c:v>
                </c:pt>
                <c:pt idx="119">
                  <c:v>-8.9988611671391048E-4</c:v>
                </c:pt>
                <c:pt idx="120">
                  <c:v>-8.5915181978164247E-4</c:v>
                </c:pt>
                <c:pt idx="121">
                  <c:v>-8.2055226373443685E-4</c:v>
                </c:pt>
                <c:pt idx="122">
                  <c:v>-7.8396057093843108E-4</c:v>
                </c:pt>
                <c:pt idx="123">
                  <c:v>-7.492582821676684E-4</c:v>
                </c:pt>
                <c:pt idx="124">
                  <c:v>-7.1633474076812696E-4</c:v>
                </c:pt>
                <c:pt idx="125">
                  <c:v>-6.8508652599119212E-4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Cys!$L$6</c:f>
              <c:strCache>
                <c:ptCount val="1"/>
                <c:pt idx="0">
                  <c:v>Thr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Cys!$L$7:$L$132</c:f>
              <c:numCache>
                <c:formatCode>0.00</c:formatCode>
                <c:ptCount val="126"/>
                <c:pt idx="0">
                  <c:v>6408032.5290413415</c:v>
                </c:pt>
                <c:pt idx="1">
                  <c:v>2040520.7322860223</c:v>
                </c:pt>
                <c:pt idx="2">
                  <c:v>717547.47688488779</c:v>
                </c:pt>
                <c:pt idx="3">
                  <c:v>274192.98904918908</c:v>
                </c:pt>
                <c:pt idx="4">
                  <c:v>112430.84708642465</c:v>
                </c:pt>
                <c:pt idx="5">
                  <c:v>48973.295545625435</c:v>
                </c:pt>
                <c:pt idx="6">
                  <c:v>22474.998352021885</c:v>
                </c:pt>
                <c:pt idx="7">
                  <c:v>10792.498818107995</c:v>
                </c:pt>
                <c:pt idx="8">
                  <c:v>5391.1926884627374</c:v>
                </c:pt>
                <c:pt idx="9">
                  <c:v>2787.2476991708231</c:v>
                </c:pt>
                <c:pt idx="10">
                  <c:v>1484.6352446126773</c:v>
                </c:pt>
                <c:pt idx="11">
                  <c:v>811.34324734350344</c:v>
                </c:pt>
                <c:pt idx="12">
                  <c:v>453.11441141466827</c:v>
                </c:pt>
                <c:pt idx="13">
                  <c:v>257.58708732058818</c:v>
                </c:pt>
                <c:pt idx="14">
                  <c:v>148.44898318319071</c:v>
                </c:pt>
                <c:pt idx="15">
                  <c:v>86.338001904078794</c:v>
                </c:pt>
                <c:pt idx="16">
                  <c:v>50.403636362627807</c:v>
                </c:pt>
                <c:pt idx="17">
                  <c:v>29.331702886038279</c:v>
                </c:pt>
                <c:pt idx="18">
                  <c:v>16.847245214153848</c:v>
                </c:pt>
                <c:pt idx="19">
                  <c:v>9.4007430118080766</c:v>
                </c:pt>
                <c:pt idx="20">
                  <c:v>4.9483427097602348</c:v>
                </c:pt>
                <c:pt idx="21">
                  <c:v>2.2942898506097311</c:v>
                </c:pt>
                <c:pt idx="22">
                  <c:v>0.72907037747353176</c:v>
                </c:pt>
                <c:pt idx="23">
                  <c:v>-0.17352822799103737</c:v>
                </c:pt>
                <c:pt idx="24">
                  <c:v>-0.67223196585347933</c:v>
                </c:pt>
                <c:pt idx="25">
                  <c:v>-0.92544299609979452</c:v>
                </c:pt>
                <c:pt idx="26">
                  <c:v>-1.030765336709486</c:v>
                </c:pt>
                <c:pt idx="27">
                  <c:v>-1.0485809063623406</c:v>
                </c:pt>
                <c:pt idx="28">
                  <c:v>-1.0162849824714091</c:v>
                </c:pt>
                <c:pt idx="29">
                  <c:v>-0.95697700055662149</c:v>
                </c:pt>
                <c:pt idx="30">
                  <c:v>-0.88481869298020877</c:v>
                </c:pt>
                <c:pt idx="31">
                  <c:v>-0.80836605767017333</c:v>
                </c:pt>
                <c:pt idx="32">
                  <c:v>-0.73265655033603827</c:v>
                </c:pt>
                <c:pt idx="33">
                  <c:v>-0.66052430339943391</c:v>
                </c:pt>
                <c:pt idx="34">
                  <c:v>-0.59343254394913325</c:v>
                </c:pt>
                <c:pt idx="35">
                  <c:v>-0.53200182898109893</c:v>
                </c:pt>
                <c:pt idx="36">
                  <c:v>-0.476345429659494</c:v>
                </c:pt>
                <c:pt idx="37">
                  <c:v>-0.42628182715661761</c:v>
                </c:pt>
                <c:pt idx="38">
                  <c:v>-0.3814686082565838</c:v>
                </c:pt>
                <c:pt idx="39">
                  <c:v>-0.34148597652589019</c:v>
                </c:pt>
                <c:pt idx="40">
                  <c:v>-0.30588795336170332</c:v>
                </c:pt>
                <c:pt idx="41">
                  <c:v>-0.27423289790554528</c:v>
                </c:pt>
                <c:pt idx="42">
                  <c:v>-0.24610085212958296</c:v>
                </c:pt>
                <c:pt idx="43">
                  <c:v>-0.22110256546994558</c:v>
                </c:pt>
                <c:pt idx="44">
                  <c:v>-0.19888333932267044</c:v>
                </c:pt>
                <c:pt idx="45">
                  <c:v>-0.17912371955440104</c:v>
                </c:pt>
                <c:pt idx="46">
                  <c:v>-0.16153834150522095</c:v>
                </c:pt>
                <c:pt idx="47">
                  <c:v>-0.14587376029289101</c:v>
                </c:pt>
                <c:pt idx="48">
                  <c:v>-0.13190579173022979</c:v>
                </c:pt>
                <c:pt idx="49">
                  <c:v>-0.1194366889877642</c:v>
                </c:pt>
                <c:pt idx="50">
                  <c:v>-0.10829235028466365</c:v>
                </c:pt>
                <c:pt idx="51">
                  <c:v>-9.8319669200527704E-2</c:v>
                </c:pt>
                <c:pt idx="52">
                  <c:v>-8.9384085811688191E-2</c:v>
                </c:pt>
                <c:pt idx="53">
                  <c:v>-8.1367363333523887E-2</c:v>
                </c:pt>
                <c:pt idx="54">
                  <c:v>-7.4165594412734945E-2</c:v>
                </c:pt>
                <c:pt idx="55">
                  <c:v>-6.7687429115500464E-2</c:v>
                </c:pt>
                <c:pt idx="56">
                  <c:v>-6.1852509996619766E-2</c:v>
                </c:pt>
                <c:pt idx="57">
                  <c:v>-5.6590096430086119E-2</c:v>
                </c:pt>
                <c:pt idx="58">
                  <c:v>-5.1837859329446671E-2</c:v>
                </c:pt>
                <c:pt idx="59">
                  <c:v>-4.7540827633113826E-2</c:v>
                </c:pt>
                <c:pt idx="60">
                  <c:v>-4.3650468920720158E-2</c:v>
                </c:pt>
                <c:pt idx="61">
                  <c:v>-4.0123887905230124E-2</c:v>
                </c:pt>
                <c:pt idx="62">
                  <c:v>-3.692312808675461E-2</c:v>
                </c:pt>
                <c:pt idx="63">
                  <c:v>-3.4014563419338499E-2</c:v>
                </c:pt>
                <c:pt idx="64">
                  <c:v>-3.136836834961481E-2</c:v>
                </c:pt>
                <c:pt idx="65">
                  <c:v>-2.8958055991104951E-2</c:v>
                </c:pt>
                <c:pt idx="66">
                  <c:v>-2.6760075478560963E-2</c:v>
                </c:pt>
                <c:pt idx="67">
                  <c:v>-2.4753460696263132E-2</c:v>
                </c:pt>
                <c:pt idx="68">
                  <c:v>-2.2919523594658032E-2</c:v>
                </c:pt>
                <c:pt idx="69">
                  <c:v>-2.124158620830632E-2</c:v>
                </c:pt>
                <c:pt idx="70">
                  <c:v>-1.970474627460618E-2</c:v>
                </c:pt>
                <c:pt idx="71">
                  <c:v>-1.8295672038058815E-2</c:v>
                </c:pt>
                <c:pt idx="72">
                  <c:v>-1.7002422419974326E-2</c:v>
                </c:pt>
                <c:pt idx="73">
                  <c:v>-1.5814289249069736E-2</c:v>
                </c:pt>
                <c:pt idx="74">
                  <c:v>-1.4721658694234608E-2</c:v>
                </c:pt>
                <c:pt idx="75">
                  <c:v>-1.3715889425786327E-2</c:v>
                </c:pt>
                <c:pt idx="76">
                  <c:v>-1.2789205363825943E-2</c:v>
                </c:pt>
                <c:pt idx="77">
                  <c:v>-1.1934601158931203E-2</c:v>
                </c:pt>
                <c:pt idx="78">
                  <c:v>-1.114575879761915E-2</c:v>
                </c:pt>
                <c:pt idx="79">
                  <c:v>-1.0416973938210762E-2</c:v>
                </c:pt>
                <c:pt idx="80">
                  <c:v>-9.7430907666533825E-3</c:v>
                </c:pt>
                <c:pt idx="81">
                  <c:v>-9.1194443205876632E-3</c:v>
                </c:pt>
                <c:pt idx="82">
                  <c:v>-8.5418093670047573E-3</c:v>
                </c:pt>
                <c:pt idx="83">
                  <c:v>-8.0063550372611869E-3</c:v>
                </c:pt>
                <c:pt idx="84">
                  <c:v>-7.5096045256098842E-3</c:v>
                </c:pt>
                <c:pt idx="85">
                  <c:v>-7.0483992460063137E-3</c:v>
                </c:pt>
                <c:pt idx="86">
                  <c:v>-6.6198669186805278E-3</c:v>
                </c:pt>
                <c:pt idx="87">
                  <c:v>-6.2213931244787246E-3</c:v>
                </c:pt>
                <c:pt idx="88">
                  <c:v>-5.8505959226860119E-3</c:v>
                </c:pt>
                <c:pt idx="89">
                  <c:v>-5.5053031781600341E-3</c:v>
                </c:pt>
                <c:pt idx="90">
                  <c:v>-5.1835322871733262E-3</c:v>
                </c:pt>
                <c:pt idx="91">
                  <c:v>-4.8834720292762566E-3</c:v>
                </c:pt>
                <c:pt idx="92">
                  <c:v>-4.6034663055183776E-3</c:v>
                </c:pt>
                <c:pt idx="93">
                  <c:v>-4.3419995521652693E-3</c:v>
                </c:pt>
                <c:pt idx="94">
                  <c:v>-4.0976836441867556E-3</c:v>
                </c:pt>
                <c:pt idx="95">
                  <c:v>-3.8692461247594474E-3</c:v>
                </c:pt>
                <c:pt idx="96">
                  <c:v>-3.6555196162421852E-3</c:v>
                </c:pt>
                <c:pt idx="97">
                  <c:v>-3.4554322849093188E-3</c:v>
                </c:pt>
                <c:pt idx="98">
                  <c:v>-3.2679992464765451E-3</c:v>
                </c:pt>
                <c:pt idx="99">
                  <c:v>-3.0923148123970113E-3</c:v>
                </c:pt>
                <c:pt idx="100">
                  <c:v>-2.9275454882746674E-3</c:v>
                </c:pt>
                <c:pt idx="101">
                  <c:v>-2.7729236457392672E-3</c:v>
                </c:pt>
                <c:pt idx="102">
                  <c:v>-2.627741797927372E-3</c:v>
                </c:pt>
                <c:pt idx="103">
                  <c:v>-2.4913474164676833E-3</c:v>
                </c:pt>
                <c:pt idx="104">
                  <c:v>-2.3631382347083004E-3</c:v>
                </c:pt>
                <c:pt idx="105">
                  <c:v>-2.2425579879618118E-3</c:v>
                </c:pt>
                <c:pt idx="106">
                  <c:v>-2.1290925468809663E-3</c:v>
                </c:pt>
                <c:pt idx="107">
                  <c:v>-2.0222664047987626E-3</c:v>
                </c:pt>
                <c:pt idx="108">
                  <c:v>-1.9216394840475774E-3</c:v>
                </c:pt>
                <c:pt idx="109">
                  <c:v>-1.8268042299776964E-3</c:v>
                </c:pt>
                <c:pt idx="110">
                  <c:v>-1.7373829646833839E-3</c:v>
                </c:pt>
                <c:pt idx="111">
                  <c:v>-1.6530254753644952E-3</c:v>
                </c:pt>
                <c:pt idx="112">
                  <c:v>-1.573406814846994E-3</c:v>
                </c:pt>
                <c:pt idx="113">
                  <c:v>-1.4982252940948749E-3</c:v>
                </c:pt>
                <c:pt idx="114">
                  <c:v>-1.4272006486024192E-3</c:v>
                </c:pt>
                <c:pt idx="115">
                  <c:v>-1.3600723623884902E-3</c:v>
                </c:pt>
                <c:pt idx="116">
                  <c:v>-1.2965981349498427E-3</c:v>
                </c:pt>
                <c:pt idx="117">
                  <c:v>-1.2365524779903378E-3</c:v>
                </c:pt>
                <c:pt idx="118">
                  <c:v>-1.1797254300478016E-3</c:v>
                </c:pt>
                <c:pt idx="119">
                  <c:v>-1.1259213783072985E-3</c:v>
                </c:pt>
                <c:pt idx="120">
                  <c:v>-1.0749579779343018E-3</c:v>
                </c:pt>
                <c:pt idx="121">
                  <c:v>-1.0266651601973144E-3</c:v>
                </c:pt>
                <c:pt idx="122">
                  <c:v>-9.8088422148875118E-4</c:v>
                </c:pt>
                <c:pt idx="123">
                  <c:v>-9.3746698610612197E-4</c:v>
                </c:pt>
                <c:pt idx="124">
                  <c:v>-8.9627503633201778E-4</c:v>
                </c:pt>
                <c:pt idx="125">
                  <c:v>-8.5717900395943815E-4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Cys!$M$6</c:f>
              <c:strCache>
                <c:ptCount val="1"/>
                <c:pt idx="0">
                  <c:v>Ser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Cys!$M$7:$M$132</c:f>
              <c:numCache>
                <c:formatCode>0.00</c:formatCode>
                <c:ptCount val="126"/>
                <c:pt idx="0">
                  <c:v>3344229.7649805504</c:v>
                </c:pt>
                <c:pt idx="1">
                  <c:v>1064652.7852614075</c:v>
                </c:pt>
                <c:pt idx="2">
                  <c:v>374242.37258412951</c:v>
                </c:pt>
                <c:pt idx="3">
                  <c:v>142925.03940115054</c:v>
                </c:pt>
                <c:pt idx="4">
                  <c:v>58555.578966483939</c:v>
                </c:pt>
                <c:pt idx="5">
                  <c:v>25474.832973111959</c:v>
                </c:pt>
                <c:pt idx="6">
                  <c:v>11670.903455130177</c:v>
                </c:pt>
                <c:pt idx="7">
                  <c:v>5591.0446143786339</c:v>
                </c:pt>
                <c:pt idx="8">
                  <c:v>2783.8441407633413</c:v>
                </c:pt>
                <c:pt idx="9">
                  <c:v>1432.9473563314114</c:v>
                </c:pt>
                <c:pt idx="10">
                  <c:v>758.78614347000575</c:v>
                </c:pt>
                <c:pt idx="11">
                  <c:v>411.42453999226814</c:v>
                </c:pt>
                <c:pt idx="12">
                  <c:v>227.36828427271902</c:v>
                </c:pt>
                <c:pt idx="13">
                  <c:v>127.44295534303525</c:v>
                </c:pt>
                <c:pt idx="14">
                  <c:v>72.05212356056883</c:v>
                </c:pt>
                <c:pt idx="15">
                  <c:v>40.810315721181979</c:v>
                </c:pt>
                <c:pt idx="16">
                  <c:v>22.9446715548398</c:v>
                </c:pt>
                <c:pt idx="17">
                  <c:v>12.626725172631273</c:v>
                </c:pt>
                <c:pt idx="18">
                  <c:v>6.6358015248365296</c:v>
                </c:pt>
                <c:pt idx="19">
                  <c:v>3.1583483707082496</c:v>
                </c:pt>
                <c:pt idx="20">
                  <c:v>1.155961677103629</c:v>
                </c:pt>
                <c:pt idx="21">
                  <c:v>2.5337561803200882E-2</c:v>
                </c:pt>
                <c:pt idx="22">
                  <c:v>-0.58842783830974243</c:v>
                </c:pt>
                <c:pt idx="23">
                  <c:v>-0.89625573408562165</c:v>
                </c:pt>
                <c:pt idx="24">
                  <c:v>-1.024477345609855</c:v>
                </c:pt>
                <c:pt idx="25">
                  <c:v>-1.0491398503979141</c:v>
                </c:pt>
                <c:pt idx="26">
                  <c:v>-1.0160997473884843</c:v>
                </c:pt>
                <c:pt idx="27">
                  <c:v>-0.95293984202145943</c:v>
                </c:pt>
                <c:pt idx="28">
                  <c:v>-0.87611579189345479</c:v>
                </c:pt>
                <c:pt idx="29">
                  <c:v>-0.7952833847537808</c:v>
                </c:pt>
                <c:pt idx="30">
                  <c:v>-0.71594012506609006</c:v>
                </c:pt>
                <c:pt idx="31">
                  <c:v>-0.641048298747115</c:v>
                </c:pt>
                <c:pt idx="32">
                  <c:v>-0.57203689278772096</c:v>
                </c:pt>
                <c:pt idx="33">
                  <c:v>-0.50942165178981325</c:v>
                </c:pt>
                <c:pt idx="34">
                  <c:v>-0.45318879198797518</c:v>
                </c:pt>
                <c:pt idx="35">
                  <c:v>-0.40303166367716609</c:v>
                </c:pt>
                <c:pt idx="36">
                  <c:v>-0.35849558370029722</c:v>
                </c:pt>
                <c:pt idx="37">
                  <c:v>-0.31906522223888578</c:v>
                </c:pt>
                <c:pt idx="38">
                  <c:v>-0.28421607426514722</c:v>
                </c:pt>
                <c:pt idx="39">
                  <c:v>-0.25344355588129702</c:v>
                </c:pt>
                <c:pt idx="40">
                  <c:v>-0.22627826534078987</c:v>
                </c:pt>
                <c:pt idx="41">
                  <c:v>-0.20229280096907135</c:v>
                </c:pt>
                <c:pt idx="42">
                  <c:v>-0.18110353749472419</c:v>
                </c:pt>
                <c:pt idx="43">
                  <c:v>-0.16236949874230577</c:v>
                </c:pt>
                <c:pt idx="44">
                  <c:v>-0.1457896608077647</c:v>
                </c:pt>
                <c:pt idx="45">
                  <c:v>-0.1310995081177723</c:v>
                </c:pt>
                <c:pt idx="46">
                  <c:v>-0.1180673394133147</c:v>
                </c:pt>
                <c:pt idx="47">
                  <c:v>-0.10649061458383385</c:v>
                </c:pt>
                <c:pt idx="48">
                  <c:v>-9.6192503602939627E-2</c:v>
                </c:pt>
                <c:pt idx="49">
                  <c:v>-8.7018718155983762E-2</c:v>
                </c:pt>
                <c:pt idx="50">
                  <c:v>-7.8834657273715456E-2</c:v>
                </c:pt>
                <c:pt idx="51">
                  <c:v>-7.1522869032978387E-2</c:v>
                </c:pt>
                <c:pt idx="52">
                  <c:v>-6.4980813822589037E-2</c:v>
                </c:pt>
                <c:pt idx="53">
                  <c:v>-5.9118906067873608E-2</c:v>
                </c:pt>
                <c:pt idx="54">
                  <c:v>-5.3858807611460516E-2</c:v>
                </c:pt>
                <c:pt idx="55">
                  <c:v>-4.9131945202915271E-2</c:v>
                </c:pt>
                <c:pt idx="56">
                  <c:v>-4.4878225506398861E-2</c:v>
                </c:pt>
                <c:pt idx="57">
                  <c:v>-4.1044922904541252E-2</c:v>
                </c:pt>
                <c:pt idx="58">
                  <c:v>-3.7585717667067073E-2</c:v>
                </c:pt>
                <c:pt idx="59">
                  <c:v>-3.4459864465894822E-2</c:v>
                </c:pt>
                <c:pt idx="60">
                  <c:v>-3.163147357954204E-2</c:v>
                </c:pt>
                <c:pt idx="61">
                  <c:v>-2.9068889342421252E-2</c:v>
                </c:pt>
                <c:pt idx="62">
                  <c:v>-2.674415241203093E-2</c:v>
                </c:pt>
                <c:pt idx="63">
                  <c:v>-2.4632534232416178E-2</c:v>
                </c:pt>
                <c:pt idx="64">
                  <c:v>-2.2712133666888686E-2</c:v>
                </c:pt>
                <c:pt idx="65">
                  <c:v>-2.0963527168259569E-2</c:v>
                </c:pt>
                <c:pt idx="66">
                  <c:v>-1.9369465067322476E-2</c:v>
                </c:pt>
                <c:pt idx="67">
                  <c:v>-1.791460760868405E-2</c:v>
                </c:pt>
                <c:pt idx="68">
                  <c:v>-1.6585295266154227E-2</c:v>
                </c:pt>
                <c:pt idx="69">
                  <c:v>-1.5369348645834998E-2</c:v>
                </c:pt>
                <c:pt idx="70">
                  <c:v>-1.4255893950443105E-2</c:v>
                </c:pt>
                <c:pt idx="71">
                  <c:v>-1.3235210548288063E-2</c:v>
                </c:pt>
                <c:pt idx="72">
                  <c:v>-1.229859767802988E-2</c:v>
                </c:pt>
                <c:pt idx="73">
                  <c:v>-1.1438257737541186E-2</c:v>
                </c:pt>
                <c:pt idx="74">
                  <c:v>-1.0647193962055969E-2</c:v>
                </c:pt>
                <c:pt idx="75">
                  <c:v>-9.9191206020742204E-3</c:v>
                </c:pt>
                <c:pt idx="76">
                  <c:v>-9.248383972756612E-3</c:v>
                </c:pt>
                <c:pt idx="77">
                  <c:v>-8.6298929702475439E-3</c:v>
                </c:pt>
                <c:pt idx="78">
                  <c:v>-8.0590578420360777E-3</c:v>
                </c:pt>
                <c:pt idx="79">
                  <c:v>-7.5317361628137493E-3</c:v>
                </c:pt>
                <c:pt idx="80">
                  <c:v>-7.0441851083315084E-3</c:v>
                </c:pt>
                <c:pt idx="81">
                  <c:v>-6.5930192409126998E-3</c:v>
                </c:pt>
                <c:pt idx="82">
                  <c:v>-6.1751731244517553E-3</c:v>
                </c:pt>
                <c:pt idx="83">
                  <c:v>-5.7878681763927561E-3</c:v>
                </c:pt>
                <c:pt idx="84">
                  <c:v>-5.428583241441352E-3</c:v>
                </c:pt>
                <c:pt idx="85">
                  <c:v>-5.0950284384074342E-3</c:v>
                </c:pt>
                <c:pt idx="86">
                  <c:v>-4.7851218891280679E-3</c:v>
                </c:pt>
                <c:pt idx="87">
                  <c:v>-4.4969689881773009E-3</c:v>
                </c:pt>
                <c:pt idx="88">
                  <c:v>-4.2288439151373768E-3</c:v>
                </c:pt>
                <c:pt idx="89">
                  <c:v>-3.9791731285274221E-3</c:v>
                </c:pt>
                <c:pt idx="90">
                  <c:v>-3.7465206128649438E-3</c:v>
                </c:pt>
                <c:pt idx="91">
                  <c:v>-3.5295746784606082E-3</c:v>
                </c:pt>
                <c:pt idx="92">
                  <c:v>-3.3271361380044391E-3</c:v>
                </c:pt>
                <c:pt idx="93">
                  <c:v>-3.1381077052957157E-3</c:v>
                </c:pt>
                <c:pt idx="94">
                  <c:v>-2.9614844800296496E-3</c:v>
                </c:pt>
                <c:pt idx="95">
                  <c:v>-2.796345398751243E-3</c:v>
                </c:pt>
                <c:pt idx="96">
                  <c:v>-2.641845546237758E-3</c:v>
                </c:pt>
                <c:pt idx="97">
                  <c:v>-2.4972092339485578E-3</c:v>
                </c:pt>
                <c:pt idx="98">
                  <c:v>-2.361723763019304E-3</c:v>
                </c:pt>
                <c:pt idx="99">
                  <c:v>-2.2347337987787433E-3</c:v>
                </c:pt>
                <c:pt idx="100">
                  <c:v>-2.1156362921045412E-3</c:v>
                </c:pt>
                <c:pt idx="101">
                  <c:v>-2.0038758902606048E-3</c:v>
                </c:pt>
                <c:pt idx="102">
                  <c:v>-1.89894078630152E-3</c:v>
                </c:pt>
                <c:pt idx="103">
                  <c:v>-1.8003589618029836E-3</c:v>
                </c:pt>
                <c:pt idx="104">
                  <c:v>-1.7076947826775409E-3</c:v>
                </c:pt>
                <c:pt idx="105">
                  <c:v>-1.6205459122469407E-3</c:v>
                </c:pt>
                <c:pt idx="106">
                  <c:v>-1.5385405096395E-3</c:v>
                </c:pt>
                <c:pt idx="107">
                  <c:v>-1.461334685026358E-3</c:v>
                </c:pt>
                <c:pt idx="108">
                  <c:v>-1.3886101862600369E-3</c:v>
                </c:pt>
                <c:pt idx="109">
                  <c:v>-1.3200722941804175E-3</c:v>
                </c:pt>
                <c:pt idx="110">
                  <c:v>-1.2554479062490841E-3</c:v>
                </c:pt>
                <c:pt idx="111">
                  <c:v>-1.1944837902998146E-3</c:v>
                </c:pt>
                <c:pt idx="112">
                  <c:v>-1.1369449920826161E-3</c:v>
                </c:pt>
                <c:pt idx="113">
                  <c:v>-1.0826133819593856E-3</c:v>
                </c:pt>
                <c:pt idx="114">
                  <c:v>-1.0312863276053374E-3</c:v>
                </c:pt>
                <c:pt idx="115">
                  <c:v>-9.8277548090338913E-4</c:v>
                </c:pt>
                <c:pt idx="116">
                  <c:v>-9.3690566840755546E-4</c:v>
                </c:pt>
                <c:pt idx="117">
                  <c:v>-8.9351387581260123E-4</c:v>
                </c:pt>
                <c:pt idx="118">
                  <c:v>-8.5244831781526955E-4</c:v>
                </c:pt>
                <c:pt idx="119">
                  <c:v>-8.135675856002243E-4</c:v>
                </c:pt>
                <c:pt idx="120">
                  <c:v>-7.7673986494253603E-4</c:v>
                </c:pt>
                <c:pt idx="121">
                  <c:v>-7.4184221859819894E-4</c:v>
                </c:pt>
                <c:pt idx="122">
                  <c:v>-7.0875992726338814E-4</c:v>
                </c:pt>
                <c:pt idx="123">
                  <c:v>-6.7738588392982199E-4</c:v>
                </c:pt>
                <c:pt idx="124">
                  <c:v>-6.4762003695442911E-4</c:v>
                </c:pt>
                <c:pt idx="125">
                  <c:v>-6.1936887760262699E-4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Cys!$N$6</c:f>
              <c:strCache>
                <c:ptCount val="1"/>
                <c:pt idx="0">
                  <c:v>Gln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Cys!$N$7:$N$132</c:f>
              <c:numCache>
                <c:formatCode>0.00</c:formatCode>
                <c:ptCount val="126"/>
                <c:pt idx="0">
                  <c:v>1843776.8569325053</c:v>
                </c:pt>
                <c:pt idx="1">
                  <c:v>586799.4839147192</c:v>
                </c:pt>
                <c:pt idx="2">
                  <c:v>206171.5364830347</c:v>
                </c:pt>
                <c:pt idx="3">
                  <c:v>78681.129440656339</c:v>
                </c:pt>
                <c:pt idx="4">
                  <c:v>32200.862545645905</c:v>
                </c:pt>
                <c:pt idx="5">
                  <c:v>13987.602561142301</c:v>
                </c:pt>
                <c:pt idx="6">
                  <c:v>6394.3133314095676</c:v>
                </c:pt>
                <c:pt idx="7">
                  <c:v>3054.0226220881691</c:v>
                </c:pt>
                <c:pt idx="8">
                  <c:v>1514.3449484391947</c:v>
                </c:pt>
                <c:pt idx="9">
                  <c:v>775.10189214217928</c:v>
                </c:pt>
                <c:pt idx="10">
                  <c:v>407.3069791474187</c:v>
                </c:pt>
                <c:pt idx="11">
                  <c:v>218.56321923872505</c:v>
                </c:pt>
                <c:pt idx="12">
                  <c:v>119.0829982449378</c:v>
                </c:pt>
                <c:pt idx="13">
                  <c:v>65.449420956397503</c:v>
                </c:pt>
                <c:pt idx="14">
                  <c:v>35.989876379616781</c:v>
                </c:pt>
                <c:pt idx="15">
                  <c:v>19.57329467304702</c:v>
                </c:pt>
                <c:pt idx="16">
                  <c:v>10.335104321123227</c:v>
                </c:pt>
                <c:pt idx="17">
                  <c:v>5.1143865194337002</c:v>
                </c:pt>
                <c:pt idx="18">
                  <c:v>2.1727611964923454</c:v>
                </c:pt>
                <c:pt idx="19">
                  <c:v>0.53714511022506928</c:v>
                </c:pt>
                <c:pt idx="20">
                  <c:v>-0.34550614972707716</c:v>
                </c:pt>
                <c:pt idx="21">
                  <c:v>-0.79352478505993318</c:v>
                </c:pt>
                <c:pt idx="22">
                  <c:v>-0.99198506231099681</c:v>
                </c:pt>
                <c:pt idx="23">
                  <c:v>-1.049243481930729</c:v>
                </c:pt>
                <c:pt idx="24">
                  <c:v>-1.0289610484303862</c:v>
                </c:pt>
                <c:pt idx="25">
                  <c:v>-0.96850392389452744</c:v>
                </c:pt>
                <c:pt idx="26">
                  <c:v>-0.88965336513651272</c:v>
                </c:pt>
                <c:pt idx="27">
                  <c:v>-0.80490935610541092</c:v>
                </c:pt>
                <c:pt idx="28">
                  <c:v>-0.72123596511489296</c:v>
                </c:pt>
                <c:pt idx="29">
                  <c:v>-0.64230360216279447</c:v>
                </c:pt>
                <c:pt idx="30">
                  <c:v>-0.56983880492875016</c:v>
                </c:pt>
                <c:pt idx="31">
                  <c:v>-0.50443928211849942</c:v>
                </c:pt>
                <c:pt idx="32">
                  <c:v>-0.44606612259242179</c:v>
                </c:pt>
                <c:pt idx="33">
                  <c:v>-0.39433995061640797</c:v>
                </c:pt>
                <c:pt idx="34">
                  <c:v>-0.34871754156409235</c:v>
                </c:pt>
                <c:pt idx="35">
                  <c:v>-0.30859542158727099</c:v>
                </c:pt>
                <c:pt idx="36">
                  <c:v>-0.27336891220729392</c:v>
                </c:pt>
                <c:pt idx="37">
                  <c:v>-0.24246411084647845</c:v>
                </c:pt>
                <c:pt idx="38">
                  <c:v>-0.21535358712703151</c:v>
                </c:pt>
                <c:pt idx="39">
                  <c:v>-0.19156244359250515</c:v>
                </c:pt>
                <c:pt idx="40">
                  <c:v>-0.17066883394989113</c:v>
                </c:pt>
                <c:pt idx="41">
                  <c:v>-0.1523014454730828</c:v>
                </c:pt>
                <c:pt idx="42">
                  <c:v>-0.1361354654876088</c:v>
                </c:pt>
                <c:pt idx="43">
                  <c:v>-0.12188793819387794</c:v>
                </c:pt>
                <c:pt idx="44">
                  <c:v>-0.10931303740334418</c:v>
                </c:pt>
                <c:pt idx="45">
                  <c:v>-9.8197545966558664E-2</c:v>
                </c:pt>
                <c:pt idx="46">
                  <c:v>-8.8356689331961627E-2</c:v>
                </c:pt>
                <c:pt idx="47">
                  <c:v>-7.9630384624489375E-2</c:v>
                </c:pt>
                <c:pt idx="48">
                  <c:v>-7.1879916361038187E-2</c:v>
                </c:pt>
                <c:pt idx="49">
                  <c:v>-6.4985021853212546E-2</c:v>
                </c:pt>
                <c:pt idx="50">
                  <c:v>-5.8841354919460076E-2</c:v>
                </c:pt>
                <c:pt idx="51">
                  <c:v>-5.3358290337807167E-2</c:v>
                </c:pt>
                <c:pt idx="52">
                  <c:v>-4.845703012420785E-2</c:v>
                </c:pt>
                <c:pt idx="53">
                  <c:v>-4.4068974102506243E-2</c:v>
                </c:pt>
                <c:pt idx="54">
                  <c:v>-4.0134320032590154E-2</c:v>
                </c:pt>
                <c:pt idx="55">
                  <c:v>-3.6600861989316925E-2</c:v>
                </c:pt>
                <c:pt idx="56">
                  <c:v>-3.3422959266285933E-2</c:v>
                </c:pt>
                <c:pt idx="57">
                  <c:v>-3.0560651548977514E-2</c:v>
                </c:pt>
                <c:pt idx="58">
                  <c:v>-2.7978899320825864E-2</c:v>
                </c:pt>
                <c:pt idx="59">
                  <c:v>-2.5646931370153205E-2</c:v>
                </c:pt>
                <c:pt idx="60">
                  <c:v>-2.3537683838107819E-2</c:v>
                </c:pt>
                <c:pt idx="61">
                  <c:v>-2.1627317496549201E-2</c:v>
                </c:pt>
                <c:pt idx="62">
                  <c:v>-1.9894801892879822E-2</c:v>
                </c:pt>
                <c:pt idx="63">
                  <c:v>-1.8321556675210939E-2</c:v>
                </c:pt>
                <c:pt idx="64">
                  <c:v>-1.6891141846980571E-2</c:v>
                </c:pt>
                <c:pt idx="65">
                  <c:v>-1.5588989925556676E-2</c:v>
                </c:pt>
                <c:pt idx="66">
                  <c:v>-1.4402174022751365E-2</c:v>
                </c:pt>
                <c:pt idx="67">
                  <c:v>-1.3319206752138659E-2</c:v>
                </c:pt>
                <c:pt idx="68">
                  <c:v>-1.2329865621286757E-2</c:v>
                </c:pt>
                <c:pt idx="69">
                  <c:v>-1.1425041206306464E-2</c:v>
                </c:pt>
                <c:pt idx="70">
                  <c:v>-1.0596604948619973E-2</c:v>
                </c:pt>
                <c:pt idx="71">
                  <c:v>-9.8372938742802649E-3</c:v>
                </c:pt>
                <c:pt idx="72">
                  <c:v>-9.1406099270863409E-3</c:v>
                </c:pt>
                <c:pt idx="73">
                  <c:v>-8.5007319388228225E-3</c:v>
                </c:pt>
                <c:pt idx="74">
                  <c:v>-7.9124385422638336E-3</c:v>
                </c:pt>
                <c:pt idx="75">
                  <c:v>-7.3710405727836171E-3</c:v>
                </c:pt>
                <c:pt idx="76">
                  <c:v>-6.8723217089858568E-3</c:v>
                </c:pt>
                <c:pt idx="77">
                  <c:v>-6.4124862771663144E-3</c:v>
                </c:pt>
                <c:pt idx="78">
                  <c:v>-5.9881132932722847E-3</c:v>
                </c:pt>
                <c:pt idx="79">
                  <c:v>-5.5961159432075776E-3</c:v>
                </c:pt>
                <c:pt idx="80">
                  <c:v>-5.2337058111368087E-3</c:v>
                </c:pt>
                <c:pt idx="81">
                  <c:v>-4.8983612586383308E-3</c:v>
                </c:pt>
                <c:pt idx="82">
                  <c:v>-4.5877994374799629E-3</c:v>
                </c:pt>
                <c:pt idx="83">
                  <c:v>-4.2999514874233697E-3</c:v>
                </c:pt>
                <c:pt idx="84">
                  <c:v>-4.0329405294721983E-3</c:v>
                </c:pt>
                <c:pt idx="85">
                  <c:v>-3.7850621157808008E-3</c:v>
                </c:pt>
                <c:pt idx="86">
                  <c:v>-3.5547668412325801E-3</c:v>
                </c:pt>
                <c:pt idx="87">
                  <c:v>-3.3406448594958198E-3</c:v>
                </c:pt>
                <c:pt idx="88">
                  <c:v>-3.1414120790325384E-3</c:v>
                </c:pt>
                <c:pt idx="89">
                  <c:v>-2.9558978428056129E-3</c:v>
                </c:pt>
                <c:pt idx="90">
                  <c:v>-2.7830339199241415E-3</c:v>
                </c:pt>
                <c:pt idx="91">
                  <c:v>-2.6218446587184382E-3</c:v>
                </c:pt>
                <c:pt idx="92">
                  <c:v>-2.4714381691961192E-3</c:v>
                </c:pt>
                <c:pt idx="93">
                  <c:v>-2.330998418886988E-3</c:v>
                </c:pt>
                <c:pt idx="94">
                  <c:v>-2.1997781400664362E-3</c:v>
                </c:pt>
                <c:pt idx="95">
                  <c:v>-2.0770924585383141E-3</c:v>
                </c:pt>
                <c:pt idx="96">
                  <c:v>-1.9623131648005897E-3</c:v>
                </c:pt>
                <c:pt idx="97">
                  <c:v>-1.8548635577186751E-3</c:v>
                </c:pt>
                <c:pt idx="98">
                  <c:v>-1.7542137989705866E-3</c:v>
                </c:pt>
                <c:pt idx="99">
                  <c:v>-1.6598767236587406E-3</c:v>
                </c:pt>
                <c:pt idx="100">
                  <c:v>-1.5714040587372102E-3</c:v>
                </c:pt>
                <c:pt idx="101">
                  <c:v>-1.4883830063950158E-3</c:v>
                </c:pt>
                <c:pt idx="102">
                  <c:v>-1.4104331543634517E-3</c:v>
                </c:pt>
                <c:pt idx="103">
                  <c:v>-1.3372036793639721E-3</c:v>
                </c:pt>
                <c:pt idx="104">
                  <c:v>-1.2683708136560783E-3</c:v>
                </c:pt>
                <c:pt idx="105">
                  <c:v>-1.2036355479457734E-3</c:v>
                </c:pt>
                <c:pt idx="106">
                  <c:v>-1.1427215468297726E-3</c:v>
                </c:pt>
                <c:pt idx="107">
                  <c:v>-1.0853732555265883E-3</c:v>
                </c:pt>
                <c:pt idx="108">
                  <c:v>-1.0313541789247541E-3</c:v>
                </c:pt>
                <c:pt idx="109">
                  <c:v>-9.8044531599689698E-4</c:v>
                </c:pt>
                <c:pt idx="110">
                  <c:v>-9.3244373441782693E-4</c:v>
                </c:pt>
                <c:pt idx="111">
                  <c:v>-8.8716127181280862E-4</c:v>
                </c:pt>
                <c:pt idx="112">
                  <c:v>-8.4442335147276405E-4</c:v>
                </c:pt>
                <c:pt idx="113">
                  <c:v>-8.0406790162735491E-4</c:v>
                </c:pt>
                <c:pt idx="114">
                  <c:v>-7.6594436848314185E-4</c:v>
                </c:pt>
                <c:pt idx="115">
                  <c:v>-7.2991281422833112E-4</c:v>
                </c:pt>
                <c:pt idx="116">
                  <c:v>-6.9584309209226244E-4</c:v>
                </c:pt>
                <c:pt idx="117">
                  <c:v>-6.6361409133900123E-4</c:v>
                </c:pt>
                <c:pt idx="118">
                  <c:v>-6.331130457811891E-4</c:v>
                </c:pt>
                <c:pt idx="119">
                  <c:v>-6.042349000321915E-4</c:v>
                </c:pt>
                <c:pt idx="120">
                  <c:v>-5.7688172827997973E-4</c:v>
                </c:pt>
                <c:pt idx="121">
                  <c:v>-5.5096220087258864E-4</c:v>
                </c:pt>
                <c:pt idx="122">
                  <c:v>-5.2639109445884241E-4</c:v>
                </c:pt>
                <c:pt idx="123">
                  <c:v>-5.0308884183523158E-4</c:v>
                </c:pt>
                <c:pt idx="124">
                  <c:v>-4.8098111801539022E-4</c:v>
                </c:pt>
                <c:pt idx="125">
                  <c:v>-4.5999845936708174E-4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Cys!$O$6</c:f>
              <c:strCache>
                <c:ptCount val="1"/>
                <c:pt idx="0">
                  <c:v>Asn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Cys!$O$7:$O$132</c:f>
              <c:numCache>
                <c:formatCode>0.00</c:formatCode>
                <c:ptCount val="126"/>
                <c:pt idx="0">
                  <c:v>1600401.107373694</c:v>
                </c:pt>
                <c:pt idx="1">
                  <c:v>509299.2189641752</c:v>
                </c:pt>
                <c:pt idx="2">
                  <c:v>178917.6826986832</c:v>
                </c:pt>
                <c:pt idx="3">
                  <c:v>68266.194124685717</c:v>
                </c:pt>
                <c:pt idx="4">
                  <c:v>27929.961261061006</c:v>
                </c:pt>
                <c:pt idx="5">
                  <c:v>12127.049974742187</c:v>
                </c:pt>
                <c:pt idx="6">
                  <c:v>5540.3277245312174</c:v>
                </c:pt>
                <c:pt idx="7">
                  <c:v>2643.849562588161</c:v>
                </c:pt>
                <c:pt idx="8">
                  <c:v>1309.3901033227112</c:v>
                </c:pt>
                <c:pt idx="9">
                  <c:v>669.09811711329451</c:v>
                </c:pt>
                <c:pt idx="10">
                  <c:v>350.81387173505522</c:v>
                </c:pt>
                <c:pt idx="11">
                  <c:v>187.66842785906425</c:v>
                </c:pt>
                <c:pt idx="12">
                  <c:v>101.81300858280922</c:v>
                </c:pt>
                <c:pt idx="13">
                  <c:v>55.619654754560244</c:v>
                </c:pt>
                <c:pt idx="14">
                  <c:v>30.315613150468824</c:v>
                </c:pt>
                <c:pt idx="15">
                  <c:v>16.265825786640516</c:v>
                </c:pt>
                <c:pt idx="16">
                  <c:v>8.3983445261282323</c:v>
                </c:pt>
                <c:pt idx="17">
                  <c:v>3.9824697617156688</c:v>
                </c:pt>
                <c:pt idx="18">
                  <c:v>1.5185043041084518</c:v>
                </c:pt>
                <c:pt idx="19">
                  <c:v>0.16843458554870852</c:v>
                </c:pt>
                <c:pt idx="20">
                  <c:v>-0.54297003875943328</c:v>
                </c:pt>
                <c:pt idx="21">
                  <c:v>-0.88848876683621147</c:v>
                </c:pt>
                <c:pt idx="22">
                  <c:v>-1.0261459654671341</c:v>
                </c:pt>
                <c:pt idx="23">
                  <c:v>-1.0480337952132335</c:v>
                </c:pt>
                <c:pt idx="24">
                  <c:v>-1.0079288443430645</c:v>
                </c:pt>
                <c:pt idx="25">
                  <c:v>-0.93713698239440291</c:v>
                </c:pt>
                <c:pt idx="26">
                  <c:v>-0.85369855085525148</c:v>
                </c:pt>
                <c:pt idx="27">
                  <c:v>-0.7677939984040778</c:v>
                </c:pt>
                <c:pt idx="28">
                  <c:v>-0.68494669057345159</c:v>
                </c:pt>
                <c:pt idx="29">
                  <c:v>-0.60793370126942414</c:v>
                </c:pt>
                <c:pt idx="30">
                  <c:v>-0.53793106443734495</c:v>
                </c:pt>
                <c:pt idx="31">
                  <c:v>-0.47520149637209724</c:v>
                </c:pt>
                <c:pt idx="32">
                  <c:v>-0.41950675037188156</c:v>
                </c:pt>
                <c:pt idx="33">
                  <c:v>-0.37035337725007328</c:v>
                </c:pt>
                <c:pt idx="34">
                  <c:v>-0.32713738731265413</c:v>
                </c:pt>
                <c:pt idx="35">
                  <c:v>-0.28922752720985584</c:v>
                </c:pt>
                <c:pt idx="36">
                  <c:v>-0.25601138502257459</c:v>
                </c:pt>
                <c:pt idx="37">
                  <c:v>-0.22691914322795775</c:v>
                </c:pt>
                <c:pt idx="38">
                  <c:v>-0.20143406674473788</c:v>
                </c:pt>
                <c:pt idx="39">
                  <c:v>-0.17909529516845937</c:v>
                </c:pt>
                <c:pt idx="40">
                  <c:v>-0.15949633987321629</c:v>
                </c:pt>
                <c:pt idx="41">
                  <c:v>-0.14228134643450774</c:v>
                </c:pt>
                <c:pt idx="42">
                  <c:v>-0.12714035375973612</c:v>
                </c:pt>
                <c:pt idx="43">
                  <c:v>-0.11380426917438911</c:v>
                </c:pt>
                <c:pt idx="44">
                  <c:v>-0.10203996373448812</c:v>
                </c:pt>
                <c:pt idx="45">
                  <c:v>-9.1645699938979946E-2</c:v>
                </c:pt>
                <c:pt idx="46">
                  <c:v>-8.2446988510016805E-2</c:v>
                </c:pt>
                <c:pt idx="47">
                  <c:v>-7.4292903040559993E-2</c:v>
                </c:pt>
                <c:pt idx="48">
                  <c:v>-6.7052842921113812E-2</c:v>
                </c:pt>
                <c:pt idx="49">
                  <c:v>-6.0613714652574868E-2</c:v>
                </c:pt>
                <c:pt idx="50">
                  <c:v>-5.4877492278981893E-2</c:v>
                </c:pt>
                <c:pt idx="51">
                  <c:v>-4.9759114757935478E-2</c:v>
                </c:pt>
                <c:pt idx="52">
                  <c:v>-4.518467884342256E-2</c:v>
                </c:pt>
                <c:pt idx="53">
                  <c:v>-4.1089888769303709E-2</c:v>
                </c:pt>
                <c:pt idx="54">
                  <c:v>-3.7418727649209955E-2</c:v>
                </c:pt>
                <c:pt idx="55">
                  <c:v>-3.412231943127083E-2</c:v>
                </c:pt>
                <c:pt idx="56">
                  <c:v>-3.1157954110169098E-2</c:v>
                </c:pt>
                <c:pt idx="57">
                  <c:v>-2.8488252514827686E-2</c:v>
                </c:pt>
                <c:pt idx="58">
                  <c:v>-2.6080450268002736E-2</c:v>
                </c:pt>
                <c:pt idx="59">
                  <c:v>-2.3905783424299894E-2</c:v>
                </c:pt>
                <c:pt idx="60">
                  <c:v>-2.1938960840025157E-2</c:v>
                </c:pt>
                <c:pt idx="61">
                  <c:v>-2.01577105346963E-2</c:v>
                </c:pt>
                <c:pt idx="62">
                  <c:v>-1.8542389201662283E-2</c:v>
                </c:pt>
                <c:pt idx="63">
                  <c:v>-1.70756456488175E-2</c:v>
                </c:pt>
                <c:pt idx="64">
                  <c:v>-1.5742130334263651E-2</c:v>
                </c:pt>
                <c:pt idx="65">
                  <c:v>-1.4528244338251624E-2</c:v>
                </c:pt>
                <c:pt idx="66">
                  <c:v>-1.3421922111125386E-2</c:v>
                </c:pt>
                <c:pt idx="67">
                  <c:v>-1.2412443183292786E-2</c:v>
                </c:pt>
                <c:pt idx="68">
                  <c:v>-1.1490268740184105E-2</c:v>
                </c:pt>
                <c:pt idx="69">
                  <c:v>-1.0646899572372427E-2</c:v>
                </c:pt>
                <c:pt idx="70">
                  <c:v>-9.8747524253632538E-3</c:v>
                </c:pt>
                <c:pt idx="71">
                  <c:v>-9.1670522093777289E-3</c:v>
                </c:pt>
                <c:pt idx="72">
                  <c:v>-8.5177378989477626E-3</c:v>
                </c:pt>
                <c:pt idx="73">
                  <c:v>-7.921380265634043E-3</c:v>
                </c:pt>
                <c:pt idx="74">
                  <c:v>-7.373109853386314E-3</c:v>
                </c:pt>
                <c:pt idx="75">
                  <c:v>-6.8685538323403359E-3</c:v>
                </c:pt>
                <c:pt idx="76">
                  <c:v>-6.403780559382421E-3</c:v>
                </c:pt>
                <c:pt idx="77">
                  <c:v>-5.9752508378237198E-3</c:v>
                </c:pt>
                <c:pt idx="78">
                  <c:v>-5.5797750084055249E-3</c:v>
                </c:pt>
                <c:pt idx="79">
                  <c:v>-5.2144751232993435E-3</c:v>
                </c:pt>
                <c:pt idx="80">
                  <c:v>-4.876751556886042E-3</c:v>
                </c:pt>
                <c:pt idx="81">
                  <c:v>-4.5642534945212303E-3</c:v>
                </c:pt>
                <c:pt idx="82">
                  <c:v>-4.2748528154315079E-3</c:v>
                </c:pt>
                <c:pt idx="83">
                  <c:v>-4.0066209502062581E-3</c:v>
                </c:pt>
                <c:pt idx="84">
                  <c:v>-3.7578083486292692E-3</c:v>
                </c:pt>
                <c:pt idx="85">
                  <c:v>-3.5268262411674439E-3</c:v>
                </c:pt>
                <c:pt idx="86">
                  <c:v>-3.3122304184287393E-3</c:v>
                </c:pt>
                <c:pt idx="87">
                  <c:v>-3.1127067882745973E-3</c:v>
                </c:pt>
                <c:pt idx="88">
                  <c:v>-2.9270585008346031E-3</c:v>
                </c:pt>
                <c:pt idx="89">
                  <c:v>-2.7541944581118984E-3</c:v>
                </c:pt>
                <c:pt idx="90">
                  <c:v>-2.5931190477722944E-3</c:v>
                </c:pt>
                <c:pt idx="91">
                  <c:v>-2.4429229605771319E-3</c:v>
                </c:pt>
                <c:pt idx="92">
                  <c:v>-2.3027749681740115E-3</c:v>
                </c:pt>
                <c:pt idx="93">
                  <c:v>-2.1719145529636844E-3</c:v>
                </c:pt>
                <c:pt idx="94">
                  <c:v>-2.049645294825098E-3</c:v>
                </c:pt>
                <c:pt idx="95">
                  <c:v>-1.9353289308690503E-3</c:v>
                </c:pt>
                <c:pt idx="96">
                  <c:v>-1.8283800143310423E-3</c:v>
                </c:pt>
                <c:pt idx="97">
                  <c:v>-1.7282611074004172E-3</c:v>
                </c:pt>
                <c:pt idx="98">
                  <c:v>-1.6344784503829434E-3</c:v>
                </c:pt>
                <c:pt idx="99">
                  <c:v>-1.5465780562514153E-3</c:v>
                </c:pt>
                <c:pt idx="100">
                  <c:v>-1.4641421854771138E-3</c:v>
                </c:pt>
                <c:pt idx="101">
                  <c:v>-1.3867861611611076E-3</c:v>
                </c:pt>
                <c:pt idx="102">
                  <c:v>-1.3141554889899384E-3</c:v>
                </c:pt>
                <c:pt idx="103">
                  <c:v>-1.2459232505051237E-3</c:v>
                </c:pt>
                <c:pt idx="104">
                  <c:v>-1.1817877416686494E-3</c:v>
                </c:pt>
                <c:pt idx="105">
                  <c:v>-1.121470331786811E-3</c:v>
                </c:pt>
                <c:pt idx="106">
                  <c:v>-1.06471352057412E-3</c:v>
                </c:pt>
                <c:pt idx="107">
                  <c:v>-1.0112791735422059E-3</c:v>
                </c:pt>
                <c:pt idx="108">
                  <c:v>-9.6094691802474862E-4</c:v>
                </c:pt>
                <c:pt idx="109">
                  <c:v>-9.1351268403234791E-4</c:v>
                </c:pt>
                <c:pt idx="110">
                  <c:v>-8.6878737580034352E-4</c:v>
                </c:pt>
                <c:pt idx="111">
                  <c:v>-8.2659566137373698E-4</c:v>
                </c:pt>
                <c:pt idx="112">
                  <c:v>-7.8677486888895261E-4</c:v>
                </c:pt>
                <c:pt idx="113">
                  <c:v>-7.4917397938184668E-4</c:v>
                </c:pt>
                <c:pt idx="114">
                  <c:v>-7.1365270699234634E-4</c:v>
                </c:pt>
                <c:pt idx="115">
                  <c:v>-6.8008065836331927E-4</c:v>
                </c:pt>
                <c:pt idx="116">
                  <c:v>-6.4833656385805292E-4</c:v>
                </c:pt>
                <c:pt idx="117">
                  <c:v>-6.1830757395847625E-4</c:v>
                </c:pt>
                <c:pt idx="118">
                  <c:v>-5.8988861486528889E-4</c:v>
                </c:pt>
                <c:pt idx="119">
                  <c:v>-5.6298179791029442E-4</c:v>
                </c:pt>
                <c:pt idx="120">
                  <c:v>-5.374958779184076E-4</c:v>
                </c:pt>
                <c:pt idx="121">
                  <c:v>-5.1334575612891394E-4</c:v>
                </c:pt>
                <c:pt idx="122">
                  <c:v>-4.9045202370868763E-4</c:v>
                </c:pt>
                <c:pt idx="123">
                  <c:v>-4.6874054226968916E-4</c:v>
                </c:pt>
                <c:pt idx="124">
                  <c:v>-4.4814205814383692E-4</c:v>
                </c:pt>
                <c:pt idx="125">
                  <c:v>-4.2859184747457216E-4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Cys!$P$6</c:f>
              <c:strCache>
                <c:ptCount val="1"/>
                <c:pt idx="0">
                  <c:v>Glu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Cys!$P$7:$P$132</c:f>
              <c:numCache>
                <c:formatCode>0.00</c:formatCode>
                <c:ptCount val="126"/>
                <c:pt idx="0">
                  <c:v>1923839.0241185341</c:v>
                </c:pt>
                <c:pt idx="1">
                  <c:v>612295.06215347548</c:v>
                </c:pt>
                <c:pt idx="2">
                  <c:v>215137.72670656143</c:v>
                </c:pt>
                <c:pt idx="3">
                  <c:v>82107.737884459406</c:v>
                </c:pt>
                <c:pt idx="4">
                  <c:v>33606.160807869528</c:v>
                </c:pt>
                <c:pt idx="5">
                  <c:v>14599.882311948582</c:v>
                </c:pt>
                <c:pt idx="6">
                  <c:v>6675.4007182288715</c:v>
                </c:pt>
                <c:pt idx="7">
                  <c:v>3189.0656858906941</c:v>
                </c:pt>
                <c:pt idx="8">
                  <c:v>1581.8472864326764</c:v>
                </c:pt>
                <c:pt idx="9">
                  <c:v>810.03127348015289</c:v>
                </c:pt>
                <c:pt idx="10">
                  <c:v>425.9339978362006</c:v>
                </c:pt>
                <c:pt idx="11">
                  <c:v>228.75856070225456</c:v>
                </c:pt>
                <c:pt idx="12">
                  <c:v>124.78852232576543</c:v>
                </c:pt>
                <c:pt idx="13">
                  <c:v>68.701720592243234</c:v>
                </c:pt>
                <c:pt idx="14">
                  <c:v>37.870979502098777</c:v>
                </c:pt>
                <c:pt idx="15">
                  <c:v>20.672674635491958</c:v>
                </c:pt>
                <c:pt idx="16">
                  <c:v>10.981199006938891</c:v>
                </c:pt>
                <c:pt idx="17">
                  <c:v>5.4939032868416904</c:v>
                </c:pt>
                <c:pt idx="18">
                  <c:v>2.3937446198331984</c:v>
                </c:pt>
                <c:pt idx="19">
                  <c:v>0.66310277566342202</c:v>
                </c:pt>
                <c:pt idx="20">
                  <c:v>-0.27674006605617918</c:v>
                </c:pt>
                <c:pt idx="21">
                  <c:v>-0.75915681182006567</c:v>
                </c:pt>
                <c:pt idx="22">
                  <c:v>-0.97816124973433582</c:v>
                </c:pt>
                <c:pt idx="23">
                  <c:v>-1.0474910061431126</c:v>
                </c:pt>
                <c:pt idx="24">
                  <c:v>-1.0340819168174058</c:v>
                </c:pt>
                <c:pt idx="25">
                  <c:v>-0.97731143821411948</c:v>
                </c:pt>
                <c:pt idx="26">
                  <c:v>-0.90020502012479942</c:v>
                </c:pt>
                <c:pt idx="27">
                  <c:v>-0.81603618060542493</c:v>
                </c:pt>
                <c:pt idx="28">
                  <c:v>-0.73225109695554225</c:v>
                </c:pt>
                <c:pt idx="29">
                  <c:v>-0.65282045968764801</c:v>
                </c:pt>
                <c:pt idx="30">
                  <c:v>-0.57965695617652357</c:v>
                </c:pt>
                <c:pt idx="31">
                  <c:v>-0.51347250734379879</c:v>
                </c:pt>
                <c:pt idx="32">
                  <c:v>-0.45429697926383522</c:v>
                </c:pt>
                <c:pt idx="33">
                  <c:v>-0.40179109357259557</c:v>
                </c:pt>
                <c:pt idx="34">
                  <c:v>-0.3554336901790271</c:v>
                </c:pt>
                <c:pt idx="35">
                  <c:v>-0.31463211656483253</c:v>
                </c:pt>
                <c:pt idx="36">
                  <c:v>-0.27878560962318311</c:v>
                </c:pt>
                <c:pt idx="37">
                  <c:v>-0.24732004552424541</c:v>
                </c:pt>
                <c:pt idx="38">
                  <c:v>-0.21970539847499918</c:v>
                </c:pt>
                <c:pt idx="39">
                  <c:v>-0.1954629153240994</c:v>
                </c:pt>
                <c:pt idx="40">
                  <c:v>-0.17416632927552575</c:v>
                </c:pt>
                <c:pt idx="41">
                  <c:v>-0.15543976793768927</c:v>
                </c:pt>
                <c:pt idx="42">
                  <c:v>-0.1389539719222779</c:v>
                </c:pt>
                <c:pt idx="43">
                  <c:v>-0.12442179282508603</c:v>
                </c:pt>
                <c:pt idx="44">
                  <c:v>-0.11159353688136942</c:v>
                </c:pt>
                <c:pt idx="45">
                  <c:v>-0.10025247156313027</c:v>
                </c:pt>
                <c:pt idx="46">
                  <c:v>-9.021065974946374E-2</c:v>
                </c:pt>
                <c:pt idx="47">
                  <c:v>-8.1305193963440742E-2</c:v>
                </c:pt>
                <c:pt idx="48">
                  <c:v>-7.3394848905202745E-2</c:v>
                </c:pt>
                <c:pt idx="49">
                  <c:v>-6.6357139827423389E-2</c:v>
                </c:pt>
                <c:pt idx="50">
                  <c:v>-6.008575815865435E-2</c:v>
                </c:pt>
                <c:pt idx="51">
                  <c:v>-5.4488348473371737E-2</c:v>
                </c:pt>
                <c:pt idx="52">
                  <c:v>-4.9484588839307529E-2</c:v>
                </c:pt>
                <c:pt idx="53">
                  <c:v>-4.5004537491554072E-2</c:v>
                </c:pt>
                <c:pt idx="54">
                  <c:v>-4.0987211292738759E-2</c:v>
                </c:pt>
                <c:pt idx="55">
                  <c:v>-3.7379364686319187E-2</c:v>
                </c:pt>
                <c:pt idx="56">
                  <c:v>-3.4134441326751502E-2</c:v>
                </c:pt>
                <c:pt idx="57">
                  <c:v>-3.1211673983458678E-2</c:v>
                </c:pt>
                <c:pt idx="58">
                  <c:v>-2.8575311507610713E-2</c:v>
                </c:pt>
                <c:pt idx="59">
                  <c:v>-2.6193954547057655E-2</c:v>
                </c:pt>
                <c:pt idx="60">
                  <c:v>-2.4039984270377977E-2</c:v>
                </c:pt>
                <c:pt idx="61">
                  <c:v>-2.2089070619764967E-2</c:v>
                </c:pt>
                <c:pt idx="62">
                  <c:v>-2.0319748573882454E-2</c:v>
                </c:pt>
                <c:pt idx="63">
                  <c:v>-1.8713052592957073E-2</c:v>
                </c:pt>
                <c:pt idx="64">
                  <c:v>-1.7252200869010116E-2</c:v>
                </c:pt>
                <c:pt idx="65">
                  <c:v>-1.592232224387766E-2</c:v>
                </c:pt>
                <c:pt idx="66">
                  <c:v>-1.4710219714413483E-2</c:v>
                </c:pt>
                <c:pt idx="67">
                  <c:v>-1.3604165343414796E-2</c:v>
                </c:pt>
                <c:pt idx="68">
                  <c:v>-1.2593722158976747E-2</c:v>
                </c:pt>
                <c:pt idx="69">
                  <c:v>-1.1669589274005427E-2</c:v>
                </c:pt>
                <c:pt idx="70">
                  <c:v>-1.0823467008707252E-2</c:v>
                </c:pt>
                <c:pt idx="71">
                  <c:v>-1.0047939266828461E-2</c:v>
                </c:pt>
                <c:pt idx="72">
                  <c:v>-9.3363708139069992E-3</c:v>
                </c:pt>
                <c:pt idx="73">
                  <c:v>-8.6828174436027819E-3</c:v>
                </c:pt>
                <c:pt idx="74">
                  <c:v>-8.0819473054497513E-3</c:v>
                </c:pt>
                <c:pt idx="75">
                  <c:v>-7.5289719118784779E-3</c:v>
                </c:pt>
                <c:pt idx="76">
                  <c:v>-7.0195855506519321E-3</c:v>
                </c:pt>
                <c:pt idx="77">
                  <c:v>-6.5499120064800645E-3</c:v>
                </c:pt>
                <c:pt idx="78">
                  <c:v>-6.116457647211174E-3</c:v>
                </c:pt>
                <c:pt idx="79">
                  <c:v>-5.7160700595888844E-3</c:v>
                </c:pt>
                <c:pt idx="80">
                  <c:v>-5.3459015304470683E-3</c:v>
                </c:pt>
                <c:pt idx="81">
                  <c:v>-5.0033767642075361E-3</c:v>
                </c:pt>
                <c:pt idx="82">
                  <c:v>-4.686164309023637E-3</c:v>
                </c:pt>
                <c:pt idx="83">
                  <c:v>-4.3921512338885478E-3</c:v>
                </c:pt>
                <c:pt idx="84">
                  <c:v>-4.1194206591997446E-3</c:v>
                </c:pt>
                <c:pt idx="85">
                  <c:v>-3.8662317950804519E-3</c:v>
                </c:pt>
                <c:pt idx="86">
                  <c:v>-3.63100218642464E-3</c:v>
                </c:pt>
                <c:pt idx="87">
                  <c:v>-3.412291902188746E-3</c:v>
                </c:pt>
                <c:pt idx="88">
                  <c:v>-3.2087894397789312E-3</c:v>
                </c:pt>
                <c:pt idx="89">
                  <c:v>-3.019299144224291E-3</c:v>
                </c:pt>
                <c:pt idx="90">
                  <c:v>-2.8427299668185389E-3</c:v>
                </c:pt>
                <c:pt idx="91">
                  <c:v>-2.6780854095972352E-3</c:v>
                </c:pt>
                <c:pt idx="92">
                  <c:v>-2.5244545208552233E-3</c:v>
                </c:pt>
                <c:pt idx="93">
                  <c:v>-2.3810038232944387E-3</c:v>
                </c:pt>
                <c:pt idx="94">
                  <c:v>-2.2469700706619833E-3</c:v>
                </c:pt>
                <c:pt idx="95">
                  <c:v>-2.1216537411809172E-3</c:v>
                </c:pt>
                <c:pt idx="96">
                  <c:v>-2.004413186938666E-3</c:v>
                </c:pt>
                <c:pt idx="97">
                  <c:v>-1.8946593678922064E-3</c:v>
                </c:pt>
                <c:pt idx="98">
                  <c:v>-1.7918511074574985E-3</c:v>
                </c:pt>
                <c:pt idx="99">
                  <c:v>-1.6954908139296028E-3</c:v>
                </c:pt>
                <c:pt idx="100">
                  <c:v>-1.6051206183642867E-3</c:v>
                </c:pt>
                <c:pt idx="101">
                  <c:v>-1.5203188851583382E-3</c:v>
                </c:pt>
                <c:pt idx="102">
                  <c:v>-1.4406970564941495E-3</c:v>
                </c:pt>
                <c:pt idx="103">
                  <c:v>-1.365896796151643E-3</c:v>
                </c:pt>
                <c:pt idx="104">
                  <c:v>-1.2955874020120007E-3</c:v>
                </c:pt>
                <c:pt idx="105">
                  <c:v>-1.2294634599481018E-3</c:v>
                </c:pt>
                <c:pt idx="106">
                  <c:v>-1.1672427147724415E-3</c:v>
                </c:pt>
                <c:pt idx="107">
                  <c:v>-1.108664136543478E-3</c:v>
                </c:pt>
                <c:pt idx="108">
                  <c:v>-1.0534861628584808E-3</c:v>
                </c:pt>
                <c:pt idx="109">
                  <c:v>-1.001485099821983E-3</c:v>
                </c:pt>
                <c:pt idx="110">
                  <c:v>-9.5245366620615363E-4</c:v>
                </c:pt>
                <c:pt idx="111">
                  <c:v>-9.0619966694096253E-4</c:v>
                </c:pt>
                <c:pt idx="112">
                  <c:v>-8.6254478351240527E-4</c:v>
                </c:pt>
                <c:pt idx="113">
                  <c:v>-8.213234701278004E-4</c:v>
                </c:pt>
                <c:pt idx="114">
                  <c:v>-7.823819456470462E-4</c:v>
                </c:pt>
                <c:pt idx="115">
                  <c:v>-7.4557727229411259E-4</c:v>
                </c:pt>
                <c:pt idx="116">
                  <c:v>-7.1077651306848178E-4</c:v>
                </c:pt>
                <c:pt idx="117">
                  <c:v>-6.7785596058424571E-4</c:v>
                </c:pt>
                <c:pt idx="118">
                  <c:v>-6.4670043078635748E-4</c:v>
                </c:pt>
                <c:pt idx="119">
                  <c:v>-6.1720261563884586E-4</c:v>
                </c:pt>
                <c:pt idx="120">
                  <c:v>-5.8926248945721023E-4</c:v>
                </c:pt>
                <c:pt idx="121">
                  <c:v>-5.6278676407437995E-4</c:v>
                </c:pt>
                <c:pt idx="122">
                  <c:v>-5.3768838849313028E-4</c:v>
                </c:pt>
                <c:pt idx="123">
                  <c:v>-5.1388608909370232E-4</c:v>
                </c:pt>
                <c:pt idx="124">
                  <c:v>-4.9130394683870912E-4</c:v>
                </c:pt>
                <c:pt idx="125">
                  <c:v>-4.6987100825288732E-4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Cys!$Q$6</c:f>
              <c:strCache>
                <c:ptCount val="1"/>
                <c:pt idx="0">
                  <c:v>Asp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Cys!$Q$7:$Q$132</c:f>
              <c:numCache>
                <c:formatCode>0.00</c:formatCode>
                <c:ptCount val="126"/>
                <c:pt idx="0">
                  <c:v>2036265.7087776335</c:v>
                </c:pt>
                <c:pt idx="1">
                  <c:v>648097.53937724268</c:v>
                </c:pt>
                <c:pt idx="2">
                  <c:v>227728.88986255179</c:v>
                </c:pt>
                <c:pt idx="3">
                  <c:v>86919.865192652433</c:v>
                </c:pt>
                <c:pt idx="4">
                  <c:v>35579.77758586</c:v>
                </c:pt>
                <c:pt idx="5">
                  <c:v>15459.836578739376</c:v>
                </c:pt>
                <c:pt idx="6">
                  <c:v>7070.231096030856</c:v>
                </c:pt>
                <c:pt idx="7">
                  <c:v>3378.7807540400327</c:v>
                </c:pt>
                <c:pt idx="8">
                  <c:v>1676.695764969392</c:v>
                </c:pt>
                <c:pt idx="9">
                  <c:v>859.12348375933618</c:v>
                </c:pt>
                <c:pt idx="10">
                  <c:v>452.12255868071838</c:v>
                </c:pt>
                <c:pt idx="11">
                  <c:v>243.09905058068978</c:v>
                </c:pt>
                <c:pt idx="12">
                  <c:v>132.81848548190428</c:v>
                </c:pt>
                <c:pt idx="13">
                  <c:v>73.282571205338471</c:v>
                </c:pt>
                <c:pt idx="14">
                  <c:v>40.523236756620015</c:v>
                </c:pt>
                <c:pt idx="15">
                  <c:v>22.224881157847154</c:v>
                </c:pt>
                <c:pt idx="16">
                  <c:v>11.895125297905979</c:v>
                </c:pt>
                <c:pt idx="17">
                  <c:v>6.0321449878918694</c:v>
                </c:pt>
                <c:pt idx="18">
                  <c:v>2.7083286347141353</c:v>
                </c:pt>
                <c:pt idx="19">
                  <c:v>0.84343831284227766</c:v>
                </c:pt>
                <c:pt idx="20">
                  <c:v>-0.1773514101446228</c:v>
                </c:pt>
                <c:pt idx="21">
                  <c:v>-0.70857529507432915</c:v>
                </c:pt>
                <c:pt idx="22">
                  <c:v>-0.95683083277813064</c:v>
                </c:pt>
                <c:pt idx="23">
                  <c:v>-1.0434348458696985</c:v>
                </c:pt>
                <c:pt idx="24">
                  <c:v>-1.0399390386616254</c:v>
                </c:pt>
                <c:pt idx="25">
                  <c:v>-0.98855831955792794</c:v>
                </c:pt>
                <c:pt idx="26">
                  <c:v>-0.91407534742759111</c:v>
                </c:pt>
                <c:pt idx="27">
                  <c:v>-0.83085764973197118</c:v>
                </c:pt>
                <c:pt idx="28">
                  <c:v>-0.74703446080100111</c:v>
                </c:pt>
                <c:pt idx="29">
                  <c:v>-0.66700288845668532</c:v>
                </c:pt>
                <c:pt idx="30">
                  <c:v>-0.59294076792085193</c:v>
                </c:pt>
                <c:pt idx="31">
                  <c:v>-0.52572337750775988</c:v>
                </c:pt>
                <c:pt idx="32">
                  <c:v>-0.46547953907429057</c:v>
                </c:pt>
                <c:pt idx="33">
                  <c:v>-0.41192818806529241</c:v>
                </c:pt>
                <c:pt idx="34">
                  <c:v>-0.36458068760879675</c:v>
                </c:pt>
                <c:pt idx="35">
                  <c:v>-0.32286082934664173</c:v>
                </c:pt>
                <c:pt idx="36">
                  <c:v>-0.28617436561123977</c:v>
                </c:pt>
                <c:pt idx="37">
                  <c:v>-0.25394769465808825</c:v>
                </c:pt>
                <c:pt idx="38">
                  <c:v>-0.22564783079151976</c:v>
                </c:pt>
                <c:pt idx="39">
                  <c:v>-0.20079117181487421</c:v>
                </c:pt>
                <c:pt idx="40">
                  <c:v>-0.17894571204498322</c:v>
                </c:pt>
                <c:pt idx="41">
                  <c:v>-0.15972956610821371</c:v>
                </c:pt>
                <c:pt idx="42">
                  <c:v>-0.14280755597443986</c:v>
                </c:pt>
                <c:pt idx="43">
                  <c:v>-0.12788691871465527</c:v>
                </c:pt>
                <c:pt idx="44">
                  <c:v>-0.11471275905628638</c:v>
                </c:pt>
                <c:pt idx="45">
                  <c:v>-0.10306360166718156</c:v>
                </c:pt>
                <c:pt idx="46">
                  <c:v>-9.2747232305332925E-2</c:v>
                </c:pt>
                <c:pt idx="47">
                  <c:v>-8.359691620560171E-2</c:v>
                </c:pt>
                <c:pt idx="48">
                  <c:v>-7.5468022144520905E-2</c:v>
                </c:pt>
                <c:pt idx="49">
                  <c:v>-6.8235046218818429E-2</c:v>
                </c:pt>
                <c:pt idx="50">
                  <c:v>-6.1789010791553522E-2</c:v>
                </c:pt>
                <c:pt idx="51">
                  <c:v>-5.6035205157630476E-2</c:v>
                </c:pt>
                <c:pt idx="52">
                  <c:v>-5.0891231375941967E-2</c:v>
                </c:pt>
                <c:pt idx="53">
                  <c:v>-4.6285318967818803E-2</c:v>
                </c:pt>
                <c:pt idx="54">
                  <c:v>-4.2154874269057771E-2</c:v>
                </c:pt>
                <c:pt idx="55">
                  <c:v>-3.8445233209220615E-2</c:v>
                </c:pt>
                <c:pt idx="56">
                  <c:v>-3.5108589612671035E-2</c:v>
                </c:pt>
                <c:pt idx="57">
                  <c:v>-3.2103074441554746E-2</c:v>
                </c:pt>
                <c:pt idx="58">
                  <c:v>-2.9391964549531534E-2</c:v>
                </c:pt>
                <c:pt idx="59">
                  <c:v>-2.6943002395592813E-2</c:v>
                </c:pt>
                <c:pt idx="60">
                  <c:v>-2.4727810744056722E-2</c:v>
                </c:pt>
                <c:pt idx="61">
                  <c:v>-2.2721388646617782E-2</c:v>
                </c:pt>
                <c:pt idx="62">
                  <c:v>-2.0901676980087932E-2</c:v>
                </c:pt>
                <c:pt idx="63">
                  <c:v>-1.924918352335226E-2</c:v>
                </c:pt>
                <c:pt idx="64">
                  <c:v>-1.7746659027030282E-2</c:v>
                </c:pt>
                <c:pt idx="65">
                  <c:v>-1.6378816987893004E-2</c:v>
                </c:pt>
                <c:pt idx="66">
                  <c:v>-1.5132090914503099E-2</c:v>
                </c:pt>
                <c:pt idx="67">
                  <c:v>-1.3994423785907895E-2</c:v>
                </c:pt>
                <c:pt idx="68">
                  <c:v>-1.2955085184017898E-2</c:v>
                </c:pt>
                <c:pt idx="69">
                  <c:v>-1.2004512242387987E-2</c:v>
                </c:pt>
                <c:pt idx="70">
                  <c:v>-1.1134171116758261E-2</c:v>
                </c:pt>
                <c:pt idx="71">
                  <c:v>-1.0336436160820374E-2</c:v>
                </c:pt>
                <c:pt idx="72">
                  <c:v>-9.6044843970440781E-3</c:v>
                </c:pt>
                <c:pt idx="73">
                  <c:v>-8.9322032179421171E-3</c:v>
                </c:pt>
                <c:pt idx="74">
                  <c:v>-8.3141095471563325E-3</c:v>
                </c:pt>
                <c:pt idx="75">
                  <c:v>-7.7452789400890391E-3</c:v>
                </c:pt>
                <c:pt idx="76">
                  <c:v>-7.2212833171534756E-3</c:v>
                </c:pt>
                <c:pt idx="77">
                  <c:v>-6.7381362047154473E-3</c:v>
                </c:pt>
                <c:pt idx="78">
                  <c:v>-6.2922445142154955E-3</c:v>
                </c:pt>
                <c:pt idx="79">
                  <c:v>-5.8803660228243073E-3</c:v>
                </c:pt>
                <c:pt idx="80">
                  <c:v>-5.4995718326975151E-3</c:v>
                </c:pt>
                <c:pt idx="81">
                  <c:v>-5.1472131833356022E-3</c:v>
                </c:pt>
                <c:pt idx="82">
                  <c:v>-4.8208920751499308E-3</c:v>
                </c:pt>
                <c:pt idx="83">
                  <c:v>-4.5184352341437299E-3</c:v>
                </c:pt>
                <c:pt idx="84">
                  <c:v>-4.2378710093759712E-3</c:v>
                </c:pt>
                <c:pt idx="85">
                  <c:v>-3.9774088480600042E-3</c:v>
                </c:pt>
                <c:pt idx="86">
                  <c:v>-3.735421039006607E-3</c:v>
                </c:pt>
                <c:pt idx="87">
                  <c:v>-3.5104264547119613E-3</c:v>
                </c:pt>
                <c:pt idx="88">
                  <c:v>-3.3010760566151271E-3</c:v>
                </c:pt>
                <c:pt idx="89">
                  <c:v>-3.1061399576719877E-3</c:v>
                </c:pt>
                <c:pt idx="90">
                  <c:v>-2.9244958620642755E-3</c:v>
                </c:pt>
                <c:pt idx="91">
                  <c:v>-2.7551187241384081E-3</c:v>
                </c:pt>
                <c:pt idx="92">
                  <c:v>-2.5970714880223528E-3</c:v>
                </c:pt>
                <c:pt idx="93">
                  <c:v>-2.4494967862042122E-3</c:v>
                </c:pt>
                <c:pt idx="94">
                  <c:v>-2.3116094900191334E-3</c:v>
                </c:pt>
                <c:pt idx="95">
                  <c:v>-2.1826900177772958E-3</c:v>
                </c:pt>
                <c:pt idx="96">
                  <c:v>-2.0620783174290728E-3</c:v>
                </c:pt>
                <c:pt idx="97">
                  <c:v>-1.9491684504211913E-3</c:v>
                </c:pt>
                <c:pt idx="98">
                  <c:v>-1.8434037119371156E-3</c:v>
                </c:pt>
                <c:pt idx="99">
                  <c:v>-1.7442722301967714E-3</c:v>
                </c:pt>
                <c:pt idx="100">
                  <c:v>-1.6513029940533215E-3</c:v>
                </c:pt>
                <c:pt idx="101">
                  <c:v>-1.5640622638879607E-3</c:v>
                </c:pt>
                <c:pt idx="102">
                  <c:v>-1.4821503258701291E-3</c:v>
                </c:pt>
                <c:pt idx="103">
                  <c:v>-1.4051985541097354E-3</c:v>
                </c:pt>
                <c:pt idx="104">
                  <c:v>-1.3328667491567673E-3</c:v>
                </c:pt>
                <c:pt idx="105">
                  <c:v>-1.2648407247689425E-3</c:v>
                </c:pt>
                <c:pt idx="106">
                  <c:v>-1.2008301179277394E-3</c:v>
                </c:pt>
                <c:pt idx="107">
                  <c:v>-1.1405663997875156E-3</c:v>
                </c:pt>
                <c:pt idx="108">
                  <c:v>-1.083801067635235E-3</c:v>
                </c:pt>
                <c:pt idx="109">
                  <c:v>-1.0303040000576248E-3</c:v>
                </c:pt>
                <c:pt idx="110">
                  <c:v>-9.7986195939147214E-4</c:v>
                </c:pt>
                <c:pt idx="111">
                  <c:v>-9.3227722720023434E-4</c:v>
                </c:pt>
                <c:pt idx="112">
                  <c:v>-8.8736636000137539E-4</c:v>
                </c:pt>
                <c:pt idx="113">
                  <c:v>-8.4495905378587728E-4</c:v>
                </c:pt>
                <c:pt idx="114">
                  <c:v>-8.0489710704362586E-4</c:v>
                </c:pt>
                <c:pt idx="115">
                  <c:v>-7.6703347305258427E-4</c:v>
                </c:pt>
                <c:pt idx="116">
                  <c:v>-7.312313931208391E-4</c:v>
                </c:pt>
                <c:pt idx="117">
                  <c:v>-6.97363603301581E-4</c:v>
                </c:pt>
                <c:pt idx="118">
                  <c:v>-6.6531160784340736E-4</c:v>
                </c:pt>
                <c:pt idx="119">
                  <c:v>-6.3496501330201024E-4</c:v>
                </c:pt>
                <c:pt idx="120">
                  <c:v>-6.0622091783318172E-4</c:v>
                </c:pt>
                <c:pt idx="121">
                  <c:v>-5.7898335071896346E-4</c:v>
                </c:pt>
                <c:pt idx="122">
                  <c:v>-5.5316275765549395E-4</c:v>
                </c:pt>
                <c:pt idx="123">
                  <c:v>-5.2867552775882659E-4</c:v>
                </c:pt>
                <c:pt idx="124">
                  <c:v>-5.0544355862897864E-4</c:v>
                </c:pt>
                <c:pt idx="125">
                  <c:v>-4.8339385615752209E-4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Cys!$R$6</c:f>
              <c:strCache>
                <c:ptCount val="1"/>
                <c:pt idx="0">
                  <c:v>His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Cys!$R$7:$R$132</c:f>
              <c:numCache>
                <c:formatCode>0.00</c:formatCode>
                <c:ptCount val="126"/>
                <c:pt idx="0">
                  <c:v>8233439.2068876363</c:v>
                </c:pt>
                <c:pt idx="1">
                  <c:v>2621981.2668373757</c:v>
                </c:pt>
                <c:pt idx="2">
                  <c:v>922124.69751938456</c:v>
                </c:pt>
                <c:pt idx="3">
                  <c:v>352429.28859451908</c:v>
                </c:pt>
                <c:pt idx="4">
                  <c:v>144548.64942878275</c:v>
                </c:pt>
                <c:pt idx="5">
                  <c:v>62986.865756433013</c:v>
                </c:pt>
                <c:pt idx="6">
                  <c:v>28921.320199389811</c:v>
                </c:pt>
                <c:pt idx="7">
                  <c:v>13898.078881867415</c:v>
                </c:pt>
                <c:pt idx="8">
                  <c:v>6949.3628485293675</c:v>
                </c:pt>
                <c:pt idx="9">
                  <c:v>3597.5761866231269</c:v>
                </c:pt>
                <c:pt idx="10">
                  <c:v>1919.6373297180066</c:v>
                </c:pt>
                <c:pt idx="11">
                  <c:v>1051.5190567893578</c:v>
                </c:pt>
                <c:pt idx="12">
                  <c:v>589.05873361068245</c:v>
                </c:pt>
                <c:pt idx="13">
                  <c:v>336.23591398605464</c:v>
                </c:pt>
                <c:pt idx="14">
                  <c:v>194.82664352541281</c:v>
                </c:pt>
                <c:pt idx="15">
                  <c:v>114.13769349057125</c:v>
                </c:pt>
                <c:pt idx="16">
                  <c:v>67.297072791419069</c:v>
                </c:pt>
                <c:pt idx="17">
                  <c:v>39.710123412808613</c:v>
                </c:pt>
                <c:pt idx="18">
                  <c:v>23.273565493818229</c:v>
                </c:pt>
                <c:pt idx="19">
                  <c:v>13.397421022140765</c:v>
                </c:pt>
                <c:pt idx="20">
                  <c:v>7.4343077716518611</c:v>
                </c:pt>
                <c:pt idx="21">
                  <c:v>3.8321982318256236</c:v>
                </c:pt>
                <c:pt idx="22">
                  <c:v>1.6678609481844691</c:v>
                </c:pt>
                <c:pt idx="23">
                  <c:v>0.38498581714877933</c:v>
                </c:pt>
                <c:pt idx="24">
                  <c:v>-0.35541378673308255</c:v>
                </c:pt>
                <c:pt idx="25">
                  <c:v>-0.76185792743615122</c:v>
                </c:pt>
                <c:pt idx="26">
                  <c:v>-0.96358837968886746</c:v>
                </c:pt>
                <c:pt idx="27">
                  <c:v>-1.0411525372156103</c:v>
                </c:pt>
                <c:pt idx="28">
                  <c:v>-1.0449073058112854</c:v>
                </c:pt>
                <c:pt idx="29">
                  <c:v>-1.006342746628597</c:v>
                </c:pt>
                <c:pt idx="30">
                  <c:v>-0.94508329490939036</c:v>
                </c:pt>
                <c:pt idx="31">
                  <c:v>-0.87325627871126144</c:v>
                </c:pt>
                <c:pt idx="32">
                  <c:v>-0.79823958140135953</c:v>
                </c:pt>
                <c:pt idx="33">
                  <c:v>-0.7244015676871941</c:v>
                </c:pt>
                <c:pt idx="34">
                  <c:v>-0.65420888907217434</c:v>
                </c:pt>
                <c:pt idx="35">
                  <c:v>-0.58893463141027547</c:v>
                </c:pt>
                <c:pt idx="36">
                  <c:v>-0.52911202383240696</c:v>
                </c:pt>
                <c:pt idx="37">
                  <c:v>-0.47482520690987501</c:v>
                </c:pt>
                <c:pt idx="38">
                  <c:v>-0.42589515859095245</c:v>
                </c:pt>
                <c:pt idx="39">
                  <c:v>-0.38199792553348944</c:v>
                </c:pt>
                <c:pt idx="40">
                  <c:v>-0.34273905653783404</c:v>
                </c:pt>
                <c:pt idx="41">
                  <c:v>-0.30769969036075917</c:v>
                </c:pt>
                <c:pt idx="42">
                  <c:v>-0.27646433174978519</c:v>
                </c:pt>
                <c:pt idx="43">
                  <c:v>-0.24863685129454513</c:v>
                </c:pt>
                <c:pt idx="44">
                  <c:v>-0.22384897392052344</c:v>
                </c:pt>
                <c:pt idx="45">
                  <c:v>-0.20176404003730122</c:v>
                </c:pt>
                <c:pt idx="46">
                  <c:v>-0.18207785405921523</c:v>
                </c:pt>
                <c:pt idx="47">
                  <c:v>-0.16451779877475928</c:v>
                </c:pt>
                <c:pt idx="48">
                  <c:v>-0.14884097570723612</c:v>
                </c:pt>
                <c:pt idx="49">
                  <c:v>-0.13483185644046097</c:v>
                </c:pt>
                <c:pt idx="50">
                  <c:v>-0.1222997490934802</c:v>
                </c:pt>
                <c:pt idx="51">
                  <c:v>-0.11107626571441112</c:v>
                </c:pt>
                <c:pt idx="52">
                  <c:v>-0.1010128992396982</c:v>
                </c:pt>
                <c:pt idx="53">
                  <c:v>-9.1978768885741746E-2</c:v>
                </c:pt>
                <c:pt idx="54">
                  <c:v>-8.3858561153192207E-2</c:v>
                </c:pt>
                <c:pt idx="55">
                  <c:v>-7.6550673877976622E-2</c:v>
                </c:pt>
                <c:pt idx="56">
                  <c:v>-6.9965558860100821E-2</c:v>
                </c:pt>
                <c:pt idx="57">
                  <c:v>-6.4024251811491087E-2</c:v>
                </c:pt>
                <c:pt idx="58">
                  <c:v>-5.8657074869831238E-2</c:v>
                </c:pt>
                <c:pt idx="59">
                  <c:v>-5.3802495518766764E-2</c:v>
                </c:pt>
                <c:pt idx="60">
                  <c:v>-4.9406125636668741E-2</c:v>
                </c:pt>
                <c:pt idx="61">
                  <c:v>-4.5419845040720525E-2</c:v>
                </c:pt>
                <c:pt idx="62">
                  <c:v>-4.1801034958019477E-2</c:v>
                </c:pt>
                <c:pt idx="63">
                  <c:v>-3.8511908120760524E-2</c:v>
                </c:pt>
                <c:pt idx="64">
                  <c:v>-3.5518923510111301E-2</c:v>
                </c:pt>
                <c:pt idx="65">
                  <c:v>-3.2792275078892839E-2</c:v>
                </c:pt>
                <c:pt idx="66">
                  <c:v>-3.0305445017998027E-2</c:v>
                </c:pt>
                <c:pt idx="67">
                  <c:v>-2.8034813270069892E-2</c:v>
                </c:pt>
                <c:pt idx="68">
                  <c:v>-2.595931602552419E-2</c:v>
                </c:pt>
                <c:pt idx="69">
                  <c:v>-2.4060146858928374E-2</c:v>
                </c:pt>
                <c:pt idx="70">
                  <c:v>-2.2320494981922477E-2</c:v>
                </c:pt>
                <c:pt idx="71">
                  <c:v>-2.0725315809234205E-2</c:v>
                </c:pt>
                <c:pt idx="72">
                  <c:v>-1.9261129665360453E-2</c:v>
                </c:pt>
                <c:pt idx="73">
                  <c:v>-1.7915845010118864E-2</c:v>
                </c:pt>
                <c:pt idx="74">
                  <c:v>-1.6678603040386309E-2</c:v>
                </c:pt>
                <c:pt idx="75">
                  <c:v>-1.5539640941342765E-2</c:v>
                </c:pt>
                <c:pt idx="76">
                  <c:v>-1.4490171421196749E-2</c:v>
                </c:pt>
                <c:pt idx="77">
                  <c:v>-1.3522276475715123E-2</c:v>
                </c:pt>
                <c:pt idx="78">
                  <c:v>-1.2628813599208602E-2</c:v>
                </c:pt>
                <c:pt idx="79">
                  <c:v>-1.1803332892501467E-2</c:v>
                </c:pt>
                <c:pt idx="80">
                  <c:v>-1.1040003720731618E-2</c:v>
                </c:pt>
                <c:pt idx="81">
                  <c:v>-1.0333549748863073E-2</c:v>
                </c:pt>
                <c:pt idx="82">
                  <c:v>-9.6791913342623975E-3</c:v>
                </c:pt>
                <c:pt idx="83">
                  <c:v>-9.0725943868227073E-3</c:v>
                </c:pt>
                <c:pt idx="84">
                  <c:v>-8.5098249207007735E-3</c:v>
                </c:pt>
                <c:pt idx="85">
                  <c:v>-7.9873086201752048E-3</c:v>
                </c:pt>
                <c:pt idx="86">
                  <c:v>-7.5017948275138274E-3</c:v>
                </c:pt>
                <c:pt idx="87">
                  <c:v>-7.0503244348448227E-3</c:v>
                </c:pt>
                <c:pt idx="88">
                  <c:v>-6.6302012264013053E-3</c:v>
                </c:pt>
                <c:pt idx="89">
                  <c:v>-6.2389662734778951E-3</c:v>
                </c:pt>
                <c:pt idx="90">
                  <c:v>-5.8743750331419408E-3</c:v>
                </c:pt>
                <c:pt idx="91">
                  <c:v>-5.5343768441640951E-3</c:v>
                </c:pt>
                <c:pt idx="92">
                  <c:v>-5.2170965506175239E-3</c:v>
                </c:pt>
                <c:pt idx="93">
                  <c:v>-4.92081801587108E-3</c:v>
                </c:pt>
                <c:pt idx="94">
                  <c:v>-4.643969317895986E-3</c:v>
                </c:pt>
                <c:pt idx="95">
                  <c:v>-4.3851094414586967E-3</c:v>
                </c:pt>
                <c:pt idx="96">
                  <c:v>-4.1429163043512369E-3</c:v>
                </c:pt>
                <c:pt idx="97">
                  <c:v>-3.9161759737164443E-3</c:v>
                </c:pt>
                <c:pt idx="98">
                  <c:v>-3.7037729451072162E-3</c:v>
                </c:pt>
                <c:pt idx="99">
                  <c:v>-3.5046813714764446E-3</c:v>
                </c:pt>
                <c:pt idx="100">
                  <c:v>-3.3179571420875547E-3</c:v>
                </c:pt>
                <c:pt idx="101">
                  <c:v>-3.1427307225900428E-3</c:v>
                </c:pt>
                <c:pt idx="102">
                  <c:v>-2.9782006774145267E-3</c:v>
                </c:pt>
                <c:pt idx="103">
                  <c:v>-2.8236278043773642E-3</c:v>
                </c:pt>
                <c:pt idx="104">
                  <c:v>-2.6783298190924502E-3</c:v>
                </c:pt>
                <c:pt idx="105">
                  <c:v>-2.5416765335949643E-3</c:v>
                </c:pt>
                <c:pt idx="106">
                  <c:v>-2.4130854795999259E-3</c:v>
                </c:pt>
                <c:pt idx="107">
                  <c:v>-2.2920179321436487E-3</c:v>
                </c:pt>
                <c:pt idx="108">
                  <c:v>-2.1779752940732666E-3</c:v>
                </c:pt>
                <c:pt idx="109">
                  <c:v>-2.0704958060314793E-3</c:v>
                </c:pt>
                <c:pt idx="110">
                  <c:v>-1.9691515502949885E-3</c:v>
                </c:pt>
                <c:pt idx="111">
                  <c:v>-1.8735457201216298E-3</c:v>
                </c:pt>
                <c:pt idx="112">
                  <c:v>-1.7833101291921236E-3</c:v>
                </c:pt>
                <c:pt idx="113">
                  <c:v>-1.6981029383404602E-3</c:v>
                </c:pt>
                <c:pt idx="114">
                  <c:v>-1.6176065790900042E-3</c:v>
                </c:pt>
                <c:pt idx="115">
                  <c:v>-1.5415258555832535E-3</c:v>
                </c:pt>
                <c:pt idx="116">
                  <c:v>-1.469586208341052E-3</c:v>
                </c:pt>
                <c:pt idx="117">
                  <c:v>-1.4015321249371143E-3</c:v>
                </c:pt>
                <c:pt idx="118">
                  <c:v>-1.3371256841486513E-3</c:v>
                </c:pt>
                <c:pt idx="119">
                  <c:v>-1.2761452214632358E-3</c:v>
                </c:pt>
                <c:pt idx="120">
                  <c:v>-1.2183841050032805E-3</c:v>
                </c:pt>
                <c:pt idx="121">
                  <c:v>-1.1636496119879702E-3</c:v>
                </c:pt>
                <c:pt idx="122">
                  <c:v>-1.1117618968016364E-3</c:v>
                </c:pt>
                <c:pt idx="123">
                  <c:v>-1.0625530425894818E-3</c:v>
                </c:pt>
                <c:pt idx="124">
                  <c:v>-1.015866189066756E-3</c:v>
                </c:pt>
                <c:pt idx="125">
                  <c:v>-9.7155472991528101E-4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Cys!$S$6</c:f>
              <c:strCache>
                <c:ptCount val="1"/>
                <c:pt idx="0">
                  <c:v>Arg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Cys!$S$7:$S$132</c:f>
              <c:numCache>
                <c:formatCode>0.00</c:formatCode>
                <c:ptCount val="126"/>
                <c:pt idx="0">
                  <c:v>2530055.6110529774</c:v>
                </c:pt>
                <c:pt idx="1">
                  <c:v>805351.77474381565</c:v>
                </c:pt>
                <c:pt idx="2">
                  <c:v>283036.01582059293</c:v>
                </c:pt>
                <c:pt idx="3">
                  <c:v>108059.22304868809</c:v>
                </c:pt>
                <c:pt idx="4">
                  <c:v>44250.905796014515</c:v>
                </c:pt>
                <c:pt idx="5">
                  <c:v>19238.789814698157</c:v>
                </c:pt>
                <c:pt idx="6">
                  <c:v>8805.7278826692491</c:v>
                </c:pt>
                <c:pt idx="7">
                  <c:v>4212.9929548628616</c:v>
                </c:pt>
                <c:pt idx="8">
                  <c:v>2093.9727003328449</c:v>
                </c:pt>
                <c:pt idx="9">
                  <c:v>1075.2464285147914</c:v>
                </c:pt>
                <c:pt idx="10">
                  <c:v>567.51866995408602</c:v>
                </c:pt>
                <c:pt idx="11">
                  <c:v>306.36359436147563</c:v>
                </c:pt>
                <c:pt idx="12">
                  <c:v>168.29904008163777</c:v>
                </c:pt>
                <c:pt idx="13">
                  <c:v>93.564941557098521</c:v>
                </c:pt>
                <c:pt idx="14">
                  <c:v>52.298527828704835</c:v>
                </c:pt>
                <c:pt idx="15">
                  <c:v>29.141309009138375</c:v>
                </c:pt>
                <c:pt idx="16">
                  <c:v>15.987473163203603</c:v>
                </c:pt>
                <c:pt idx="17">
                  <c:v>8.4586238338127622</c:v>
                </c:pt>
                <c:pt idx="18">
                  <c:v>4.1402592120924702</c:v>
                </c:pt>
                <c:pt idx="19">
                  <c:v>1.6762120664082041</c:v>
                </c:pt>
                <c:pt idx="20">
                  <c:v>0.29241043621409685</c:v>
                </c:pt>
                <c:pt idx="21">
                  <c:v>-0.4591087178783464</c:v>
                </c:pt>
                <c:pt idx="22">
                  <c:v>-0.84057014022657772</c:v>
                </c:pt>
                <c:pt idx="23">
                  <c:v>-1.0068474854271685</c:v>
                </c:pt>
                <c:pt idx="24">
                  <c:v>-1.0499683821354422</c:v>
                </c:pt>
                <c:pt idx="25">
                  <c:v>-1.0247643680436804</c:v>
                </c:pt>
                <c:pt idx="26">
                  <c:v>-0.96385433908798579</c:v>
                </c:pt>
                <c:pt idx="27">
                  <c:v>-0.88650238005601278</c:v>
                </c:pt>
                <c:pt idx="28">
                  <c:v>-0.80390908571801734</c:v>
                </c:pt>
                <c:pt idx="29">
                  <c:v>-0.72240033788034719</c:v>
                </c:pt>
                <c:pt idx="30">
                  <c:v>-0.64536264054862491</c:v>
                </c:pt>
                <c:pt idx="31">
                  <c:v>-0.57442377240988551</c:v>
                </c:pt>
                <c:pt idx="32">
                  <c:v>-0.51017513816572224</c:v>
                </c:pt>
                <c:pt idx="33">
                  <c:v>-0.45261379968679571</c:v>
                </c:pt>
                <c:pt idx="34">
                  <c:v>-0.40141207887345093</c:v>
                </c:pt>
                <c:pt idx="35">
                  <c:v>-0.35608068234104973</c:v>
                </c:pt>
                <c:pt idx="36">
                  <c:v>-0.31606595013417788</c:v>
                </c:pt>
                <c:pt idx="37">
                  <c:v>-0.28080637329561203</c:v>
                </c:pt>
                <c:pt idx="38">
                  <c:v>-0.2497640230300156</c:v>
                </c:pt>
                <c:pt idx="39">
                  <c:v>-0.22244065162848242</c:v>
                </c:pt>
                <c:pt idx="40">
                  <c:v>-0.19838456152623213</c:v>
                </c:pt>
                <c:pt idx="41">
                  <c:v>-0.17719204577900377</c:v>
                </c:pt>
                <c:pt idx="42">
                  <c:v>-0.15850576282410087</c:v>
                </c:pt>
                <c:pt idx="43">
                  <c:v>-0.14201150160108358</c:v>
                </c:pt>
                <c:pt idx="44">
                  <c:v>-0.12743422198924489</c:v>
                </c:pt>
                <c:pt idx="45">
                  <c:v>-0.11453389641512618</c:v>
                </c:pt>
                <c:pt idx="46">
                  <c:v>-0.10310145368083892</c:v>
                </c:pt>
                <c:pt idx="47">
                  <c:v>-9.2954986469577602E-2</c:v>
                </c:pt>
                <c:pt idx="48">
                  <c:v>-8.3936298449439228E-2</c:v>
                </c:pt>
                <c:pt idx="49">
                  <c:v>-7.5907815589452504E-2</c:v>
                </c:pt>
                <c:pt idx="50">
                  <c:v>-6.8749856567564063E-2</c:v>
                </c:pt>
                <c:pt idx="51">
                  <c:v>-6.2358240904838921E-2</c:v>
                </c:pt>
                <c:pt idx="52">
                  <c:v>-5.6642205540907528E-2</c:v>
                </c:pt>
                <c:pt idx="53">
                  <c:v>-5.1522597683725004E-2</c:v>
                </c:pt>
                <c:pt idx="54">
                  <c:v>-4.6930311836287736E-2</c:v>
                </c:pt>
                <c:pt idx="55">
                  <c:v>-4.2804940611823349E-2</c:v>
                </c:pt>
                <c:pt idx="56">
                  <c:v>-3.9093611481610023E-2</c:v>
                </c:pt>
                <c:pt idx="57">
                  <c:v>-3.574998445877952E-2</c:v>
                </c:pt>
                <c:pt idx="58">
                  <c:v>-3.2733388612923818E-2</c:v>
                </c:pt>
                <c:pt idx="59">
                  <c:v>-3.0008078068221363E-2</c:v>
                </c:pt>
                <c:pt idx="60">
                  <c:v>-2.7542590676575666E-2</c:v>
                </c:pt>
                <c:pt idx="61">
                  <c:v>-2.5309194840683842E-2</c:v>
                </c:pt>
                <c:pt idx="62">
                  <c:v>-2.3283411983256778E-2</c:v>
                </c:pt>
                <c:pt idx="63">
                  <c:v>-2.144360392782782E-2</c:v>
                </c:pt>
                <c:pt idx="64">
                  <c:v>-1.97706159926383E-2</c:v>
                </c:pt>
                <c:pt idx="65">
                  <c:v>-1.8247467924851411E-2</c:v>
                </c:pt>
                <c:pt idx="66">
                  <c:v>-1.6859085941702819E-2</c:v>
                </c:pt>
                <c:pt idx="67">
                  <c:v>-1.5592070121331356E-2</c:v>
                </c:pt>
                <c:pt idx="68">
                  <c:v>-1.4434492220494458E-2</c:v>
                </c:pt>
                <c:pt idx="69">
                  <c:v>-1.3375719708666108E-2</c:v>
                </c:pt>
                <c:pt idx="70">
                  <c:v>-1.2406262415452509E-2</c:v>
                </c:pt>
                <c:pt idx="71">
                  <c:v>-1.1517638706016858E-2</c:v>
                </c:pt>
                <c:pt idx="72">
                  <c:v>-1.0702258540450765E-2</c:v>
                </c:pt>
                <c:pt idx="73">
                  <c:v>-9.9533211491147286E-3</c:v>
                </c:pt>
                <c:pt idx="74">
                  <c:v>-9.2647253766284608E-3</c:v>
                </c:pt>
                <c:pt idx="75">
                  <c:v>-8.6309910207339087E-3</c:v>
                </c:pt>
                <c:pt idx="76">
                  <c:v>-8.0471897257620786E-3</c:v>
                </c:pt>
                <c:pt idx="77">
                  <c:v>-7.5088841899236085E-3</c:v>
                </c:pt>
                <c:pt idx="78">
                  <c:v>-7.0120746162231559E-3</c:v>
                </c:pt>
                <c:pt idx="79">
                  <c:v>-6.5531514827980994E-3</c:v>
                </c:pt>
                <c:pt idx="80">
                  <c:v>-6.1288538335744075E-3</c:v>
                </c:pt>
                <c:pt idx="81">
                  <c:v>-5.736232397427648E-3</c:v>
                </c:pt>
                <c:pt idx="82">
                  <c:v>-5.3726169361697652E-3</c:v>
                </c:pt>
                <c:pt idx="83">
                  <c:v>-5.0355873008876935E-3</c:v>
                </c:pt>
                <c:pt idx="84">
                  <c:v>-4.7229477443317836E-3</c:v>
                </c:pt>
                <c:pt idx="85">
                  <c:v>-4.4327040957980726E-3</c:v>
                </c:pt>
                <c:pt idx="86">
                  <c:v>-4.1630434556334528E-3</c:v>
                </c:pt>
                <c:pt idx="87">
                  <c:v>-3.9123161102760278E-3</c:v>
                </c:pt>
                <c:pt idx="88">
                  <c:v>-3.6790194066108417E-3</c:v>
                </c:pt>
                <c:pt idx="89">
                  <c:v>-3.4617833572131817E-3</c:v>
                </c:pt>
                <c:pt idx="90">
                  <c:v>-3.2593577764826352E-3</c:v>
                </c:pt>
                <c:pt idx="91">
                  <c:v>-3.0706007723518658E-3</c:v>
                </c:pt>
                <c:pt idx="92">
                  <c:v>-2.8944684397044741E-3</c:v>
                </c:pt>
                <c:pt idx="93">
                  <c:v>-2.7300056203027295E-3</c:v>
                </c:pt>
                <c:pt idx="94">
                  <c:v>-2.5763376102884792E-3</c:v>
                </c:pt>
                <c:pt idx="95">
                  <c:v>-2.4326627105060181E-3</c:v>
                </c:pt>
                <c:pt idx="96">
                  <c:v>-2.2982455272840996E-3</c:v>
                </c:pt>
                <c:pt idx="97">
                  <c:v>-2.1724109421455912E-3</c:v>
                </c:pt>
                <c:pt idx="98">
                  <c:v>-2.0545386783945908E-3</c:v>
                </c:pt>
                <c:pt idx="99">
                  <c:v>-1.9440584008397017E-3</c:v>
                </c:pt>
                <c:pt idx="100">
                  <c:v>-1.8404452922017765E-3</c:v>
                </c:pt>
                <c:pt idx="101">
                  <c:v>-1.7432160561573189E-3</c:v>
                </c:pt>
                <c:pt idx="102">
                  <c:v>-1.6519253025985047E-3</c:v>
                </c:pt>
                <c:pt idx="103">
                  <c:v>-1.5661622756466436E-3</c:v>
                </c:pt>
                <c:pt idx="104">
                  <c:v>-1.4855478893229543E-3</c:v>
                </c:pt>
                <c:pt idx="105">
                  <c:v>-1.409732039632913E-3</c:v>
                </c:pt>
                <c:pt idx="106">
                  <c:v>-1.3383911652224557E-3</c:v>
                </c:pt>
                <c:pt idx="107">
                  <c:v>-1.2712260317715787E-3</c:v>
                </c:pt>
                <c:pt idx="108">
                  <c:v>-1.2079597179520791E-3</c:v>
                </c:pt>
                <c:pt idx="109">
                  <c:v>-1.1483357831334109E-3</c:v>
                </c:pt>
                <c:pt idx="110">
                  <c:v>-1.0921165991107202E-3</c:v>
                </c:pt>
                <c:pt idx="111">
                  <c:v>-1.0390818299841856E-3</c:v>
                </c:pt>
                <c:pt idx="112">
                  <c:v>-9.8902704596683447E-4</c:v>
                </c:pt>
                <c:pt idx="113">
                  <c:v>-9.4176245836350488E-4</c:v>
                </c:pt>
                <c:pt idx="114">
                  <c:v>-8.9711176426810054E-4</c:v>
                </c:pt>
                <c:pt idx="115">
                  <c:v>-8.5491109068839308E-4</c:v>
                </c:pt>
                <c:pt idx="116">
                  <c:v>-8.1500802884399988E-4</c:v>
                </c:pt>
                <c:pt idx="117">
                  <c:v>-7.7726075030808747E-4</c:v>
                </c:pt>
                <c:pt idx="118">
                  <c:v>-7.4153719748966363E-4</c:v>
                </c:pt>
                <c:pt idx="119">
                  <c:v>-7.0771434169211343E-4</c:v>
                </c:pt>
                <c:pt idx="120">
                  <c:v>-6.7567750264477928E-4</c:v>
                </c:pt>
                <c:pt idx="121">
                  <c:v>-6.4531972399655161E-4</c:v>
                </c:pt>
                <c:pt idx="122">
                  <c:v>-6.1654119979122357E-4</c:v>
                </c:pt>
                <c:pt idx="123">
                  <c:v>-5.8924874742059764E-4</c:v>
                </c:pt>
                <c:pt idx="124">
                  <c:v>-5.6335532297890445E-4</c:v>
                </c:pt>
                <c:pt idx="125">
                  <c:v>-5.387795753263215E-4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Cys!$T$6</c:f>
              <c:strCache>
                <c:ptCount val="1"/>
                <c:pt idx="0">
                  <c:v>Lys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Cys!$T$7:$T$132</c:f>
              <c:numCache>
                <c:formatCode>0.00</c:formatCode>
                <c:ptCount val="126"/>
                <c:pt idx="0">
                  <c:v>1462015.9414268248</c:v>
                </c:pt>
                <c:pt idx="1">
                  <c:v>465233.62004629418</c:v>
                </c:pt>
                <c:pt idx="2">
                  <c:v>163422.39704768872</c:v>
                </c:pt>
                <c:pt idx="3">
                  <c:v>62345.256039146479</c:v>
                </c:pt>
                <c:pt idx="4">
                  <c:v>25502.245219386139</c:v>
                </c:pt>
                <c:pt idx="5">
                  <c:v>11069.647145397012</c:v>
                </c:pt>
                <c:pt idx="6">
                  <c:v>5055.1097823310365</c:v>
                </c:pt>
                <c:pt idx="7">
                  <c:v>2410.8803711665755</c:v>
                </c:pt>
                <c:pt idx="8">
                  <c:v>1193.0367994964115</c:v>
                </c:pt>
                <c:pt idx="9">
                  <c:v>608.95883263091866</c:v>
                </c:pt>
                <c:pt idx="10">
                  <c:v>318.79145557961891</c:v>
                </c:pt>
                <c:pt idx="11">
                  <c:v>170.17632603810333</c:v>
                </c:pt>
                <c:pt idx="12">
                  <c:v>92.049987231165247</c:v>
                </c:pt>
                <c:pt idx="13">
                  <c:v>50.073986502048626</c:v>
                </c:pt>
                <c:pt idx="14">
                  <c:v>27.123017848546969</c:v>
                </c:pt>
                <c:pt idx="15">
                  <c:v>14.411687218710714</c:v>
                </c:pt>
                <c:pt idx="16">
                  <c:v>7.3180597889098644</c:v>
                </c:pt>
                <c:pt idx="17">
                  <c:v>3.3555861000248068</c:v>
                </c:pt>
                <c:pt idx="18">
                  <c:v>1.1599480534828031</c:v>
                </c:pt>
                <c:pt idx="19">
                  <c:v>-3.0308973674500209E-2</c:v>
                </c:pt>
                <c:pt idx="20">
                  <c:v>-0.64634644755588988</c:v>
                </c:pt>
                <c:pt idx="21">
                  <c:v>-0.93517123408249159</c:v>
                </c:pt>
                <c:pt idx="22">
                  <c:v>-1.0395229132092878</c:v>
                </c:pt>
                <c:pt idx="23">
                  <c:v>-1.0423174692784427</c:v>
                </c:pt>
                <c:pt idx="24">
                  <c:v>-0.99176539606890191</c:v>
                </c:pt>
                <c:pt idx="25">
                  <c:v>-0.91576795399781574</c:v>
                </c:pt>
                <c:pt idx="26">
                  <c:v>-0.83027008628636256</c:v>
                </c:pt>
                <c:pt idx="27">
                  <c:v>-0.74415786140627516</c:v>
                </c:pt>
                <c:pt idx="28">
                  <c:v>-0.66215455055827155</c:v>
                </c:pt>
                <c:pt idx="29">
                  <c:v>-0.58654424534215466</c:v>
                </c:pt>
                <c:pt idx="30">
                  <c:v>-0.51820177541965073</c:v>
                </c:pt>
                <c:pt idx="31">
                  <c:v>-0.45720875807966505</c:v>
                </c:pt>
                <c:pt idx="32">
                  <c:v>-0.40322109221842184</c:v>
                </c:pt>
                <c:pt idx="33">
                  <c:v>-0.35568647803231845</c:v>
                </c:pt>
                <c:pt idx="34">
                  <c:v>-0.31397122636660096</c:v>
                </c:pt>
                <c:pt idx="35">
                  <c:v>-0.27743222335924728</c:v>
                </c:pt>
                <c:pt idx="36">
                  <c:v>-0.24545586650593643</c:v>
                </c:pt>
                <c:pt idx="37">
                  <c:v>-0.21747728610854822</c:v>
                </c:pt>
                <c:pt idx="38">
                  <c:v>-0.19298798674672329</c:v>
                </c:pt>
                <c:pt idx="39">
                  <c:v>-0.17153687144200283</c:v>
                </c:pt>
                <c:pt idx="40">
                  <c:v>-0.1527276610478249</c:v>
                </c:pt>
                <c:pt idx="41">
                  <c:v>-0.13621451983900373</c:v>
                </c:pt>
                <c:pt idx="42">
                  <c:v>-0.12169695784485413</c:v>
                </c:pt>
                <c:pt idx="43">
                  <c:v>-0.1089146253073547</c:v>
                </c:pt>
                <c:pt idx="44">
                  <c:v>-9.7642336462721968E-2</c:v>
                </c:pt>
                <c:pt idx="45">
                  <c:v>-8.7685491597800036E-2</c:v>
                </c:pt>
                <c:pt idx="46">
                  <c:v>-7.8875966327276906E-2</c:v>
                </c:pt>
                <c:pt idx="47">
                  <c:v>-7.1068479257329911E-2</c:v>
                </c:pt>
                <c:pt idx="48">
                  <c:v>-6.4137417378988495E-2</c:v>
                </c:pt>
                <c:pt idx="49">
                  <c:v>-5.797408249449329E-2</c:v>
                </c:pt>
                <c:pt idx="50">
                  <c:v>-5.2484315365713172E-2</c:v>
                </c:pt>
                <c:pt idx="51">
                  <c:v>-4.7586453129765241E-2</c:v>
                </c:pt>
                <c:pt idx="52">
                  <c:v>-4.3209577409296193E-2</c:v>
                </c:pt>
                <c:pt idx="53">
                  <c:v>-3.9292013960615907E-2</c:v>
                </c:pt>
                <c:pt idx="54">
                  <c:v>-3.5780048756720251E-2</c:v>
                </c:pt>
                <c:pt idx="55">
                  <c:v>-3.2626829572572083E-2</c:v>
                </c:pt>
                <c:pt idx="56">
                  <c:v>-2.9791426137094276E-2</c:v>
                </c:pt>
                <c:pt idx="57">
                  <c:v>-2.7238025592691065E-2</c:v>
                </c:pt>
                <c:pt idx="58">
                  <c:v>-2.4935243296864348E-2</c:v>
                </c:pt>
                <c:pt idx="59">
                  <c:v>-2.2855531899822062E-2</c:v>
                </c:pt>
                <c:pt idx="60">
                  <c:v>-2.0974674152964563E-2</c:v>
                </c:pt>
                <c:pt idx="61">
                  <c:v>-1.9271347076128147E-2</c:v>
                </c:pt>
                <c:pt idx="62">
                  <c:v>-1.7726746972838131E-2</c:v>
                </c:pt>
                <c:pt idx="63">
                  <c:v>-1.6324266370143697E-2</c:v>
                </c:pt>
                <c:pt idx="64">
                  <c:v>-1.504921530894064E-2</c:v>
                </c:pt>
                <c:pt idx="65">
                  <c:v>-1.3888580555210406E-2</c:v>
                </c:pt>
                <c:pt idx="66">
                  <c:v>-1.2830817272008242E-2</c:v>
                </c:pt>
                <c:pt idx="67">
                  <c:v>-1.1865668512415401E-2</c:v>
                </c:pt>
                <c:pt idx="68">
                  <c:v>-1.0984008587663607E-2</c:v>
                </c:pt>
                <c:pt idx="69">
                  <c:v>-1.0177706951697047E-2</c:v>
                </c:pt>
                <c:pt idx="70">
                  <c:v>-9.4395097401633477E-3</c:v>
                </c:pt>
                <c:pt idx="71">
                  <c:v>-8.7629365223229616E-3</c:v>
                </c:pt>
                <c:pt idx="72">
                  <c:v>-8.1421901805762299E-3</c:v>
                </c:pt>
                <c:pt idx="73">
                  <c:v>-7.5720781343035929E-3</c:v>
                </c:pt>
                <c:pt idx="74">
                  <c:v>-7.0479433809919282E-3</c:v>
                </c:pt>
                <c:pt idx="75">
                  <c:v>-6.5656040453247102E-3</c:v>
                </c:pt>
                <c:pt idx="76">
                  <c:v>-6.1213003120593858E-3</c:v>
                </c:pt>
                <c:pt idx="77">
                  <c:v>-5.7116477761557684E-3</c:v>
                </c:pt>
                <c:pt idx="78">
                  <c:v>-5.3335963780068675E-3</c:v>
                </c:pt>
                <c:pt idx="79">
                  <c:v>-4.9843942063321021E-3</c:v>
                </c:pt>
                <c:pt idx="80">
                  <c:v>-4.6615555493314201E-3</c:v>
                </c:pt>
                <c:pt idx="81">
                  <c:v>-4.3628326586001515E-3</c:v>
                </c:pt>
                <c:pt idx="82">
                  <c:v>-4.0861907622022665E-3</c:v>
                </c:pt>
                <c:pt idx="83">
                  <c:v>-3.829785924994244E-3</c:v>
                </c:pt>
                <c:pt idx="84">
                  <c:v>-3.5919454073020381E-3</c:v>
                </c:pt>
                <c:pt idx="85">
                  <c:v>-3.3711502186632553E-3</c:v>
                </c:pt>
                <c:pt idx="86">
                  <c:v>-3.1660196026417568E-3</c:v>
                </c:pt>
                <c:pt idx="87">
                  <c:v>-2.9752972226218741E-3</c:v>
                </c:pt>
                <c:pt idx="88">
                  <c:v>-2.7978388477739443E-3</c:v>
                </c:pt>
                <c:pt idx="89">
                  <c:v>-2.6326013637141513E-3</c:v>
                </c:pt>
                <c:pt idx="90">
                  <c:v>-2.4786329543215269E-3</c:v>
                </c:pt>
                <c:pt idx="91">
                  <c:v>-2.3350643202030203E-3</c:v>
                </c:pt>
                <c:pt idx="92">
                  <c:v>-2.2011008158206585E-3</c:v>
                </c:pt>
                <c:pt idx="93">
                  <c:v>-2.076015401661818E-3</c:v>
                </c:pt>
                <c:pt idx="94">
                  <c:v>-1.9591423203411218E-3</c:v>
                </c:pt>
                <c:pt idx="95">
                  <c:v>-1.8498714164249584E-3</c:v>
                </c:pt>
                <c:pt idx="96">
                  <c:v>-1.7476430292847325E-3</c:v>
                </c:pt>
                <c:pt idx="97">
                  <c:v>-1.6519433965992935E-3</c:v>
                </c:pt>
                <c:pt idx="98">
                  <c:v>-1.5623005134008338E-3</c:v>
                </c:pt>
                <c:pt idx="99">
                  <c:v>-1.4782803979297597E-3</c:v>
                </c:pt>
                <c:pt idx="100">
                  <c:v>-1.3994837211508896E-3</c:v>
                </c:pt>
                <c:pt idx="101">
                  <c:v>-1.3255427616884357E-3</c:v>
                </c:pt>
                <c:pt idx="102">
                  <c:v>-1.2561186522482099E-3</c:v>
                </c:pt>
                <c:pt idx="103">
                  <c:v>-1.1908988873889719E-3</c:v>
                </c:pt>
                <c:pt idx="104">
                  <c:v>-1.1295950658463648E-3</c:v>
                </c:pt>
                <c:pt idx="105">
                  <c:v>-1.0719408435596075E-3</c:v>
                </c:pt>
                <c:pt idx="106">
                  <c:v>-1.0176900761524874E-3</c:v>
                </c:pt>
                <c:pt idx="107">
                  <c:v>-9.6661513191906279E-4</c:v>
                </c:pt>
                <c:pt idx="108">
                  <c:v>-9.1850535839817899E-4</c:v>
                </c:pt>
                <c:pt idx="109">
                  <c:v>-8.7316568742187807E-4</c:v>
                </c:pt>
                <c:pt idx="110">
                  <c:v>-8.3041536511921279E-4</c:v>
                </c:pt>
                <c:pt idx="111">
                  <c:v>-7.9008679477359867E-4</c:v>
                </c:pt>
                <c:pt idx="112">
                  <c:v>-7.520244816900507E-4</c:v>
                </c:pt>
                <c:pt idx="113">
                  <c:v>-7.1608407034731215E-4</c:v>
                </c:pt>
                <c:pt idx="114">
                  <c:v>-6.8213146510539885E-4</c:v>
                </c:pt>
                <c:pt idx="115">
                  <c:v>-6.5004202662580419E-4</c:v>
                </c:pt>
                <c:pt idx="116">
                  <c:v>-6.1969983695226046E-4</c:v>
                </c:pt>
                <c:pt idx="117">
                  <c:v>-5.9099702690543947E-4</c:v>
                </c:pt>
                <c:pt idx="118">
                  <c:v>-5.6383316007517612E-4</c:v>
                </c:pt>
                <c:pt idx="119">
                  <c:v>-5.3811466825715026E-4</c:v>
                </c:pt>
                <c:pt idx="120">
                  <c:v>-5.1375433368504883E-4</c:v>
                </c:pt>
                <c:pt idx="121">
                  <c:v>-4.9067081386065141E-4</c:v>
                </c:pt>
                <c:pt idx="122">
                  <c:v>-4.6878820518887992E-4</c:v>
                </c:pt>
                <c:pt idx="123">
                  <c:v>-4.4803564198781193E-4</c:v>
                </c:pt>
                <c:pt idx="124">
                  <c:v>-4.2834692776949878E-4</c:v>
                </c:pt>
                <c:pt idx="125">
                  <c:v>-4.0966019598020955E-4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Cys!$U$6</c:f>
              <c:strCache>
                <c:ptCount val="1"/>
                <c:pt idx="0">
                  <c:v>Pro</c:v>
                </c:pt>
              </c:strCache>
            </c:strRef>
          </c:tx>
          <c:marker>
            <c:symbol val="none"/>
          </c:marker>
          <c:xVal>
            <c:numRef>
              <c:f>Cys!$A$7:$A$132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Cys!$U$7:$U$132</c:f>
              <c:numCache>
                <c:formatCode>0.00</c:formatCode>
                <c:ptCount val="126"/>
                <c:pt idx="0">
                  <c:v>8050503.4086783789</c:v>
                </c:pt>
                <c:pt idx="1">
                  <c:v>2563708.4346429757</c:v>
                </c:pt>
                <c:pt idx="2">
                  <c:v>901621.86344653263</c:v>
                </c:pt>
                <c:pt idx="3">
                  <c:v>344588.11223803967</c:v>
                </c:pt>
                <c:pt idx="4">
                  <c:v>141329.48832909964</c:v>
                </c:pt>
                <c:pt idx="5">
                  <c:v>61582.177314090295</c:v>
                </c:pt>
                <c:pt idx="6">
                  <c:v>28275.084044410774</c:v>
                </c:pt>
                <c:pt idx="7">
                  <c:v>13586.700851183006</c:v>
                </c:pt>
                <c:pt idx="8">
                  <c:v>6793.102353080476</c:v>
                </c:pt>
                <c:pt idx="9">
                  <c:v>3516.2905136675117</c:v>
                </c:pt>
                <c:pt idx="10">
                  <c:v>1875.9857223125996</c:v>
                </c:pt>
                <c:pt idx="11">
                  <c:v>1027.4066033333781</c:v>
                </c:pt>
                <c:pt idx="12">
                  <c:v>575.40234214733687</c:v>
                </c:pt>
                <c:pt idx="13">
                  <c:v>328.3290384797042</c:v>
                </c:pt>
                <c:pt idx="14">
                  <c:v>190.15946736678822</c:v>
                </c:pt>
                <c:pt idx="15">
                  <c:v>111.33652652633133</c:v>
                </c:pt>
                <c:pt idx="16">
                  <c:v>65.592064857712629</c:v>
                </c:pt>
                <c:pt idx="17">
                  <c:v>38.660454153815358</c:v>
                </c:pt>
                <c:pt idx="18">
                  <c:v>22.621836026476537</c:v>
                </c:pt>
                <c:pt idx="19">
                  <c:v>12.990642374067292</c:v>
                </c:pt>
                <c:pt idx="20">
                  <c:v>7.180075411144073</c:v>
                </c:pt>
                <c:pt idx="21">
                  <c:v>3.6738861603584891</c:v>
                </c:pt>
                <c:pt idx="22">
                  <c:v>1.5703161239109091</c:v>
                </c:pt>
                <c:pt idx="23">
                  <c:v>0.32613425389302181</c:v>
                </c:pt>
                <c:pt idx="24">
                  <c:v>-0.38957157384761532</c:v>
                </c:pt>
                <c:pt idx="25">
                  <c:v>-0.78027512721089565</c:v>
                </c:pt>
                <c:pt idx="26">
                  <c:v>-0.97202939861133963</c:v>
                </c:pt>
                <c:pt idx="27">
                  <c:v>-1.0433468270880022</c:v>
                </c:pt>
                <c:pt idx="28">
                  <c:v>-1.0432744137694501</c:v>
                </c:pt>
                <c:pt idx="29">
                  <c:v>-1.002452766527631</c:v>
                </c:pt>
                <c:pt idx="30">
                  <c:v>-0.93995210211931035</c:v>
                </c:pt>
                <c:pt idx="31">
                  <c:v>-0.86753647161848324</c:v>
                </c:pt>
                <c:pt idx="32">
                  <c:v>-0.79234492077240437</c:v>
                </c:pt>
                <c:pt idx="33">
                  <c:v>-0.71858861634620008</c:v>
                </c:pt>
                <c:pt idx="34">
                  <c:v>-0.6486308720018531</c:v>
                </c:pt>
                <c:pt idx="35">
                  <c:v>-0.58367712625730261</c:v>
                </c:pt>
                <c:pt idx="36">
                  <c:v>-0.52421668541624089</c:v>
                </c:pt>
                <c:pt idx="37">
                  <c:v>-0.47030556353741021</c:v>
                </c:pt>
                <c:pt idx="38">
                  <c:v>-0.42174712829854172</c:v>
                </c:pt>
                <c:pt idx="39">
                  <c:v>-0.37820680102749399</c:v>
                </c:pt>
                <c:pt idx="40">
                  <c:v>-0.33928412091450433</c:v>
                </c:pt>
                <c:pt idx="41">
                  <c:v>-0.30455724011096202</c:v>
                </c:pt>
                <c:pt idx="42">
                  <c:v>-0.27360962841016812</c:v>
                </c:pt>
                <c:pt idx="43">
                  <c:v>-0.24604535320737125</c:v>
                </c:pt>
                <c:pt idx="44">
                  <c:v>-0.22149708578096536</c:v>
                </c:pt>
                <c:pt idx="45">
                  <c:v>-0.19962954131379446</c:v>
                </c:pt>
                <c:pt idx="46">
                  <c:v>-0.18014011558134932</c:v>
                </c:pt>
                <c:pt idx="47">
                  <c:v>-0.1627578616281182</c:v>
                </c:pt>
                <c:pt idx="48">
                  <c:v>-0.14724154263723141</c:v>
                </c:pt>
                <c:pt idx="49">
                  <c:v>-0.13337722963005683</c:v>
                </c:pt>
                <c:pt idx="50">
                  <c:v>-0.12097573701374417</c:v>
                </c:pt>
                <c:pt idx="51">
                  <c:v>-0.10987007411225569</c:v>
                </c:pt>
                <c:pt idx="52">
                  <c:v>-9.9913016111621761E-2</c:v>
                </c:pt>
                <c:pt idx="53">
                  <c:v>-9.0974849731826471E-2</c:v>
                </c:pt>
                <c:pt idx="54">
                  <c:v>-8.2941318393483704E-2</c:v>
                </c:pt>
                <c:pt idx="55">
                  <c:v>-7.5711772687615767E-2</c:v>
                </c:pt>
                <c:pt idx="56">
                  <c:v>-6.9197520595018658E-2</c:v>
                </c:pt>
                <c:pt idx="57">
                  <c:v>-6.3320365483862037E-2</c:v>
                </c:pt>
                <c:pt idx="58">
                  <c:v>-5.8011316674763051E-2</c:v>
                </c:pt>
                <c:pt idx="59">
                  <c:v>-5.3209456129848412E-2</c:v>
                </c:pt>
                <c:pt idx="60">
                  <c:v>-4.8860944821880942E-2</c:v>
                </c:pt>
                <c:pt idx="61">
                  <c:v>-4.4918153062997714E-2</c:v>
                </c:pt>
                <c:pt idx="62">
                  <c:v>-4.1338900189604372E-2</c:v>
                </c:pt>
                <c:pt idx="63">
                  <c:v>-3.8085790298937383E-2</c:v>
                </c:pt>
                <c:pt idx="64">
                  <c:v>-3.5125632081282485E-2</c:v>
                </c:pt>
                <c:pt idx="65">
                  <c:v>-3.2428932109667796E-2</c:v>
                </c:pt>
                <c:pt idx="66">
                  <c:v>-2.9969452190202427E-2</c:v>
                </c:pt>
                <c:pt idx="67">
                  <c:v>-2.7723822517519127E-2</c:v>
                </c:pt>
                <c:pt idx="68">
                  <c:v>-2.5671203411554575E-2</c:v>
                </c:pt>
                <c:pt idx="69">
                  <c:v>-2.3792989333486083E-2</c:v>
                </c:pt>
                <c:pt idx="70">
                  <c:v>-2.2072549694553172E-2</c:v>
                </c:pt>
                <c:pt idx="71">
                  <c:v>-2.0495001689103828E-2</c:v>
                </c:pt>
                <c:pt idx="72">
                  <c:v>-1.9047011011261317E-2</c:v>
                </c:pt>
                <c:pt idx="73">
                  <c:v>-1.7716616862252892E-2</c:v>
                </c:pt>
                <c:pt idx="74">
                  <c:v>-1.6493078131662731E-2</c:v>
                </c:pt>
                <c:pt idx="75">
                  <c:v>-1.5366738049143604E-2</c:v>
                </c:pt>
                <c:pt idx="76">
                  <c:v>-1.4328904961250447E-2</c:v>
                </c:pt>
                <c:pt idx="77">
                  <c:v>-1.3371747198092821E-2</c:v>
                </c:pt>
                <c:pt idx="78">
                  <c:v>-1.2488200262737495E-2</c:v>
                </c:pt>
                <c:pt idx="79">
                  <c:v>-1.1671884808286979E-2</c:v>
                </c:pt>
                <c:pt idx="80">
                  <c:v>-1.0917034068195192E-2</c:v>
                </c:pt>
                <c:pt idx="81">
                  <c:v>-1.0218429578920128E-2</c:v>
                </c:pt>
                <c:pt idx="82">
                  <c:v>-9.5713441841555752E-3</c:v>
                </c:pt>
                <c:pt idx="83">
                  <c:v>-8.9714914398414738E-3</c:v>
                </c:pt>
                <c:pt idx="84">
                  <c:v>-8.4149806516983679E-3</c:v>
                </c:pt>
                <c:pt idx="85">
                  <c:v>-7.8982768745602758E-3</c:v>
                </c:pt>
                <c:pt idx="86">
                  <c:v>-7.4181652873563072E-3</c:v>
                </c:pt>
                <c:pt idx="87">
                  <c:v>-6.9717194309905899E-3</c:v>
                </c:pt>
                <c:pt idx="88">
                  <c:v>-6.5562728601233529E-3</c:v>
                </c:pt>
                <c:pt idx="89">
                  <c:v>-6.169393815278386E-3</c:v>
                </c:pt>
                <c:pt idx="90">
                  <c:v>-5.8088625699259534E-3</c:v>
                </c:pt>
                <c:pt idx="91">
                  <c:v>-5.4726511491903313E-3</c:v>
                </c:pt>
                <c:pt idx="92">
                  <c:v>-5.1589051534448038E-3</c:v>
                </c:pt>
                <c:pt idx="93">
                  <c:v>-4.8659274520069283E-3</c:v>
                </c:pt>
                <c:pt idx="94">
                  <c:v>-4.5921635400543673E-3</c:v>
                </c:pt>
                <c:pt idx="95">
                  <c:v>-4.3361883762824092E-3</c:v>
                </c:pt>
                <c:pt idx="96">
                  <c:v>-4.0966945401809231E-3</c:v>
                </c:pt>
                <c:pt idx="97">
                  <c:v>-3.8724815665188987E-3</c:v>
                </c:pt>
                <c:pt idx="98">
                  <c:v>-3.6624463310342072E-3</c:v>
                </c:pt>
                <c:pt idx="99">
                  <c:v>-3.4655743757316731E-3</c:v>
                </c:pt>
                <c:pt idx="100">
                  <c:v>-3.2809320748517536E-3</c:v>
                </c:pt>
                <c:pt idx="101">
                  <c:v>-3.1076595537081015E-3</c:v>
                </c:pt>
                <c:pt idx="102">
                  <c:v>-2.9449642823978031E-3</c:v>
                </c:pt>
                <c:pt idx="103">
                  <c:v>-2.7921152750310487E-3</c:v>
                </c:pt>
                <c:pt idx="104">
                  <c:v>-2.6484378327526459E-3</c:v>
                </c:pt>
                <c:pt idx="105">
                  <c:v>-2.5133087755624061E-3</c:v>
                </c:pt>
                <c:pt idx="106">
                  <c:v>-2.3861521138952252E-3</c:v>
                </c:pt>
                <c:pt idx="107">
                  <c:v>-2.2664351161898683E-3</c:v>
                </c:pt>
                <c:pt idx="108">
                  <c:v>-2.1536647333419054E-3</c:v>
                </c:pt>
                <c:pt idx="109">
                  <c:v>-2.0473843450732419E-3</c:v>
                </c:pt>
                <c:pt idx="110">
                  <c:v>-1.9471707969219963E-3</c:v>
                </c:pt>
                <c:pt idx="111">
                  <c:v>-1.8526316998174076E-3</c:v>
                </c:pt>
                <c:pt idx="112">
                  <c:v>-1.763402967103667E-3</c:v>
                </c:pt>
                <c:pt idx="113">
                  <c:v>-1.6791465664563955E-3</c:v>
                </c:pt>
                <c:pt idx="114">
                  <c:v>-1.5995484664333534E-3</c:v>
                </c:pt>
                <c:pt idx="115">
                  <c:v>-1.5243167594492912E-3</c:v>
                </c:pt>
                <c:pt idx="116">
                  <c:v>-1.4531799447926252E-3</c:v>
                </c:pt>
                <c:pt idx="117">
                  <c:v>-1.38588535693369E-3</c:v>
                </c:pt>
                <c:pt idx="118">
                  <c:v>-1.3221977258331419E-3</c:v>
                </c:pt>
                <c:pt idx="119">
                  <c:v>-1.2618978572640598E-3</c:v>
                </c:pt>
                <c:pt idx="120">
                  <c:v>-1.2047814223295737E-3</c:v>
                </c:pt>
                <c:pt idx="121">
                  <c:v>-1.1506578464047562E-3</c:v>
                </c:pt>
                <c:pt idx="122">
                  <c:v>-1.0993492886702371E-3</c:v>
                </c:pt>
                <c:pt idx="123">
                  <c:v>-1.0506897042476186E-3</c:v>
                </c:pt>
                <c:pt idx="124">
                  <c:v>-1.0045239817035056E-3</c:v>
                </c:pt>
                <c:pt idx="125">
                  <c:v>-9.6070714936927583E-4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93120"/>
        <c:axId val="234291584"/>
      </c:scatterChart>
      <c:valAx>
        <c:axId val="234293120"/>
        <c:scaling>
          <c:orientation val="minMax"/>
          <c:max val="25"/>
        </c:scaling>
        <c:delete val="0"/>
        <c:axPos val="b"/>
        <c:numFmt formatCode="General" sourceLinked="1"/>
        <c:majorTickMark val="out"/>
        <c:minorTickMark val="none"/>
        <c:tickLblPos val="nextTo"/>
        <c:crossAx val="234291584"/>
        <c:crosses val="autoZero"/>
        <c:crossBetween val="midCat"/>
      </c:valAx>
      <c:valAx>
        <c:axId val="234291584"/>
        <c:scaling>
          <c:orientation val="minMax"/>
          <c:max val="5"/>
          <c:min val="-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342931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Met!$B$6</c:f>
              <c:strCache>
                <c:ptCount val="1"/>
                <c:pt idx="0">
                  <c:v>Cys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Met!$B$7:$B$132</c:f>
              <c:numCache>
                <c:formatCode>0.00</c:formatCode>
                <c:ptCount val="126"/>
                <c:pt idx="0">
                  <c:v>4831975.8091844106</c:v>
                </c:pt>
                <c:pt idx="1">
                  <c:v>1538402.5743701537</c:v>
                </c:pt>
                <c:pt idx="2">
                  <c:v>540838.47696133435</c:v>
                </c:pt>
                <c:pt idx="3">
                  <c:v>206586.98983707407</c:v>
                </c:pt>
                <c:pt idx="4">
                  <c:v>84660.532235869599</c:v>
                </c:pt>
                <c:pt idx="5">
                  <c:v>36846.30398579107</c:v>
                </c:pt>
                <c:pt idx="6">
                  <c:v>16889.875045166169</c:v>
                </c:pt>
                <c:pt idx="7">
                  <c:v>8097.4185059936963</c:v>
                </c:pt>
                <c:pt idx="8">
                  <c:v>4036.0081125385068</c:v>
                </c:pt>
                <c:pt idx="9">
                  <c:v>2080.421660303803</c:v>
                </c:pt>
                <c:pt idx="10">
                  <c:v>1103.7399460112847</c:v>
                </c:pt>
                <c:pt idx="11">
                  <c:v>599.99374552398672</c:v>
                </c:pt>
                <c:pt idx="12">
                  <c:v>332.71948549128138</c:v>
                </c:pt>
                <c:pt idx="13">
                  <c:v>187.36341930190929</c:v>
                </c:pt>
                <c:pt idx="14">
                  <c:v>106.60793951907806</c:v>
                </c:pt>
                <c:pt idx="15">
                  <c:v>60.926296110719768</c:v>
                </c:pt>
                <c:pt idx="16">
                  <c:v>34.702973917674193</c:v>
                </c:pt>
                <c:pt idx="17">
                  <c:v>19.481432054139631</c:v>
                </c:pt>
                <c:pt idx="18">
                  <c:v>10.583241540451562</c:v>
                </c:pt>
                <c:pt idx="19">
                  <c:v>5.3701122306775408</c:v>
                </c:pt>
                <c:pt idx="20">
                  <c:v>2.3286488557948246</c:v>
                </c:pt>
                <c:pt idx="21">
                  <c:v>0.57758399021775064</c:v>
                </c:pt>
                <c:pt idx="22">
                  <c:v>-0.40297030466063499</c:v>
                </c:pt>
                <c:pt idx="23">
                  <c:v>-0.92308088504161201</c:v>
                </c:pt>
                <c:pt idx="24">
                  <c:v>-1.1692923633096075</c:v>
                </c:pt>
                <c:pt idx="25">
                  <c:v>-1.2545385912836575</c:v>
                </c:pt>
                <c:pt idx="26">
                  <c:v>-1.2474215917418274</c:v>
                </c:pt>
                <c:pt idx="27">
                  <c:v>-1.1896086329713573</c:v>
                </c:pt>
                <c:pt idx="28">
                  <c:v>-1.106288528683264</c:v>
                </c:pt>
                <c:pt idx="29">
                  <c:v>-1.0125201298974522</c:v>
                </c:pt>
                <c:pt idx="30">
                  <c:v>-0.91712049017892683</c:v>
                </c:pt>
                <c:pt idx="31">
                  <c:v>-0.8250634453736827</c:v>
                </c:pt>
                <c:pt idx="32">
                  <c:v>-0.73896757391483714</c:v>
                </c:pt>
                <c:pt idx="33">
                  <c:v>-0.66002271468493945</c:v>
                </c:pt>
                <c:pt idx="34">
                  <c:v>-0.58856778994149206</c:v>
                </c:pt>
                <c:pt idx="35">
                  <c:v>-0.52445075944737118</c:v>
                </c:pt>
                <c:pt idx="36">
                  <c:v>-0.46725182335721177</c:v>
                </c:pt>
                <c:pt idx="37">
                  <c:v>-0.4164205367907296</c:v>
                </c:pt>
                <c:pt idx="38">
                  <c:v>-0.37135867523944494</c:v>
                </c:pt>
                <c:pt idx="39">
                  <c:v>-0.33146896166710099</c:v>
                </c:pt>
                <c:pt idx="40">
                  <c:v>-0.29618240631078191</c:v>
                </c:pt>
                <c:pt idx="41">
                  <c:v>-0.26497236259768375</c:v>
                </c:pt>
                <c:pt idx="42">
                  <c:v>-0.23736045203990699</c:v>
                </c:pt>
                <c:pt idx="43">
                  <c:v>-0.21291762970129666</c:v>
                </c:pt>
                <c:pt idx="44">
                  <c:v>-0.19126245853312207</c:v>
                </c:pt>
                <c:pt idx="45">
                  <c:v>-0.17205788979814582</c:v>
                </c:pt>
                <c:pt idx="46">
                  <c:v>-0.15500735255276149</c:v>
                </c:pt>
                <c:pt idx="47">
                  <c:v>-0.13985063886708707</c:v>
                </c:pt>
                <c:pt idx="48">
                  <c:v>-0.12635986988158171</c:v>
                </c:pt>
                <c:pt idx="49">
                  <c:v>-0.11433570026469855</c:v>
                </c:pt>
                <c:pt idx="50">
                  <c:v>-0.10360383890413132</c:v>
                </c:pt>
                <c:pt idx="51">
                  <c:v>-9.4011914739630914E-2</c:v>
                </c:pt>
                <c:pt idx="52">
                  <c:v>-8.5426687498485698E-2</c:v>
                </c:pt>
                <c:pt idx="53">
                  <c:v>-7.7731586558750135E-2</c:v>
                </c:pt>
                <c:pt idx="54">
                  <c:v>-7.0824552583902023E-2</c:v>
                </c:pt>
                <c:pt idx="55">
                  <c:v>-6.4616152925767681E-2</c:v>
                </c:pt>
                <c:pt idx="56">
                  <c:v>-5.9027941128639919E-2</c:v>
                </c:pt>
                <c:pt idx="57">
                  <c:v>-5.3991031933330498E-2</c:v>
                </c:pt>
                <c:pt idx="58">
                  <c:v>-4.9444865178534178E-2</c:v>
                </c:pt>
                <c:pt idx="59">
                  <c:v>-4.5336134429196782E-2</c:v>
                </c:pt>
                <c:pt idx="60">
                  <c:v>-4.1617858721942604E-2</c:v>
                </c:pt>
                <c:pt idx="61">
                  <c:v>-3.8248578325489141E-2</c:v>
                </c:pt>
                <c:pt idx="62">
                  <c:v>-3.5191657768953361E-2</c:v>
                </c:pt>
                <c:pt idx="63">
                  <c:v>-3.2414681543227304E-2</c:v>
                </c:pt>
                <c:pt idx="64">
                  <c:v>-2.988892981174078E-2</c:v>
                </c:pt>
                <c:pt idx="65">
                  <c:v>-2.7588923177300658E-2</c:v>
                </c:pt>
                <c:pt idx="66">
                  <c:v>-2.5492027052407003E-2</c:v>
                </c:pt>
                <c:pt idx="67">
                  <c:v>-2.3578107488195148E-2</c:v>
                </c:pt>
                <c:pt idx="68">
                  <c:v>-2.182923145099766E-2</c:v>
                </c:pt>
                <c:pt idx="69">
                  <c:v>-2.0229405514941075E-2</c:v>
                </c:pt>
                <c:pt idx="70">
                  <c:v>-1.8764347782728733E-2</c:v>
                </c:pt>
                <c:pt idx="71">
                  <c:v>-1.7421288572206255E-2</c:v>
                </c:pt>
                <c:pt idx="72">
                  <c:v>-1.6188796029220846E-2</c:v>
                </c:pt>
                <c:pt idx="73">
                  <c:v>-1.5056623361706057E-2</c:v>
                </c:pt>
                <c:pt idx="74">
                  <c:v>-1.4015574848212144E-2</c:v>
                </c:pt>
                <c:pt idx="75">
                  <c:v>-1.3057388167042036E-2</c:v>
                </c:pt>
                <c:pt idx="76">
                  <c:v>-1.2174630929096769E-2</c:v>
                </c:pt>
                <c:pt idx="77">
                  <c:v>-1.1360609586545533E-2</c:v>
                </c:pt>
                <c:pt idx="78">
                  <c:v>-1.0609289137450791E-2</c:v>
                </c:pt>
                <c:pt idx="79">
                  <c:v>-9.9152222594399292E-3</c:v>
                </c:pt>
                <c:pt idx="80">
                  <c:v>-9.2734866885062391E-3</c:v>
                </c:pt>
                <c:pt idx="81">
                  <c:v>-8.6796298163892768E-3</c:v>
                </c:pt>
                <c:pt idx="82">
                  <c:v>-8.129619615432444E-3</c:v>
                </c:pt>
                <c:pt idx="83">
                  <c:v>-7.6198011165085171E-3</c:v>
                </c:pt>
                <c:pt idx="84">
                  <c:v>-7.1468577662371436E-3</c:v>
                </c:pt>
                <c:pt idx="85">
                  <c:v>-6.7077770765915255E-3</c:v>
                </c:pt>
                <c:pt idx="86">
                  <c:v>-6.299820055065835E-3</c:v>
                </c:pt>
                <c:pt idx="87">
                  <c:v>-5.9204939685228181E-3</c:v>
                </c:pt>
                <c:pt idx="88">
                  <c:v>-5.5675280500906083E-3</c:v>
                </c:pt>
                <c:pt idx="89">
                  <c:v>-5.2388518072485069E-3</c:v>
                </c:pt>
                <c:pt idx="90">
                  <c:v>-4.9325756315749085E-3</c:v>
                </c:pt>
                <c:pt idx="91">
                  <c:v>-4.6469734474187232E-3</c:v>
                </c:pt>
                <c:pt idx="92">
                  <c:v>-4.3804671687603016E-3</c:v>
                </c:pt>
                <c:pt idx="93">
                  <c:v>-4.1316127614036005E-3</c:v>
                </c:pt>
                <c:pt idx="94">
                  <c:v>-3.8990877319476599E-3</c:v>
                </c:pt>
                <c:pt idx="95">
                  <c:v>-3.6816798862037469E-3</c:v>
                </c:pt>
                <c:pt idx="96">
                  <c:v>-3.4782772182679971E-3</c:v>
                </c:pt>
                <c:pt idx="97">
                  <c:v>-3.2878588076830826E-3</c:v>
                </c:pt>
                <c:pt idx="98">
                  <c:v>-3.1094866163327312E-3</c:v>
                </c:pt>
                <c:pt idx="99">
                  <c:v>-2.9422980891731605E-3</c:v>
                </c:pt>
                <c:pt idx="100">
                  <c:v>-2.785499473843146E-3</c:v>
                </c:pt>
                <c:pt idx="101">
                  <c:v>-2.638359783806317E-3</c:v>
                </c:pt>
                <c:pt idx="102">
                  <c:v>-2.5002053381345344E-3</c:v>
                </c:pt>
                <c:pt idx="103">
                  <c:v>-2.3704148184876231E-3</c:v>
                </c:pt>
                <c:pt idx="104">
                  <c:v>-2.2484147904089763E-3</c:v>
                </c:pt>
                <c:pt idx="105">
                  <c:v>-2.1336756418495165E-3</c:v>
                </c:pt>
                <c:pt idx="106">
                  <c:v>-2.0257078969499872E-3</c:v>
                </c:pt>
                <c:pt idx="107">
                  <c:v>-1.9240588676367196E-3</c:v>
                </c:pt>
                <c:pt idx="108">
                  <c:v>-1.8283096095917284E-3</c:v>
                </c:pt>
                <c:pt idx="109">
                  <c:v>-1.7380721527072117E-3</c:v>
                </c:pt>
                <c:pt idx="110">
                  <c:v>-1.6529869792823071E-3</c:v>
                </c:pt>
                <c:pt idx="111">
                  <c:v>-1.572720726014642E-3</c:v>
                </c:pt>
                <c:pt idx="112">
                  <c:v>-1.4969640883224153E-3</c:v>
                </c:pt>
                <c:pt idx="113">
                  <c:v>-1.425429907741637E-3</c:v>
                </c:pt>
                <c:pt idx="114">
                  <c:v>-1.3578514251095515E-3</c:v>
                </c:pt>
                <c:pt idx="115">
                  <c:v>-1.2939806839975553E-3</c:v>
                </c:pt>
                <c:pt idx="116">
                  <c:v>-1.2335870704198368E-3</c:v>
                </c:pt>
                <c:pt idx="117">
                  <c:v>-1.1764559762391061E-3</c:v>
                </c:pt>
                <c:pt idx="118">
                  <c:v>-1.1223875749373311E-3</c:v>
                </c:pt>
                <c:pt idx="119">
                  <c:v>-1.0711956995341778E-3</c:v>
                </c:pt>
                <c:pt idx="120">
                  <c:v>-1.022706813433526E-3</c:v>
                </c:pt>
                <c:pt idx="121">
                  <c:v>-9.7675906587223107E-4</c:v>
                </c:pt>
                <c:pt idx="122">
                  <c:v>-9.3320142444648906E-4</c:v>
                </c:pt>
                <c:pt idx="123">
                  <c:v>-8.9189287791015953E-4</c:v>
                </c:pt>
                <c:pt idx="124">
                  <c:v>-8.5270170308495916E-4</c:v>
                </c:pt>
                <c:pt idx="125">
                  <c:v>-8.1550479030266358E-4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Met!$C$6</c:f>
              <c:strCache>
                <c:ptCount val="1"/>
                <c:pt idx="0">
                  <c:v>Met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Met!$C$7:$C$132</c:f>
              <c:numCache>
                <c:formatCode>0.00</c:formatCode>
                <c:ptCount val="126"/>
                <c:pt idx="0">
                  <c:v>53947.673451000395</c:v>
                </c:pt>
                <c:pt idx="1">
                  <c:v>17060.578652470213</c:v>
                </c:pt>
                <c:pt idx="2">
                  <c:v>5933.8824143765851</c:v>
                </c:pt>
                <c:pt idx="3">
                  <c:v>2229.4779809483434</c:v>
                </c:pt>
                <c:pt idx="4">
                  <c:v>891.21454447651956</c:v>
                </c:pt>
                <c:pt idx="5">
                  <c:v>373.83230203429599</c:v>
                </c:pt>
                <c:pt idx="6">
                  <c:v>162.29150898413454</c:v>
                </c:pt>
                <c:pt idx="7">
                  <c:v>71.786561950350858</c:v>
                </c:pt>
                <c:pt idx="8">
                  <c:v>31.681795410622605</c:v>
                </c:pt>
                <c:pt idx="9">
                  <c:v>13.473610597226349</c:v>
                </c:pt>
                <c:pt idx="10">
                  <c:v>5.1118201130546774</c:v>
                </c:pt>
                <c:pt idx="11">
                  <c:v>1.2960305035235904</c:v>
                </c:pt>
                <c:pt idx="12">
                  <c:v>-0.38391427728503746</c:v>
                </c:pt>
                <c:pt idx="13">
                  <c:v>-1.0538016328379098</c:v>
                </c:pt>
                <c:pt idx="14">
                  <c:v>-1.2502405640780183</c:v>
                </c:pt>
                <c:pt idx="15">
                  <c:v>-1.2322693424910955</c:v>
                </c:pt>
                <c:pt idx="16">
                  <c:v>-1.1253266470935841</c:v>
                </c:pt>
                <c:pt idx="17">
                  <c:v>-0.98952436978281177</c:v>
                </c:pt>
                <c:pt idx="18">
                  <c:v>-0.85273641549190426</c:v>
                </c:pt>
                <c:pt idx="19">
                  <c:v>-0.72691613335658123</c:v>
                </c:pt>
                <c:pt idx="20">
                  <c:v>-0.61624388508592765</c:v>
                </c:pt>
                <c:pt idx="21">
                  <c:v>-0.52122216790022868</c:v>
                </c:pt>
                <c:pt idx="22">
                  <c:v>-0.44073179839667365</c:v>
                </c:pt>
                <c:pt idx="23">
                  <c:v>-0.37305203347118937</c:v>
                </c:pt>
                <c:pt idx="24">
                  <c:v>-0.31635179075538278</c:v>
                </c:pt>
                <c:pt idx="25">
                  <c:v>-0.26891149011303744</c:v>
                </c:pt>
                <c:pt idx="26">
                  <c:v>-0.22920936886983495</c:v>
                </c:pt>
                <c:pt idx="27">
                  <c:v>-0.19594152166710913</c:v>
                </c:pt>
                <c:pt idx="28">
                  <c:v>-0.16801137720381737</c:v>
                </c:pt>
                <c:pt idx="29">
                  <c:v>-0.14450680207745464</c:v>
                </c:pt>
                <c:pt idx="30">
                  <c:v>-0.1246738501765926</c:v>
                </c:pt>
                <c:pt idx="31">
                  <c:v>-0.10789139404221625</c:v>
                </c:pt>
                <c:pt idx="32">
                  <c:v>-9.3648411884369231E-2</c:v>
                </c:pt>
                <c:pt idx="33">
                  <c:v>-8.152446779711793E-2</c:v>
                </c:pt>
                <c:pt idx="34">
                  <c:v>-7.1173332389739469E-2</c:v>
                </c:pt>
                <c:pt idx="35">
                  <c:v>-6.2309436636051742E-2</c:v>
                </c:pt>
                <c:pt idx="36">
                  <c:v>-5.469676782736612E-2</c:v>
                </c:pt>
                <c:pt idx="37">
                  <c:v>-4.8139815236374603E-2</c:v>
                </c:pt>
                <c:pt idx="38">
                  <c:v>-4.2476208347095749E-2</c:v>
                </c:pt>
                <c:pt idx="39">
                  <c:v>-3.7570738634885886E-2</c:v>
                </c:pt>
                <c:pt idx="40">
                  <c:v>-3.3310505275372555E-2</c:v>
                </c:pt>
                <c:pt idx="41">
                  <c:v>-2.9600970572551122E-2</c:v>
                </c:pt>
                <c:pt idx="42">
                  <c:v>-2.6362750369482626E-2</c:v>
                </c:pt>
                <c:pt idx="43">
                  <c:v>-2.3528997923682553E-2</c:v>
                </c:pt>
                <c:pt idx="44">
                  <c:v>-2.1043267132330762E-2</c:v>
                </c:pt>
                <c:pt idx="45">
                  <c:v>-1.8857763313010711E-2</c:v>
                </c:pt>
                <c:pt idx="46">
                  <c:v>-1.6931907779399267E-2</c:v>
                </c:pt>
                <c:pt idx="47">
                  <c:v>-1.5231156947395526E-2</c:v>
                </c:pt>
                <c:pt idx="48">
                  <c:v>-1.3726028324409709E-2</c:v>
                </c:pt>
                <c:pt idx="49">
                  <c:v>-1.2391295030207927E-2</c:v>
                </c:pt>
                <c:pt idx="50">
                  <c:v>-1.1205317932097456E-2</c:v>
                </c:pt>
                <c:pt idx="51">
                  <c:v>-1.0149490424727499E-2</c:v>
                </c:pt>
                <c:pt idx="52">
                  <c:v>-9.2077756468593539E-3</c:v>
                </c:pt>
                <c:pt idx="53">
                  <c:v>-8.3663197453268372E-3</c:v>
                </c:pt>
                <c:pt idx="54">
                  <c:v>-7.613127862221898E-3</c:v>
                </c:pt>
                <c:pt idx="55">
                  <c:v>-6.9377919878147332E-3</c:v>
                </c:pt>
                <c:pt idx="56">
                  <c:v>-6.3312618100533156E-3</c:v>
                </c:pt>
                <c:pt idx="57">
                  <c:v>-5.7856512978485247E-3</c:v>
                </c:pt>
                <c:pt idx="58">
                  <c:v>-5.2940750560483679E-3</c:v>
                </c:pt>
                <c:pt idx="59">
                  <c:v>-4.850509545651094E-3</c:v>
                </c:pt>
                <c:pt idx="60">
                  <c:v>-4.4496751215972368E-3</c:v>
                </c:pt>
                <c:pt idx="61">
                  <c:v>-4.0869355407947483E-3</c:v>
                </c:pt>
                <c:pt idx="62">
                  <c:v>-3.7582121654859014E-3</c:v>
                </c:pt>
                <c:pt idx="63">
                  <c:v>-3.4599105561255164E-3</c:v>
                </c:pt>
                <c:pt idx="64">
                  <c:v>-3.1888575332012308E-3</c:v>
                </c:pt>
                <c:pt idx="65">
                  <c:v>-2.9422471046096372E-3</c:v>
                </c:pt>
                <c:pt idx="66">
                  <c:v>-2.7175939169506321E-3</c:v>
                </c:pt>
                <c:pt idx="67">
                  <c:v>-2.5126931056068556E-3</c:v>
                </c:pt>
                <c:pt idx="68">
                  <c:v>-2.3255855979664097E-3</c:v>
                </c:pt>
                <c:pt idx="69">
                  <c:v>-2.154528073289494E-3</c:v>
                </c:pt>
                <c:pt idx="70">
                  <c:v>-1.9979669069201808E-3</c:v>
                </c:pt>
                <c:pt idx="71">
                  <c:v>-1.8545155302008909E-3</c:v>
                </c:pt>
                <c:pt idx="72">
                  <c:v>-1.7229347241436762E-3</c:v>
                </c:pt>
                <c:pt idx="73">
                  <c:v>-1.602115437577207E-3</c:v>
                </c:pt>
                <c:pt idx="74">
                  <c:v>-1.4910637815189439E-3</c:v>
                </c:pt>
                <c:pt idx="75">
                  <c:v>-1.3888879028853985E-3</c:v>
                </c:pt>
                <c:pt idx="76">
                  <c:v>-1.2947864839674274E-3</c:v>
                </c:pt>
                <c:pt idx="77">
                  <c:v>-1.2080386506950966E-3</c:v>
                </c:pt>
                <c:pt idx="78">
                  <c:v>-1.1279951036988558E-3</c:v>
                </c:pt>
                <c:pt idx="79">
                  <c:v>-1.0540703124516087E-3</c:v>
                </c:pt>
                <c:pt idx="80">
                  <c:v>-9.8573563510519083E-4</c:v>
                </c:pt>
                <c:pt idx="81">
                  <c:v>-9.2251324564276299E-4</c:v>
                </c:pt>
                <c:pt idx="82">
                  <c:v>-8.6397076617815676E-4</c:v>
                </c:pt>
                <c:pt idx="83">
                  <c:v>-8.0971651608053815E-4</c:v>
                </c:pt>
                <c:pt idx="84">
                  <c:v>-7.593953014522314E-4</c:v>
                </c:pt>
                <c:pt idx="85">
                  <c:v>-7.1268467864440889E-4</c:v>
                </c:pt>
                <c:pt idx="86">
                  <c:v>-6.6929163421570385E-4</c:v>
                </c:pt>
                <c:pt idx="87">
                  <c:v>-6.2894963123783149E-4</c:v>
                </c:pt>
                <c:pt idx="88">
                  <c:v>-5.914159783112433E-4</c:v>
                </c:pt>
                <c:pt idx="89">
                  <c:v>-5.5646948322558376E-4</c:v>
                </c:pt>
                <c:pt idx="90">
                  <c:v>-5.2390835801337709E-4</c:v>
                </c:pt>
                <c:pt idx="91">
                  <c:v>-4.9354834631035562E-4</c:v>
                </c:pt>
                <c:pt idx="92">
                  <c:v>-4.6522104754472503E-4</c:v>
                </c:pt>
                <c:pt idx="93">
                  <c:v>-4.3877241560927918E-4</c:v>
                </c:pt>
                <c:pt idx="94">
                  <c:v>-4.1406141239148768E-4</c:v>
                </c:pt>
                <c:pt idx="95">
                  <c:v>-3.9095879890455878E-4</c:v>
                </c:pt>
                <c:pt idx="96">
                  <c:v>-3.6934604882570964E-4</c:v>
                </c:pt>
                <c:pt idx="97">
                  <c:v>-3.491143710479977E-4</c:v>
                </c:pt>
                <c:pt idx="98">
                  <c:v>-3.3016382942471756E-4</c:v>
                </c:pt>
                <c:pt idx="99">
                  <c:v>-3.124025492610406E-4</c:v>
                </c:pt>
                <c:pt idx="100">
                  <c:v>-2.957460013124302E-4</c:v>
                </c:pt>
                <c:pt idx="101">
                  <c:v>-2.8011635510596423E-4</c:v>
                </c:pt>
                <c:pt idx="102">
                  <c:v>-2.6544189432834261E-4</c:v>
                </c:pt>
                <c:pt idx="103">
                  <c:v>-2.51656487839817E-4</c:v>
                </c:pt>
                <c:pt idx="104">
                  <c:v>-2.386991105909186E-4</c:v>
                </c:pt>
                <c:pt idx="105">
                  <c:v>-2.2651340935114968E-4</c:v>
                </c:pt>
                <c:pt idx="106">
                  <c:v>-2.1504730871653674E-4</c:v>
                </c:pt>
                <c:pt idx="107">
                  <c:v>-2.042526533554295E-4</c:v>
                </c:pt>
                <c:pt idx="108">
                  <c:v>-1.9408488288730056E-4</c:v>
                </c:pt>
                <c:pt idx="109">
                  <c:v>-1.8450273617458341E-4</c:v>
                </c:pt>
                <c:pt idx="110">
                  <c:v>-1.7546798214889328E-4</c:v>
                </c:pt>
                <c:pt idx="111">
                  <c:v>-1.6694517459565572E-4</c:v>
                </c:pt>
                <c:pt idx="112">
                  <c:v>-1.5890142858985851E-4</c:v>
                </c:pt>
                <c:pt idx="113">
                  <c:v>-1.5130621651438859E-4</c:v>
                </c:pt>
                <c:pt idx="114">
                  <c:v>-1.441311818047893E-4</c:v>
                </c:pt>
                <c:pt idx="115">
                  <c:v>-1.3734996875333774E-4</c:v>
                </c:pt>
                <c:pt idx="116">
                  <c:v>-1.3093806687384989E-4</c:v>
                </c:pt>
                <c:pt idx="117">
                  <c:v>-1.2487266847891859E-4</c:v>
                </c:pt>
                <c:pt idx="118">
                  <c:v>-1.1913253825548712E-4</c:v>
                </c:pt>
                <c:pt idx="119">
                  <c:v>-1.1369789374458713E-4</c:v>
                </c:pt>
                <c:pt idx="120">
                  <c:v>-1.0855029573833239E-4</c:v>
                </c:pt>
                <c:pt idx="121">
                  <c:v>-1.0367254770329298E-4</c:v>
                </c:pt>
                <c:pt idx="122">
                  <c:v>-9.9048603425409715E-5</c:v>
                </c:pt>
                <c:pt idx="123">
                  <c:v>-9.4663482148775384E-5</c:v>
                </c:pt>
                <c:pt idx="124">
                  <c:v>-9.050319054985817E-5</c:v>
                </c:pt>
                <c:pt idx="125">
                  <c:v>-8.6554650950952129E-5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Met!$D$6</c:f>
              <c:strCache>
                <c:ptCount val="1"/>
                <c:pt idx="0">
                  <c:v>Phe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Met!$D$7:$D$132</c:f>
              <c:numCache>
                <c:formatCode>0.00</c:formatCode>
                <c:ptCount val="126"/>
                <c:pt idx="0">
                  <c:v>12264856.719865872</c:v>
                </c:pt>
                <c:pt idx="1">
                  <c:v>3906027.8276368473</c:v>
                </c:pt>
                <c:pt idx="2">
                  <c:v>1373833.493133385</c:v>
                </c:pt>
                <c:pt idx="3">
                  <c:v>525140.14370861754</c:v>
                </c:pt>
                <c:pt idx="4">
                  <c:v>215428.83436747492</c:v>
                </c:pt>
                <c:pt idx="5">
                  <c:v>93899.659151720349</c:v>
                </c:pt>
                <c:pt idx="6">
                  <c:v>43132.68901488986</c:v>
                </c:pt>
                <c:pt idx="7">
                  <c:v>20738.798526544702</c:v>
                </c:pt>
                <c:pt idx="8">
                  <c:v>10377.677814061464</c:v>
                </c:pt>
                <c:pt idx="9">
                  <c:v>5377.7782003986149</c:v>
                </c:pt>
                <c:pt idx="10">
                  <c:v>2873.3829525955043</c:v>
                </c:pt>
                <c:pt idx="11">
                  <c:v>1576.735064296726</c:v>
                </c:pt>
                <c:pt idx="12">
                  <c:v>885.33745174341539</c:v>
                </c:pt>
                <c:pt idx="13">
                  <c:v>506.89685123529188</c:v>
                </c:pt>
                <c:pt idx="14">
                  <c:v>294.89702020045598</c:v>
                </c:pt>
                <c:pt idx="15">
                  <c:v>173.68802498991846</c:v>
                </c:pt>
                <c:pt idx="16">
                  <c:v>103.14659287379696</c:v>
                </c:pt>
                <c:pt idx="17">
                  <c:v>61.46622539024716</c:v>
                </c:pt>
                <c:pt idx="18">
                  <c:v>36.529287903470852</c:v>
                </c:pt>
                <c:pt idx="19">
                  <c:v>21.464836040518374</c:v>
                </c:pt>
                <c:pt idx="20">
                  <c:v>12.304862375479663</c:v>
                </c:pt>
                <c:pt idx="21">
                  <c:v>6.7195180413672251</c:v>
                </c:pt>
                <c:pt idx="22">
                  <c:v>3.3202565715902828</c:v>
                </c:pt>
                <c:pt idx="23">
                  <c:v>1.2684475726199744</c:v>
                </c:pt>
                <c:pt idx="24">
                  <c:v>5.1625005931389453E-2</c:v>
                </c:pt>
                <c:pt idx="25">
                  <c:v>-0.6465408901714047</c:v>
                </c:pt>
                <c:pt idx="26">
                  <c:v>-1.0229565766787427</c:v>
                </c:pt>
                <c:pt idx="27">
                  <c:v>-1.2009979376765885</c:v>
                </c:pt>
                <c:pt idx="28">
                  <c:v>-1.2583182285856729</c:v>
                </c:pt>
                <c:pt idx="29">
                  <c:v>-1.2438958800626012</c:v>
                </c:pt>
                <c:pt idx="30">
                  <c:v>-1.1885972483389742</c:v>
                </c:pt>
                <c:pt idx="31">
                  <c:v>-1.1117840401031487</c:v>
                </c:pt>
                <c:pt idx="32">
                  <c:v>-1.0254816802362645</c:v>
                </c:pt>
                <c:pt idx="33">
                  <c:v>-0.93702838879605699</c:v>
                </c:pt>
                <c:pt idx="34">
                  <c:v>-0.85076915124602726</c:v>
                </c:pt>
                <c:pt idx="35">
                  <c:v>-0.76914425438615253</c:v>
                </c:pt>
                <c:pt idx="36">
                  <c:v>-0.6933911967392834</c:v>
                </c:pt>
                <c:pt idx="37">
                  <c:v>-0.62399810764968411</c:v>
                </c:pt>
                <c:pt idx="38">
                  <c:v>-0.56099658622546134</c:v>
                </c:pt>
                <c:pt idx="39">
                  <c:v>-0.50415031887750938</c:v>
                </c:pt>
                <c:pt idx="40">
                  <c:v>-0.45307584305863097</c:v>
                </c:pt>
                <c:pt idx="41">
                  <c:v>-0.40731905924856893</c:v>
                </c:pt>
                <c:pt idx="42">
                  <c:v>-0.36640288297127627</c:v>
                </c:pt>
                <c:pt idx="43">
                  <c:v>-0.32985611362924749</c:v>
                </c:pt>
                <c:pt idx="44">
                  <c:v>-0.2972301360714979</c:v>
                </c:pt>
                <c:pt idx="45">
                  <c:v>-0.26810780567849407</c:v>
                </c:pt>
                <c:pt idx="46">
                  <c:v>-0.24210737872709712</c:v>
                </c:pt>
                <c:pt idx="47">
                  <c:v>-0.21888336749071696</c:v>
                </c:pt>
                <c:pt idx="48">
                  <c:v>-0.19812554979496189</c:v>
                </c:pt>
                <c:pt idx="49">
                  <c:v>-0.17955693231008393</c:v>
                </c:pt>
                <c:pt idx="50">
                  <c:v>-0.16293118160142878</c:v>
                </c:pt>
                <c:pt idx="51">
                  <c:v>-0.14802984812430053</c:v>
                </c:pt>
                <c:pt idx="52">
                  <c:v>-0.13465958371623299</c:v>
                </c:pt>
                <c:pt idx="53">
                  <c:v>-0.12264947131832882</c:v>
                </c:pt>
                <c:pt idx="54">
                  <c:v>-0.11184853239850726</c:v>
                </c:pt>
                <c:pt idx="55">
                  <c:v>-0.10212344333141041</c:v>
                </c:pt>
                <c:pt idx="56">
                  <c:v>-9.3356470434998479E-2</c:v>
                </c:pt>
                <c:pt idx="57">
                  <c:v>-8.544362019483788E-2</c:v>
                </c:pt>
                <c:pt idx="58">
                  <c:v>-7.8292993552666168E-2</c:v>
                </c:pt>
                <c:pt idx="59">
                  <c:v>-7.1823329070111269E-2</c:v>
                </c:pt>
                <c:pt idx="60">
                  <c:v>-6.5962718011872729E-2</c:v>
                </c:pt>
                <c:pt idx="61">
                  <c:v>-6.0647474064813273E-2</c:v>
                </c:pt>
                <c:pt idx="62">
                  <c:v>-5.5821140949421061E-2</c:v>
                </c:pt>
                <c:pt idx="63">
                  <c:v>-5.1433622212453511E-2</c:v>
                </c:pt>
                <c:pt idx="64">
                  <c:v>-4.7440418770347437E-2</c:v>
                </c:pt>
                <c:pt idx="65">
                  <c:v>-4.3801961146628814E-2</c:v>
                </c:pt>
                <c:pt idx="66">
                  <c:v>-4.0483024716625265E-2</c:v>
                </c:pt>
                <c:pt idx="67">
                  <c:v>-3.7452217582060403E-2</c:v>
                </c:pt>
                <c:pt idx="68">
                  <c:v>-3.4681531915144531E-2</c:v>
                </c:pt>
                <c:pt idx="69">
                  <c:v>-3.2145950721824426E-2</c:v>
                </c:pt>
                <c:pt idx="70">
                  <c:v>-2.9823102972738845E-2</c:v>
                </c:pt>
                <c:pt idx="71">
                  <c:v>-2.769296094044401E-2</c:v>
                </c:pt>
                <c:pt idx="72">
                  <c:v>-2.5737574368692916E-2</c:v>
                </c:pt>
                <c:pt idx="73">
                  <c:v>-2.3940836792013975E-2</c:v>
                </c:pt>
                <c:pt idx="74">
                  <c:v>-2.2288279930418407E-2</c:v>
                </c:pt>
                <c:pt idx="75">
                  <c:v>-2.0766892613760555E-2</c:v>
                </c:pt>
                <c:pt idx="76">
                  <c:v>-1.9364961151749762E-2</c:v>
                </c:pt>
                <c:pt idx="77">
                  <c:v>-1.8071928466964007E-2</c:v>
                </c:pt>
                <c:pt idx="78">
                  <c:v>-1.6878269656856175E-2</c:v>
                </c:pt>
                <c:pt idx="79">
                  <c:v>-1.577538195334734E-2</c:v>
                </c:pt>
                <c:pt idx="80">
                  <c:v>-1.4755487311118592E-2</c:v>
                </c:pt>
                <c:pt idx="81">
                  <c:v>-1.3811546083402569E-2</c:v>
                </c:pt>
                <c:pt idx="82">
                  <c:v>-1.2937180441553986E-2</c:v>
                </c:pt>
                <c:pt idx="83">
                  <c:v>-1.2126606365984328E-2</c:v>
                </c:pt>
                <c:pt idx="84">
                  <c:v>-1.1374573184693787E-2</c:v>
                </c:pt>
                <c:pt idx="85">
                  <c:v>-1.0676309764676043E-2</c:v>
                </c:pt>
                <c:pt idx="86">
                  <c:v>-1.0027476573556477E-2</c:v>
                </c:pt>
                <c:pt idx="87">
                  <c:v>-9.4241229262388895E-3</c:v>
                </c:pt>
                <c:pt idx="88">
                  <c:v>-8.8626488160603156E-3</c:v>
                </c:pt>
                <c:pt idx="89">
                  <c:v>-8.3397708036956272E-3</c:v>
                </c:pt>
                <c:pt idx="90">
                  <c:v>-7.8524915012886942E-3</c:v>
                </c:pt>
                <c:pt idx="91">
                  <c:v>-7.3980722452879049E-3</c:v>
                </c:pt>
                <c:pt idx="92">
                  <c:v>-6.974008600328041E-3</c:v>
                </c:pt>
                <c:pt idx="93">
                  <c:v>-6.5780083791769084E-3</c:v>
                </c:pt>
                <c:pt idx="94">
                  <c:v>-6.2079719010708096E-3</c:v>
                </c:pt>
                <c:pt idx="95">
                  <c:v>-5.861974243404738E-3</c:v>
                </c:pt>
                <c:pt idx="96">
                  <c:v>-5.5382492703312273E-3</c:v>
                </c:pt>
                <c:pt idx="97">
                  <c:v>-5.2351752468835977E-3</c:v>
                </c:pt>
                <c:pt idx="98">
                  <c:v>-4.9512618692309513E-3</c:v>
                </c:pt>
                <c:pt idx="99">
                  <c:v>-4.6851385609889022E-3</c:v>
                </c:pt>
                <c:pt idx="100">
                  <c:v>-4.435543902492887E-3</c:v>
                </c:pt>
                <c:pt idx="101">
                  <c:v>-4.2013160748874644E-3</c:v>
                </c:pt>
                <c:pt idx="102">
                  <c:v>-3.9813842140510366E-3</c:v>
                </c:pt>
                <c:pt idx="103">
                  <c:v>-3.7747605809854115E-3</c:v>
                </c:pt>
                <c:pt idx="104">
                  <c:v>-3.580533465546452E-3</c:v>
                </c:pt>
                <c:pt idx="105">
                  <c:v>-3.3978607494449509E-3</c:v>
                </c:pt>
                <c:pt idx="106">
                  <c:v>-3.2259640624525449E-3</c:v>
                </c:pt>
                <c:pt idx="107">
                  <c:v>-3.0641234728335034E-3</c:v>
                </c:pt>
                <c:pt idx="108">
                  <c:v>-2.9116726593013979E-3</c:v>
                </c:pt>
                <c:pt idx="109">
                  <c:v>-2.7679945173673319E-3</c:v>
                </c:pt>
                <c:pt idx="110">
                  <c:v>-2.6325171578881201E-3</c:v>
                </c:pt>
                <c:pt idx="111">
                  <c:v>-2.5047102600135548E-3</c:v>
                </c:pt>
                <c:pt idx="112">
                  <c:v>-2.3840817446361749E-3</c:v>
                </c:pt>
                <c:pt idx="113">
                  <c:v>-2.2701747379218805E-3</c:v>
                </c:pt>
                <c:pt idx="114">
                  <c:v>-2.162564797595583E-3</c:v>
                </c:pt>
                <c:pt idx="115">
                  <c:v>-2.0608573774160352E-3</c:v>
                </c:pt>
                <c:pt idx="116">
                  <c:v>-1.9646855077373308E-3</c:v>
                </c:pt>
                <c:pt idx="117">
                  <c:v>-1.8737076722544104E-3</c:v>
                </c:pt>
                <c:pt idx="118">
                  <c:v>-1.7876058629965991E-3</c:v>
                </c:pt>
                <c:pt idx="119">
                  <c:v>-1.7060837973926534E-3</c:v>
                </c:pt>
                <c:pt idx="120">
                  <c:v>-1.6288652828062283E-3</c:v>
                </c:pt>
                <c:pt idx="121">
                  <c:v>-1.5556927153525847E-3</c:v>
                </c:pt>
                <c:pt idx="122">
                  <c:v>-1.4863257010735078E-3</c:v>
                </c:pt>
                <c:pt idx="123">
                  <c:v>-1.4205397886840495E-3</c:v>
                </c:pt>
                <c:pt idx="124">
                  <c:v>-1.3581253041256506E-3</c:v>
                </c:pt>
                <c:pt idx="125">
                  <c:v>-1.2988862780780846E-3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Met!$E$6</c:f>
              <c:strCache>
                <c:ptCount val="1"/>
                <c:pt idx="0">
                  <c:v>Ile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Met!$E$7:$E$132</c:f>
              <c:numCache>
                <c:formatCode>0.00</c:formatCode>
                <c:ptCount val="126"/>
                <c:pt idx="0">
                  <c:v>411858.27030712878</c:v>
                </c:pt>
                <c:pt idx="1">
                  <c:v>130875.91848136719</c:v>
                </c:pt>
                <c:pt idx="2">
                  <c:v>45871.169088718409</c:v>
                </c:pt>
                <c:pt idx="3">
                  <c:v>17440.709582455824</c:v>
                </c:pt>
                <c:pt idx="4">
                  <c:v>7098.3698960242227</c:v>
                </c:pt>
                <c:pt idx="5">
                  <c:v>3058.7510834912932</c:v>
                </c:pt>
                <c:pt idx="6">
                  <c:v>1382.3162169305651</c:v>
                </c:pt>
                <c:pt idx="7">
                  <c:v>649.58800885035976</c:v>
                </c:pt>
                <c:pt idx="8">
                  <c:v>314.83636441090636</c:v>
                </c:pt>
                <c:pt idx="9">
                  <c:v>156.05616958007403</c:v>
                </c:pt>
                <c:pt idx="10">
                  <c:v>78.352541388285374</c:v>
                </c:pt>
                <c:pt idx="11">
                  <c:v>39.358934529032069</c:v>
                </c:pt>
                <c:pt idx="12">
                  <c:v>19.421487967134798</c:v>
                </c:pt>
                <c:pt idx="13">
                  <c:v>9.1101354764964064</c:v>
                </c:pt>
                <c:pt idx="14">
                  <c:v>3.7646846499377564</c:v>
                </c:pt>
                <c:pt idx="15">
                  <c:v>1.0223990569226502</c:v>
                </c:pt>
                <c:pt idx="16">
                  <c:v>-0.34107632067647314</c:v>
                </c:pt>
                <c:pt idx="17">
                  <c:v>-0.97173604350718823</c:v>
                </c:pt>
                <c:pt idx="18">
                  <c:v>-1.2152282375062473</c:v>
                </c:pt>
                <c:pt idx="19">
                  <c:v>-1.2582613817313724</c:v>
                </c:pt>
                <c:pt idx="20">
                  <c:v>-1.2020999275617039</c:v>
                </c:pt>
                <c:pt idx="21">
                  <c:v>-1.1014985652288736</c:v>
                </c:pt>
                <c:pt idx="22">
                  <c:v>-0.9856716937642318</c:v>
                </c:pt>
                <c:pt idx="23">
                  <c:v>-0.86974620273264069</c:v>
                </c:pt>
                <c:pt idx="24">
                  <c:v>-0.76108729987272505</c:v>
                </c:pt>
                <c:pt idx="25">
                  <c:v>-0.66282132120439419</c:v>
                </c:pt>
                <c:pt idx="26">
                  <c:v>-0.57580670865923722</c:v>
                </c:pt>
                <c:pt idx="27">
                  <c:v>-0.49973699038976804</c:v>
                </c:pt>
                <c:pt idx="28">
                  <c:v>-0.43375449806856858</c:v>
                </c:pt>
                <c:pt idx="29">
                  <c:v>-0.37678698434389557</c:v>
                </c:pt>
                <c:pt idx="30">
                  <c:v>-0.32772711994881049</c:v>
                </c:pt>
                <c:pt idx="31">
                  <c:v>-0.28552321588296947</c:v>
                </c:pt>
                <c:pt idx="32">
                  <c:v>-0.24922029092142442</c:v>
                </c:pt>
                <c:pt idx="33">
                  <c:v>-0.2179739174954792</c:v>
                </c:pt>
                <c:pt idx="34">
                  <c:v>-0.19104968466982319</c:v>
                </c:pt>
                <c:pt idx="35">
                  <c:v>-0.167815574065839</c:v>
                </c:pt>
                <c:pt idx="36">
                  <c:v>-0.14773133490774679</c:v>
                </c:pt>
                <c:pt idx="37">
                  <c:v>-0.13033708725140106</c:v>
                </c:pt>
                <c:pt idx="38">
                  <c:v>-0.1152423131751143</c:v>
                </c:pt>
                <c:pt idx="39">
                  <c:v>-0.10211578655481716</c:v>
                </c:pt>
                <c:pt idx="40">
                  <c:v>-9.0676651635955383E-2</c:v>
                </c:pt>
                <c:pt idx="41">
                  <c:v>-8.0686676662501289E-2</c:v>
                </c:pt>
                <c:pt idx="42">
                  <c:v>-7.1943615251426507E-2</c:v>
                </c:pt>
                <c:pt idx="43">
                  <c:v>-6.4275566096086867E-2</c:v>
                </c:pt>
                <c:pt idx="44">
                  <c:v>-5.7536208075053941E-2</c:v>
                </c:pt>
                <c:pt idx="45">
                  <c:v>-5.1600789569447678E-2</c:v>
                </c:pt>
                <c:pt idx="46">
                  <c:v>-4.6362760025215957E-2</c:v>
                </c:pt>
                <c:pt idx="47">
                  <c:v>-4.1730944151080238E-2</c:v>
                </c:pt>
                <c:pt idx="48">
                  <c:v>-3.762717220346206E-2</c:v>
                </c:pt>
                <c:pt idx="49">
                  <c:v>-3.3984292316121004E-2</c:v>
                </c:pt>
                <c:pt idx="50">
                  <c:v>-3.0744502190200737E-2</c:v>
                </c:pt>
                <c:pt idx="51">
                  <c:v>-2.7857947451564467E-2</c:v>
                </c:pt>
                <c:pt idx="52">
                  <c:v>-2.5281542592607047E-2</c:v>
                </c:pt>
                <c:pt idx="53">
                  <c:v>-2.2977977734777465E-2</c:v>
                </c:pt>
                <c:pt idx="54">
                  <c:v>-2.0914880611380651E-2</c:v>
                </c:pt>
                <c:pt idx="55">
                  <c:v>-1.9064108326995212E-2</c:v>
                </c:pt>
                <c:pt idx="56">
                  <c:v>-1.7401147745525491E-2</c:v>
                </c:pt>
                <c:pt idx="57">
                  <c:v>-1.5904606926910092E-2</c:v>
                </c:pt>
                <c:pt idx="58">
                  <c:v>-1.4555782990726074E-2</c:v>
                </c:pt>
                <c:pt idx="59">
                  <c:v>-1.3338294235151673E-2</c:v>
                </c:pt>
                <c:pt idx="60">
                  <c:v>-1.2237766368471976E-2</c:v>
                </c:pt>
                <c:pt idx="61">
                  <c:v>-1.124156439023764E-2</c:v>
                </c:pt>
                <c:pt idx="62">
                  <c:v>-1.0338563050969444E-2</c:v>
                </c:pt>
                <c:pt idx="63">
                  <c:v>-9.5189499732650402E-3</c:v>
                </c:pt>
                <c:pt idx="64">
                  <c:v>-8.7740564749144191E-3</c:v>
                </c:pt>
                <c:pt idx="65">
                  <c:v>-8.0962119304763339E-3</c:v>
                </c:pt>
                <c:pt idx="66">
                  <c:v>-7.478618169957426E-3</c:v>
                </c:pt>
                <c:pt idx="67">
                  <c:v>-6.9152409650093637E-3</c:v>
                </c:pt>
                <c:pt idx="68">
                  <c:v>-6.4007161135268536E-3</c:v>
                </c:pt>
                <c:pt idx="69">
                  <c:v>-5.9302680184101335E-3</c:v>
                </c:pt>
                <c:pt idx="70">
                  <c:v>-5.4996389784826164E-3</c:v>
                </c:pt>
                <c:pt idx="71">
                  <c:v>-5.1050276797760157E-3</c:v>
                </c:pt>
                <c:pt idx="72">
                  <c:v>-4.7430356023890992E-3</c:v>
                </c:pt>
                <c:pt idx="73">
                  <c:v>-4.410620249131394E-3</c:v>
                </c:pt>
                <c:pt idx="74">
                  <c:v>-4.1050542631613325E-3</c:v>
                </c:pt>
                <c:pt idx="75">
                  <c:v>-3.8238896377657421E-3</c:v>
                </c:pt>
                <c:pt idx="76">
                  <c:v>-3.5649263364014947E-3</c:v>
                </c:pt>
                <c:pt idx="77">
                  <c:v>-3.3261847385285398E-3</c:v>
                </c:pt>
                <c:pt idx="78">
                  <c:v>-3.1058814094299474E-3</c:v>
                </c:pt>
                <c:pt idx="79">
                  <c:v>-2.9024077624873169E-3</c:v>
                </c:pt>
                <c:pt idx="80">
                  <c:v>-2.7143112422163113E-3</c:v>
                </c:pt>
                <c:pt idx="81">
                  <c:v>-2.5402787074009347E-3</c:v>
                </c:pt>
                <c:pt idx="82">
                  <c:v>-2.3791217372616854E-3</c:v>
                </c:pt>
                <c:pt idx="83">
                  <c:v>-2.2297636208958031E-3</c:v>
                </c:pt>
                <c:pt idx="84">
                  <c:v>-2.0912278221962011E-3</c:v>
                </c:pt>
                <c:pt idx="85">
                  <c:v>-1.9626277398950491E-3</c:v>
                </c:pt>
                <c:pt idx="86">
                  <c:v>-1.8431576059662481E-3</c:v>
                </c:pt>
                <c:pt idx="87">
                  <c:v>-1.7320843859292051E-3</c:v>
                </c:pt>
                <c:pt idx="88">
                  <c:v>-1.6287405621067965E-3</c:v>
                </c:pt>
                <c:pt idx="89">
                  <c:v>-1.5325176960106432E-3</c:v>
                </c:pt>
                <c:pt idx="90">
                  <c:v>-1.4428606791019327E-3</c:v>
                </c:pt>
                <c:pt idx="91">
                  <c:v>-1.3592625924988655E-3</c:v>
                </c:pt>
                <c:pt idx="92">
                  <c:v>-1.2812601060206638E-3</c:v>
                </c:pt>
                <c:pt idx="93">
                  <c:v>-1.2084293554847421E-3</c:v>
                </c:pt>
                <c:pt idx="94">
                  <c:v>-1.1403822445879282E-3</c:v>
                </c:pt>
                <c:pt idx="95">
                  <c:v>-1.0767631241583937E-3</c:v>
                </c:pt>
                <c:pt idx="96">
                  <c:v>-1.0172458071934529E-3</c:v>
                </c:pt>
                <c:pt idx="97">
                  <c:v>-9.6153088301187677E-4</c:v>
                </c:pt>
                <c:pt idx="98">
                  <c:v>-9.0934329814421533E-4</c:v>
                </c:pt>
                <c:pt idx="99">
                  <c:v>-8.6043017534331379E-4</c:v>
                </c:pt>
                <c:pt idx="100">
                  <c:v>-8.1455884539071409E-4</c:v>
                </c:pt>
                <c:pt idx="101">
                  <c:v>-7.7151506926407382E-4</c:v>
                </c:pt>
                <c:pt idx="102">
                  <c:v>-7.3110143076855522E-4</c:v>
                </c:pt>
                <c:pt idx="103">
                  <c:v>-6.9313588196685642E-4</c:v>
                </c:pt>
                <c:pt idx="104">
                  <c:v>-6.5745042570726031E-4</c:v>
                </c:pt>
                <c:pt idx="105">
                  <c:v>-6.2388992128067184E-4</c:v>
                </c:pt>
                <c:pt idx="106">
                  <c:v>-5.9231100076549844E-4</c:v>
                </c:pt>
                <c:pt idx="107">
                  <c:v>-5.6258108496876178E-4</c:v>
                </c:pt>
                <c:pt idx="108">
                  <c:v>-5.3457748906517112E-4</c:v>
                </c:pt>
                <c:pt idx="109">
                  <c:v>-5.0818660909220667E-4</c:v>
                </c:pt>
                <c:pt idx="110">
                  <c:v>-4.8330318139523833E-4</c:v>
                </c:pt>
                <c:pt idx="111">
                  <c:v>-4.598296079469509E-4</c:v>
                </c:pt>
                <c:pt idx="112">
                  <c:v>-4.3767534120248554E-4</c:v>
                </c:pt>
                <c:pt idx="113">
                  <c:v>-4.1675632280686631E-4</c:v>
                </c:pt>
                <c:pt idx="114">
                  <c:v>-3.9699447105413994E-4</c:v>
                </c:pt>
                <c:pt idx="115">
                  <c:v>-3.7831721251666516E-4</c:v>
                </c:pt>
                <c:pt idx="116">
                  <c:v>-3.6065705372562146E-4</c:v>
                </c:pt>
                <c:pt idx="117">
                  <c:v>-3.4395118919652314E-4</c:v>
                </c:pt>
                <c:pt idx="118">
                  <c:v>-3.2814114246207919E-4</c:v>
                </c:pt>
                <c:pt idx="119">
                  <c:v>-3.1317243710414673E-4</c:v>
                </c:pt>
                <c:pt idx="120">
                  <c:v>-2.9899429507118685E-4</c:v>
                </c:pt>
                <c:pt idx="121">
                  <c:v>-2.8555935983148455E-4</c:v>
                </c:pt>
                <c:pt idx="122">
                  <c:v>-2.7282344214879381E-4</c:v>
                </c:pt>
                <c:pt idx="123">
                  <c:v>-2.6074528647913593E-4</c:v>
                </c:pt>
                <c:pt idx="124">
                  <c:v>-2.4928635617780051E-4</c:v>
                </c:pt>
                <c:pt idx="125">
                  <c:v>-2.3841063587659014E-4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Met!$F$6</c:f>
              <c:strCache>
                <c:ptCount val="1"/>
                <c:pt idx="0">
                  <c:v>Leu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Met!$F$7:$F$132</c:f>
              <c:numCache>
                <c:formatCode>0.00</c:formatCode>
                <c:ptCount val="126"/>
                <c:pt idx="0">
                  <c:v>31591.813498185751</c:v>
                </c:pt>
                <c:pt idx="1">
                  <c:v>9967.4057878600615</c:v>
                </c:pt>
                <c:pt idx="2">
                  <c:v>3453.7891845877671</c:v>
                </c:pt>
                <c:pt idx="3">
                  <c:v>1290.0261239832594</c:v>
                </c:pt>
                <c:pt idx="4">
                  <c:v>510.98686178803212</c:v>
                </c:pt>
                <c:pt idx="5">
                  <c:v>211.3308510226662</c:v>
                </c:pt>
                <c:pt idx="6">
                  <c:v>89.728723579909769</c:v>
                </c:pt>
                <c:pt idx="7">
                  <c:v>38.276606929296669</c:v>
                </c:pt>
                <c:pt idx="8">
                  <c:v>15.849832221616294</c:v>
                </c:pt>
                <c:pt idx="9">
                  <c:v>5.919560047574822</c:v>
                </c:pt>
                <c:pt idx="10">
                  <c:v>1.5365810376972526</c:v>
                </c:pt>
                <c:pt idx="11">
                  <c:v>-0.33258843088036161</c:v>
                </c:pt>
                <c:pt idx="12">
                  <c:v>-1.0528913652919365</c:v>
                </c:pt>
                <c:pt idx="13">
                  <c:v>-1.2526435178635102</c:v>
                </c:pt>
                <c:pt idx="14">
                  <c:v>-1.225208085196964</c:v>
                </c:pt>
                <c:pt idx="15">
                  <c:v>-1.1080104398965256</c:v>
                </c:pt>
                <c:pt idx="16">
                  <c:v>-0.9646272010026512</c:v>
                </c:pt>
                <c:pt idx="17">
                  <c:v>-0.82332951343756478</c:v>
                </c:pt>
                <c:pt idx="18">
                  <c:v>-0.69551888347192825</c:v>
                </c:pt>
                <c:pt idx="19">
                  <c:v>-0.58465908844398173</c:v>
                </c:pt>
                <c:pt idx="20">
                  <c:v>-0.49062901004903448</c:v>
                </c:pt>
                <c:pt idx="21">
                  <c:v>-0.41183658241770388</c:v>
                </c:pt>
                <c:pt idx="22">
                  <c:v>-0.3462275983601773</c:v>
                </c:pt>
                <c:pt idx="23">
                  <c:v>-0.29174732790432623</c:v>
                </c:pt>
                <c:pt idx="24">
                  <c:v>-0.24653275960946999</c:v>
                </c:pt>
                <c:pt idx="25">
                  <c:v>-0.20897474709877192</c:v>
                </c:pt>
                <c:pt idx="26">
                  <c:v>-0.17771995041163371</c:v>
                </c:pt>
                <c:pt idx="27">
                  <c:v>-0.1516473780175977</c:v>
                </c:pt>
                <c:pt idx="28">
                  <c:v>-0.12983651231785318</c:v>
                </c:pt>
                <c:pt idx="29">
                  <c:v>-0.11153495566672482</c:v>
                </c:pt>
                <c:pt idx="30">
                  <c:v>-9.6128983998737275E-2</c:v>
                </c:pt>
                <c:pt idx="31">
                  <c:v>-8.311815514455112E-2</c:v>
                </c:pt>
                <c:pt idx="32">
                  <c:v>-7.2094062898330841E-2</c:v>
                </c:pt>
                <c:pt idx="33">
                  <c:v>-6.2722872596076784E-2</c:v>
                </c:pt>
                <c:pt idx="34">
                  <c:v>-5.4731116742990235E-2</c:v>
                </c:pt>
                <c:pt idx="35">
                  <c:v>-4.7894213628371714E-2</c:v>
                </c:pt>
                <c:pt idx="36">
                  <c:v>-4.2027217897205559E-2</c:v>
                </c:pt>
                <c:pt idx="37">
                  <c:v>-3.6977379736517824E-2</c:v>
                </c:pt>
                <c:pt idx="38">
                  <c:v>-3.2618159557369554E-2</c:v>
                </c:pt>
                <c:pt idx="39">
                  <c:v>-2.884440941660283E-2</c:v>
                </c:pt>
                <c:pt idx="40">
                  <c:v>-2.5568487929080674E-2</c:v>
                </c:pt>
                <c:pt idx="41">
                  <c:v>-2.2717121672284228E-2</c:v>
                </c:pt>
                <c:pt idx="42">
                  <c:v>-2.0228863831154967E-2</c:v>
                </c:pt>
                <c:pt idx="43">
                  <c:v>-1.8052031238826073E-2</c:v>
                </c:pt>
                <c:pt idx="44">
                  <c:v>-1.6143025266775274E-2</c:v>
                </c:pt>
                <c:pt idx="45">
                  <c:v>-1.446496133773684E-2</c:v>
                </c:pt>
                <c:pt idx="46">
                  <c:v>-1.2986547153592123E-2</c:v>
                </c:pt>
                <c:pt idx="47">
                  <c:v>-1.1681161861539969E-2</c:v>
                </c:pt>
                <c:pt idx="48">
                  <c:v>-1.0526097986709074E-2</c:v>
                </c:pt>
                <c:pt idx="49">
                  <c:v>-9.5019355686649185E-3</c:v>
                </c:pt>
                <c:pt idx="50">
                  <c:v>-8.5920239747110348E-3</c:v>
                </c:pt>
                <c:pt idx="51">
                  <c:v>-7.7820516577041246E-3</c:v>
                </c:pt>
                <c:pt idx="52">
                  <c:v>-7.0596879426371075E-3</c:v>
                </c:pt>
                <c:pt idx="53">
                  <c:v>-6.4142839706360505E-3</c:v>
                </c:pt>
                <c:pt idx="54">
                  <c:v>-5.8366223631219757E-3</c:v>
                </c:pt>
                <c:pt idx="55">
                  <c:v>-5.3187071198001826E-3</c:v>
                </c:pt>
                <c:pt idx="56">
                  <c:v>-4.8535868317238469E-3</c:v>
                </c:pt>
                <c:pt idx="57">
                  <c:v>-4.4352055535034612E-3</c:v>
                </c:pt>
                <c:pt idx="58">
                  <c:v>-4.0582766987025901E-3</c:v>
                </c:pt>
                <c:pt idx="59">
                  <c:v>-3.7181761484396583E-3</c:v>
                </c:pt>
                <c:pt idx="60">
                  <c:v>-3.4108514338549605E-3</c:v>
                </c:pt>
                <c:pt idx="61">
                  <c:v>-3.1327443990382814E-3</c:v>
                </c:pt>
                <c:pt idx="62">
                  <c:v>-2.8807251965866569E-3</c:v>
                </c:pt>
                <c:pt idx="63">
                  <c:v>-2.6520358325566006E-3</c:v>
                </c:pt>
                <c:pt idx="64">
                  <c:v>-2.4442417766649717E-3</c:v>
                </c:pt>
                <c:pt idx="65">
                  <c:v>-2.2551903995596304E-3</c:v>
                </c:pt>
                <c:pt idx="66">
                  <c:v>-2.0829752017587438E-3</c:v>
                </c:pt>
                <c:pt idx="67">
                  <c:v>-1.9259049664346285E-3</c:v>
                </c:pt>
                <c:pt idx="68">
                  <c:v>-1.7824771070344527E-3</c:v>
                </c:pt>
                <c:pt idx="69">
                  <c:v>-1.6513545959908342E-3</c:v>
                </c:pt>
                <c:pt idx="70">
                  <c:v>-1.5313459566972634E-3</c:v>
                </c:pt>
                <c:pt idx="71">
                  <c:v>-1.4213878809303249E-3</c:v>
                </c:pt>
                <c:pt idx="72">
                  <c:v>-1.3205301007810845E-3</c:v>
                </c:pt>
                <c:pt idx="73">
                  <c:v>-1.2279222001859282E-3</c:v>
                </c:pt>
                <c:pt idx="74">
                  <c:v>-1.1428020981833571E-3</c:v>
                </c:pt>
                <c:pt idx="75">
                  <c:v>-1.0644859755926019E-3</c:v>
                </c:pt>
                <c:pt idx="76">
                  <c:v>-9.9235945016563085E-4</c:v>
                </c:pt>
                <c:pt idx="77">
                  <c:v>-9.2586983343778792E-4</c:v>
                </c:pt>
                <c:pt idx="78">
                  <c:v>-8.6451932634562978E-4</c:v>
                </c:pt>
                <c:pt idx="79">
                  <c:v>-8.0785903089750782E-4</c:v>
                </c:pt>
                <c:pt idx="80">
                  <c:v>-7.5548367235678227E-4</c:v>
                </c:pt>
                <c:pt idx="81">
                  <c:v>-7.0702694101397684E-4</c:v>
                </c:pt>
                <c:pt idx="82">
                  <c:v>-6.6215737508587948E-4</c:v>
                </c:pt>
                <c:pt idx="83">
                  <c:v>-6.2057471692303335E-4</c:v>
                </c:pt>
                <c:pt idx="84">
                  <c:v>-5.8200668381315707E-4</c:v>
                </c:pt>
                <c:pt idx="85">
                  <c:v>-5.4620610247198612E-4</c:v>
                </c:pt>
                <c:pt idx="86">
                  <c:v>-5.1294836301216595E-4</c:v>
                </c:pt>
                <c:pt idx="87">
                  <c:v>-4.8202915394082198E-4</c:v>
                </c:pt>
                <c:pt idx="88">
                  <c:v>-4.5326244469685991E-4</c:v>
                </c:pt>
                <c:pt idx="89">
                  <c:v>-4.2647868651754571E-4</c:v>
                </c:pt>
                <c:pt idx="90">
                  <c:v>-4.0152320611983895E-4</c:v>
                </c:pt>
                <c:pt idx="91">
                  <c:v>-3.7825476987946401E-4</c:v>
                </c:pt>
                <c:pt idx="92">
                  <c:v>-3.5654429896100605E-4</c:v>
                </c:pt>
                <c:pt idx="93">
                  <c:v>-3.362737182560093E-4</c:v>
                </c:pt>
                <c:pt idx="94">
                  <c:v>-3.173349240745621E-4</c:v>
                </c:pt>
                <c:pt idx="95">
                  <c:v>-2.9962885735301397E-4</c:v>
                </c:pt>
                <c:pt idx="96">
                  <c:v>-2.8306467072372051E-4</c:v>
                </c:pt>
                <c:pt idx="97">
                  <c:v>-2.6755897917395686E-4</c:v>
                </c:pt>
                <c:pt idx="98">
                  <c:v>-2.5303518522776637E-4</c:v>
                </c:pt>
                <c:pt idx="99">
                  <c:v>-2.3942287063993502E-4</c:v>
                </c:pt>
                <c:pt idx="100">
                  <c:v>-2.266572475155934E-4</c:v>
                </c:pt>
                <c:pt idx="101">
                  <c:v>-2.1467866257949406E-4</c:v>
                </c:pt>
                <c:pt idx="102">
                  <c:v>-2.0343214903057597E-4</c:v>
                </c:pt>
                <c:pt idx="103">
                  <c:v>-1.9286702104292572E-4</c:v>
                </c:pt>
                <c:pt idx="104">
                  <c:v>-1.8293650652467124E-4</c:v>
                </c:pt>
                <c:pt idx="105">
                  <c:v>-1.7359741423129624E-4</c:v>
                </c:pt>
                <c:pt idx="106">
                  <c:v>-1.6480983175760561E-4</c:v>
                </c:pt>
                <c:pt idx="107">
                  <c:v>-1.5653685131026895E-4</c:v>
                </c:pt>
                <c:pt idx="108">
                  <c:v>-1.4874432049674706E-4</c:v>
                </c:pt>
                <c:pt idx="109">
                  <c:v>-1.4140061566186095E-4</c:v>
                </c:pt>
                <c:pt idx="110">
                  <c:v>-1.3447643556499048E-4</c:v>
                </c:pt>
                <c:pt idx="111">
                  <c:v>-1.2794461342298898E-4</c:v>
                </c:pt>
                <c:pt idx="112">
                  <c:v>-1.2177994554992589E-4</c:v>
                </c:pt>
                <c:pt idx="113">
                  <c:v>-1.1595903500783656E-4</c:v>
                </c:pt>
                <c:pt idx="114">
                  <c:v>-1.1046014884549203E-4</c:v>
                </c:pt>
                <c:pt idx="115">
                  <c:v>-1.0526308764716699E-4</c:v>
                </c:pt>
                <c:pt idx="116">
                  <c:v>-1.0034906624257815E-4</c:v>
                </c:pt>
                <c:pt idx="117">
                  <c:v>-9.5700604544400266E-5</c:v>
                </c:pt>
                <c:pt idx="118">
                  <c:v>-9.1301427582653975E-5</c:v>
                </c:pt>
                <c:pt idx="119">
                  <c:v>-8.7136373897202506E-5</c:v>
                </c:pt>
                <c:pt idx="120">
                  <c:v>-8.3191311531828082E-5</c:v>
                </c:pt>
                <c:pt idx="121">
                  <c:v>-7.9453060946982636E-5</c:v>
                </c:pt>
                <c:pt idx="122">
                  <c:v>-7.5909324234263903E-5</c:v>
                </c:pt>
                <c:pt idx="123">
                  <c:v>-7.2548620074825847E-5</c:v>
                </c:pt>
                <c:pt idx="124">
                  <c:v>-6.9360223937019563E-5</c:v>
                </c:pt>
                <c:pt idx="125">
                  <c:v>-6.6334113056249413E-5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Met!$G$6</c:f>
              <c:strCache>
                <c:ptCount val="1"/>
                <c:pt idx="0">
                  <c:v>Val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Met!$G$7:$G$132</c:f>
              <c:numCache>
                <c:formatCode>0.00</c:formatCode>
                <c:ptCount val="126"/>
                <c:pt idx="0">
                  <c:v>90853.503513445976</c:v>
                </c:pt>
                <c:pt idx="1">
                  <c:v>28781.747260869866</c:v>
                </c:pt>
                <c:pt idx="2">
                  <c:v>10038.537118140308</c:v>
                </c:pt>
                <c:pt idx="3">
                  <c:v>3788.0495293999134</c:v>
                </c:pt>
                <c:pt idx="4">
                  <c:v>1524.3009390209118</c:v>
                </c:pt>
                <c:pt idx="5">
                  <c:v>645.84556927612994</c:v>
                </c:pt>
                <c:pt idx="6">
                  <c:v>284.70550840788439</c:v>
                </c:pt>
                <c:pt idx="7">
                  <c:v>128.96565478807958</c:v>
                </c:pt>
                <c:pt idx="8">
                  <c:v>59.154086611023025</c:v>
                </c:pt>
                <c:pt idx="9">
                  <c:v>26.918323293632682</c:v>
                </c:pt>
                <c:pt idx="10">
                  <c:v>11.734212954758529</c:v>
                </c:pt>
                <c:pt idx="11">
                  <c:v>4.5242484066206767</c:v>
                </c:pt>
                <c:pt idx="12">
                  <c:v>1.1298372522406577</c:v>
                </c:pt>
                <c:pt idx="13">
                  <c:v>-0.41135070471120461</c:v>
                </c:pt>
                <c:pt idx="14">
                  <c:v>-1.0478035439337869</c:v>
                </c:pt>
                <c:pt idx="15">
                  <c:v>-1.2463759913322949</c:v>
                </c:pt>
                <c:pt idx="16">
                  <c:v>-1.2395154275097706</c:v>
                </c:pt>
                <c:pt idx="17">
                  <c:v>-1.1433238209895689</c:v>
                </c:pt>
                <c:pt idx="18">
                  <c:v>-1.0153013622747156</c:v>
                </c:pt>
                <c:pt idx="19">
                  <c:v>-0.88316446263846093</c:v>
                </c:pt>
                <c:pt idx="20">
                  <c:v>-0.75946464684540316</c:v>
                </c:pt>
                <c:pt idx="21">
                  <c:v>-0.64909475121352234</c:v>
                </c:pt>
                <c:pt idx="22">
                  <c:v>-0.55317070567698268</c:v>
                </c:pt>
                <c:pt idx="23">
                  <c:v>-0.47104076938908751</c:v>
                </c:pt>
                <c:pt idx="24">
                  <c:v>-0.40131748889139801</c:v>
                </c:pt>
                <c:pt idx="25">
                  <c:v>-0.34239667075036034</c:v>
                </c:pt>
                <c:pt idx="26">
                  <c:v>-0.29270701338068872</c:v>
                </c:pt>
                <c:pt idx="27">
                  <c:v>-0.2508193534998378</c:v>
                </c:pt>
                <c:pt idx="28">
                  <c:v>-0.21548410174935009</c:v>
                </c:pt>
                <c:pt idx="29">
                  <c:v>-0.18563332632206231</c:v>
                </c:pt>
                <c:pt idx="30">
                  <c:v>-0.16036673592243267</c:v>
                </c:pt>
                <c:pt idx="31">
                  <c:v>-0.13893155784340669</c:v>
                </c:pt>
                <c:pt idx="32">
                  <c:v>-0.12070133105905867</c:v>
                </c:pt>
                <c:pt idx="33">
                  <c:v>-0.1051559762679083</c:v>
                </c:pt>
                <c:pt idx="34">
                  <c:v>-9.1864106336778939E-2</c:v>
                </c:pt>
                <c:pt idx="35">
                  <c:v>-8.0467825989050251E-2</c:v>
                </c:pt>
                <c:pt idx="36">
                  <c:v>-7.0669924092383332E-2</c:v>
                </c:pt>
                <c:pt idx="37">
                  <c:v>-6.2223212935512785E-2</c:v>
                </c:pt>
                <c:pt idx="38">
                  <c:v>-5.4921721881503183E-2</c:v>
                </c:pt>
                <c:pt idx="39">
                  <c:v>-4.8593456227375001E-2</c:v>
                </c:pt>
                <c:pt idx="40">
                  <c:v>-4.3094458264263912E-2</c:v>
                </c:pt>
                <c:pt idx="41">
                  <c:v>-3.8303941838799462E-2</c:v>
                </c:pt>
                <c:pt idx="42">
                  <c:v>-3.412030680786346E-2</c:v>
                </c:pt>
                <c:pt idx="43">
                  <c:v>-3.0457872221995703E-2</c:v>
                </c:pt>
                <c:pt idx="44">
                  <c:v>-2.7244195522907733E-2</c:v>
                </c:pt>
                <c:pt idx="45">
                  <c:v>-2.441786922561856E-2</c:v>
                </c:pt>
                <c:pt idx="46">
                  <c:v>-2.1926706718764222E-2</c:v>
                </c:pt>
                <c:pt idx="47">
                  <c:v>-1.9726245416286464E-2</c:v>
                </c:pt>
                <c:pt idx="48">
                  <c:v>-1.7778509047882057E-2</c:v>
                </c:pt>
                <c:pt idx="49">
                  <c:v>-1.6050981884516431E-2</c:v>
                </c:pt>
                <c:pt idx="50">
                  <c:v>-1.4515756607639339E-2</c:v>
                </c:pt>
                <c:pt idx="51">
                  <c:v>-1.3148824732491078E-2</c:v>
                </c:pt>
                <c:pt idx="52">
                  <c:v>-1.1929484310754392E-2</c:v>
                </c:pt>
                <c:pt idx="53">
                  <c:v>-1.0839844332775598E-2</c:v>
                </c:pt>
                <c:pt idx="54">
                  <c:v>-9.8644090424504557E-3</c:v>
                </c:pt>
                <c:pt idx="55">
                  <c:v>-8.9897284450288634E-3</c:v>
                </c:pt>
                <c:pt idx="56">
                  <c:v>-8.2041037716802205E-3</c:v>
                </c:pt>
                <c:pt idx="57">
                  <c:v>-7.4973386788856639E-3</c:v>
                </c:pt>
                <c:pt idx="58">
                  <c:v>-6.8605285971690957E-3</c:v>
                </c:pt>
                <c:pt idx="59">
                  <c:v>-6.2858819757398458E-3</c:v>
                </c:pt>
                <c:pt idx="60">
                  <c:v>-5.7665682560930544E-3</c:v>
                </c:pt>
                <c:pt idx="61">
                  <c:v>-5.2965882956282359E-3</c:v>
                </c:pt>
                <c:pt idx="62">
                  <c:v>-4.8706636897075202E-3</c:v>
                </c:pt>
                <c:pt idx="63">
                  <c:v>-4.484142037641586E-3</c:v>
                </c:pt>
                <c:pt idx="64">
                  <c:v>-4.1329156892798424E-3</c:v>
                </c:pt>
                <c:pt idx="65">
                  <c:v>-3.8133519138567754E-3</c:v>
                </c:pt>
                <c:pt idx="66">
                  <c:v>-3.5222327673756753E-3</c:v>
                </c:pt>
                <c:pt idx="67">
                  <c:v>-3.25670321191994E-3</c:v>
                </c:pt>
                <c:pt idx="68">
                  <c:v>-3.0142262702575508E-3</c:v>
                </c:pt>
                <c:pt idx="69">
                  <c:v>-2.7925441903751645E-3</c:v>
                </c:pt>
                <c:pt idx="70">
                  <c:v>-2.5896447539981212E-3</c:v>
                </c:pt>
                <c:pt idx="71">
                  <c:v>-2.403731996305291E-3</c:v>
                </c:pt>
                <c:pt idx="72">
                  <c:v>-2.2332007154928731E-3</c:v>
                </c:pt>
                <c:pt idx="73">
                  <c:v>-2.0766142443086762E-3</c:v>
                </c:pt>
                <c:pt idx="74">
                  <c:v>-1.9326850342266391E-3</c:v>
                </c:pt>
                <c:pt idx="75">
                  <c:v>-1.8002576690726863E-3</c:v>
                </c:pt>
                <c:pt idx="76">
                  <c:v>-1.6782939807160801E-3</c:v>
                </c:pt>
                <c:pt idx="77">
                  <c:v>-1.5658599866113169E-3</c:v>
                </c:pt>
                <c:pt idx="78">
                  <c:v>-1.4621144089250315E-3</c:v>
                </c:pt>
                <c:pt idx="79">
                  <c:v>-1.3662985688784018E-3</c:v>
                </c:pt>
                <c:pt idx="80">
                  <c:v>-1.2777274787476828E-3</c:v>
                </c:pt>
                <c:pt idx="81">
                  <c:v>-1.1957819785001905E-3</c:v>
                </c:pt>
                <c:pt idx="82">
                  <c:v>-1.1199017849716395E-3</c:v>
                </c:pt>
                <c:pt idx="83">
                  <c:v>-1.0495793393741661E-3</c:v>
                </c:pt>
                <c:pt idx="84">
                  <c:v>-9.8435435423140961E-4</c:v>
                </c:pt>
                <c:pt idx="85">
                  <c:v>-9.2380897396052391E-4</c:v>
                </c:pt>
                <c:pt idx="86">
                  <c:v>-8.6756347459076265E-4</c:v>
                </c:pt>
                <c:pt idx="87">
                  <c:v>-8.1527243780154645E-4</c:v>
                </c:pt>
                <c:pt idx="88">
                  <c:v>-7.6662134281327114E-4</c:v>
                </c:pt>
                <c:pt idx="89">
                  <c:v>-7.2132352686865911E-4</c:v>
                </c:pt>
                <c:pt idx="90">
                  <c:v>-6.7911747126772138E-4</c:v>
                </c:pt>
                <c:pt idx="91">
                  <c:v>-6.3976437530652958E-4</c:v>
                </c:pt>
                <c:pt idx="92">
                  <c:v>-6.0304598513847706E-4</c:v>
                </c:pt>
                <c:pt idx="93">
                  <c:v>-5.6876264862829604E-4</c:v>
                </c:pt>
                <c:pt idx="94">
                  <c:v>-5.3673157079010857E-4</c:v>
                </c:pt>
                <c:pt idx="95">
                  <c:v>-5.0678524746496567E-4</c:v>
                </c:pt>
                <c:pt idx="96">
                  <c:v>-4.7877005756351737E-4</c:v>
                </c:pt>
                <c:pt idx="97">
                  <c:v>-4.5254499652937159E-4</c:v>
                </c:pt>
                <c:pt idx="98">
                  <c:v>-4.279805357143654E-4</c:v>
                </c:pt>
                <c:pt idx="99">
                  <c:v>-4.0495759413780894E-4</c:v>
                </c:pt>
                <c:pt idx="100">
                  <c:v>-3.8336661066160044E-4</c:v>
                </c:pt>
                <c:pt idx="101">
                  <c:v>-3.6310670598109675E-4</c:v>
                </c:pt>
                <c:pt idx="102">
                  <c:v>-3.4408492503274705E-4</c:v>
                </c:pt>
                <c:pt idx="103">
                  <c:v>-3.2621555147541441E-4</c:v>
                </c:pt>
                <c:pt idx="104">
                  <c:v>-3.0941948683162521E-4</c:v>
                </c:pt>
                <c:pt idx="105">
                  <c:v>-2.936236876938138E-4</c:v>
                </c:pt>
                <c:pt idx="106">
                  <c:v>-2.7876065512295113E-4</c:v>
                </c:pt>
                <c:pt idx="107">
                  <c:v>-2.6476797100478738E-4</c:v>
                </c:pt>
                <c:pt idx="108">
                  <c:v>-2.5158787669284354E-4</c:v>
                </c:pt>
                <c:pt idx="109">
                  <c:v>-2.3916688976632561E-4</c:v>
                </c:pt>
                <c:pt idx="110">
                  <c:v>-2.274554551732416E-4</c:v>
                </c:pt>
                <c:pt idx="111">
                  <c:v>-2.1640762742108614E-4</c:v>
                </c:pt>
                <c:pt idx="112">
                  <c:v>-2.0598078082551845E-4</c:v>
                </c:pt>
                <c:pt idx="113">
                  <c:v>-1.9613534513675341E-4</c:v>
                </c:pt>
                <c:pt idx="114">
                  <c:v>-1.8683456413850689E-4</c:v>
                </c:pt>
                <c:pt idx="115">
                  <c:v>-1.7804427505928728E-4</c:v>
                </c:pt>
                <c:pt idx="116">
                  <c:v>-1.6973270685412977E-4</c:v>
                </c:pt>
                <c:pt idx="117">
                  <c:v>-1.6187029560960433E-4</c:v>
                </c:pt>
                <c:pt idx="118">
                  <c:v>-1.5442951549879806E-4</c:v>
                </c:pt>
                <c:pt idx="119">
                  <c:v>-1.4738472386835612E-4</c:v>
                </c:pt>
                <c:pt idx="120">
                  <c:v>-1.4071201917864866E-4</c:v>
                </c:pt>
                <c:pt idx="121">
                  <c:v>-1.3438911064256291E-4</c:v>
                </c:pt>
                <c:pt idx="122">
                  <c:v>-1.2839519851989988E-4</c:v>
                </c:pt>
                <c:pt idx="123">
                  <c:v>-1.2271086412434686E-4</c:v>
                </c:pt>
                <c:pt idx="124">
                  <c:v>-1.1731796868973022E-4</c:v>
                </c:pt>
                <c:pt idx="125">
                  <c:v>-1.1219956032286493E-4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Met!$H$6</c:f>
              <c:strCache>
                <c:ptCount val="1"/>
                <c:pt idx="0">
                  <c:v>Trp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Met!$H$7:$H$132</c:f>
              <c:numCache>
                <c:formatCode>0.00</c:formatCode>
                <c:ptCount val="126"/>
                <c:pt idx="0">
                  <c:v>773381157.34239352</c:v>
                </c:pt>
                <c:pt idx="1">
                  <c:v>246407721.29893321</c:v>
                </c:pt>
                <c:pt idx="2">
                  <c:v>86725936.579307213</c:v>
                </c:pt>
                <c:pt idx="3">
                  <c:v>33184797.190258861</c:v>
                </c:pt>
                <c:pt idx="4">
                  <c:v>13634153.156703299</c:v>
                </c:pt>
                <c:pt idx="5">
                  <c:v>5955716.5853757262</c:v>
                </c:pt>
                <c:pt idx="6">
                  <c:v>2744102.2024118216</c:v>
                </c:pt>
                <c:pt idx="7">
                  <c:v>1324934.9389502103</c:v>
                </c:pt>
                <c:pt idx="8">
                  <c:v>666752.3413698189</c:v>
                </c:pt>
                <c:pt idx="9">
                  <c:v>348123.20034521265</c:v>
                </c:pt>
                <c:pt idx="10">
                  <c:v>187853.45189986768</c:v>
                </c:pt>
                <c:pt idx="11">
                  <c:v>104419.08342905754</c:v>
                </c:pt>
                <c:pt idx="12">
                  <c:v>59616.066693949244</c:v>
                </c:pt>
                <c:pt idx="13">
                  <c:v>34871.733385212916</c:v>
                </c:pt>
                <c:pt idx="14">
                  <c:v>20851.719416241802</c:v>
                </c:pt>
                <c:pt idx="15">
                  <c:v>12720.49558745538</c:v>
                </c:pt>
                <c:pt idx="16">
                  <c:v>7902.8043158973351</c:v>
                </c:pt>
                <c:pt idx="17">
                  <c:v>4991.8833586565606</c:v>
                </c:pt>
                <c:pt idx="18">
                  <c:v>3201.1119751635842</c:v>
                </c:pt>
                <c:pt idx="19">
                  <c:v>2081.048354429196</c:v>
                </c:pt>
                <c:pt idx="20">
                  <c:v>1369.7255630521247</c:v>
                </c:pt>
                <c:pt idx="21">
                  <c:v>911.59837279974226</c:v>
                </c:pt>
                <c:pt idx="22">
                  <c:v>612.7080562204851</c:v>
                </c:pt>
                <c:pt idx="23">
                  <c:v>415.381540452514</c:v>
                </c:pt>
                <c:pt idx="24">
                  <c:v>283.68569123532626</c:v>
                </c:pt>
                <c:pt idx="25">
                  <c:v>194.91805487169441</c:v>
                </c:pt>
                <c:pt idx="26">
                  <c:v>134.5471544503344</c:v>
                </c:pt>
                <c:pt idx="27">
                  <c:v>93.15758637550428</c:v>
                </c:pt>
                <c:pt idx="28">
                  <c:v>64.578873423591304</c:v>
                </c:pt>
                <c:pt idx="29">
                  <c:v>44.723781531641635</c:v>
                </c:pt>
                <c:pt idx="30">
                  <c:v>30.857858890746815</c:v>
                </c:pt>
                <c:pt idx="31">
                  <c:v>21.13457716671688</c:v>
                </c:pt>
                <c:pt idx="32">
                  <c:v>14.296127309474437</c:v>
                </c:pt>
                <c:pt idx="33">
                  <c:v>9.4787650048068315</c:v>
                </c:pt>
                <c:pt idx="34">
                  <c:v>6.0848852077315971</c:v>
                </c:pt>
                <c:pt idx="35">
                  <c:v>3.6981420202601827</c:v>
                </c:pt>
                <c:pt idx="36">
                  <c:v>2.0266175580175134</c:v>
                </c:pt>
                <c:pt idx="37">
                  <c:v>0.8644437167955572</c:v>
                </c:pt>
                <c:pt idx="38">
                  <c:v>6.567456153363338E-2</c:v>
                </c:pt>
                <c:pt idx="39">
                  <c:v>-0.47363778035782383</c:v>
                </c:pt>
                <c:pt idx="40">
                  <c:v>-0.82782861750434156</c:v>
                </c:pt>
                <c:pt idx="41">
                  <c:v>-1.0502375627106844</c:v>
                </c:pt>
                <c:pt idx="42">
                  <c:v>-1.1792420811689419</c:v>
                </c:pt>
                <c:pt idx="43">
                  <c:v>-1.2425077483295079</c:v>
                </c:pt>
                <c:pt idx="44">
                  <c:v>-1.2599992575242598</c:v>
                </c:pt>
                <c:pt idx="45">
                  <c:v>-1.2461247880778299</c:v>
                </c:pt>
                <c:pt idx="46">
                  <c:v>-1.2112706757461082</c:v>
                </c:pt>
                <c:pt idx="47">
                  <c:v>-1.162904718036031</c:v>
                </c:pt>
                <c:pt idx="48">
                  <c:v>-1.1063726545428105</c:v>
                </c:pt>
                <c:pt idx="49">
                  <c:v>-1.045475309014134</c:v>
                </c:pt>
                <c:pt idx="50">
                  <c:v>-0.98288819533877037</c:v>
                </c:pt>
                <c:pt idx="51">
                  <c:v>-0.92046747822580244</c:v>
                </c:pt>
                <c:pt idx="52">
                  <c:v>-0.85947361643793485</c:v>
                </c:pt>
                <c:pt idx="53">
                  <c:v>-0.80073515633515446</c:v>
                </c:pt>
                <c:pt idx="54">
                  <c:v>-0.74476886190263047</c:v>
                </c:pt>
                <c:pt idx="55">
                  <c:v>-0.69186789159280437</c:v>
                </c:pt>
                <c:pt idx="56">
                  <c:v>-0.64216652786057937</c:v>
                </c:pt>
                <c:pt idx="57">
                  <c:v>-0.59568766062543532</c:v>
                </c:pt>
                <c:pt idx="58">
                  <c:v>-0.55237756123067128</c:v>
                </c:pt>
                <c:pt idx="59">
                  <c:v>-0.51213127615099741</c:v>
                </c:pt>
                <c:pt idx="60">
                  <c:v>-0.47481109069309729</c:v>
                </c:pt>
                <c:pt idx="61">
                  <c:v>-0.44025987063375249</c:v>
                </c:pt>
                <c:pt idx="62">
                  <c:v>-0.40831061880656372</c:v>
                </c:pt>
                <c:pt idx="63">
                  <c:v>-0.37879323726593139</c:v>
                </c:pt>
                <c:pt idx="64">
                  <c:v>-0.35153923013843086</c:v>
                </c:pt>
                <c:pt idx="65">
                  <c:v>-0.32638489327596115</c:v>
                </c:pt>
                <c:pt idx="66">
                  <c:v>-0.30317339669446092</c:v>
                </c:pt>
                <c:pt idx="67">
                  <c:v>-0.2817560616589293</c:v>
                </c:pt>
                <c:pt idx="68">
                  <c:v>-0.26199305676347001</c:v>
                </c:pt>
                <c:pt idx="69">
                  <c:v>-0.24375367956353641</c:v>
                </c:pt>
                <c:pt idx="70">
                  <c:v>-0.22691634717696546</c:v>
                </c:pt>
                <c:pt idx="71">
                  <c:v>-0.2113683870394284</c:v>
                </c:pt>
                <c:pt idx="72">
                  <c:v>-0.19700569490947376</c:v>
                </c:pt>
                <c:pt idx="73">
                  <c:v>-0.18373230921314357</c:v>
                </c:pt>
                <c:pt idx="74">
                  <c:v>-0.17145993736893769</c:v>
                </c:pt>
                <c:pt idx="75">
                  <c:v>-0.16010745970002999</c:v>
                </c:pt>
                <c:pt idx="76">
                  <c:v>-0.14960042906951002</c:v>
                </c:pt>
                <c:pt idx="77">
                  <c:v>-0.13987057882740589</c:v>
                </c:pt>
                <c:pt idx="78">
                  <c:v>-0.1308553475562487</c:v>
                </c:pt>
                <c:pt idx="79">
                  <c:v>-0.1224974260848683</c:v>
                </c:pt>
                <c:pt idx="80">
                  <c:v>-0.11474433003708417</c:v>
                </c:pt>
                <c:pt idx="81">
                  <c:v>-0.10754799958889898</c:v>
                </c:pt>
                <c:pt idx="82">
                  <c:v>-0.10086442697090049</c:v>
                </c:pt>
                <c:pt idx="83">
                  <c:v>-9.4653311455849473E-2</c:v>
                </c:pt>
                <c:pt idx="84">
                  <c:v>-8.8877741027389601E-2</c:v>
                </c:pt>
                <c:pt idx="85">
                  <c:v>-8.3503899568521472E-2</c:v>
                </c:pt>
                <c:pt idx="86">
                  <c:v>-7.8500798188254312E-2</c:v>
                </c:pt>
                <c:pt idx="87">
                  <c:v>-7.384002918431809E-2</c:v>
                </c:pt>
                <c:pt idx="88">
                  <c:v>-6.9495541090923776E-2</c:v>
                </c:pt>
                <c:pt idx="89">
                  <c:v>-6.5443433262299996E-2</c:v>
                </c:pt>
                <c:pt idx="90">
                  <c:v>-6.1661768479436649E-2</c:v>
                </c:pt>
                <c:pt idx="91">
                  <c:v>-5.8130402127506427E-2</c:v>
                </c:pt>
                <c:pt idx="92">
                  <c:v>-5.4830826566227432E-2</c:v>
                </c:pt>
                <c:pt idx="93">
                  <c:v>-5.1746029398715906E-2</c:v>
                </c:pt>
                <c:pt idx="94">
                  <c:v>-4.8860364431610619E-2</c:v>
                </c:pt>
                <c:pt idx="95">
                  <c:v>-4.6159434207208812E-2</c:v>
                </c:pt>
                <c:pt idx="96">
                  <c:v>-4.3629983074782171E-2</c:v>
                </c:pt>
                <c:pt idx="97">
                  <c:v>-4.1259799851613863E-2</c:v>
                </c:pt>
                <c:pt idx="98">
                  <c:v>-3.903762920363419E-2</c:v>
                </c:pt>
                <c:pt idx="99">
                  <c:v>-3.695309095024104E-2</c:v>
                </c:pt>
                <c:pt idx="100">
                  <c:v>-3.4996606567669418E-2</c:v>
                </c:pt>
                <c:pt idx="101">
                  <c:v>-3.3159332230035844E-2</c:v>
                </c:pt>
                <c:pt idx="102">
                  <c:v>-3.1433097786969739E-2</c:v>
                </c:pt>
                <c:pt idx="103">
                  <c:v>-2.9810351131714537E-2</c:v>
                </c:pt>
                <c:pt idx="104">
                  <c:v>-2.8284107463948518E-2</c:v>
                </c:pt>
                <c:pt idx="105">
                  <c:v>-2.6847902997597612E-2</c:v>
                </c:pt>
                <c:pt idx="106">
                  <c:v>-2.5495752705868867E-2</c:v>
                </c:pt>
                <c:pt idx="107">
                  <c:v>-2.4222111733911731E-2</c:v>
                </c:pt>
                <c:pt idx="108">
                  <c:v>-2.3021840144201392E-2</c:v>
                </c:pt>
                <c:pt idx="109">
                  <c:v>-2.1890170691216192E-2</c:v>
                </c:pt>
                <c:pt idx="110">
                  <c:v>-2.082267935051502E-2</c:v>
                </c:pt>
                <c:pt idx="111">
                  <c:v>-1.981525835316876E-2</c:v>
                </c:pt>
                <c:pt idx="112">
                  <c:v>-1.8864091499897429E-2</c:v>
                </c:pt>
                <c:pt idx="113">
                  <c:v>-1.7965631550435589E-2</c:v>
                </c:pt>
                <c:pt idx="114">
                  <c:v>-1.7116579502798275E-2</c:v>
                </c:pt>
                <c:pt idx="115">
                  <c:v>-1.6313865594434887E-2</c:v>
                </c:pt>
                <c:pt idx="116">
                  <c:v>-1.5554631872916103E-2</c:v>
                </c:pt>
                <c:pt idx="117">
                  <c:v>-1.4836216197952905E-2</c:v>
                </c:pt>
                <c:pt idx="118">
                  <c:v>-1.4156137549344741E-2</c:v>
                </c:pt>
                <c:pt idx="119">
                  <c:v>-1.3512082527025116E-2</c:v>
                </c:pt>
                <c:pt idx="120">
                  <c:v>-1.2901892939836221E-2</c:v>
                </c:pt>
                <c:pt idx="121">
                  <c:v>-1.2323554389128619E-2</c:v>
                </c:pt>
                <c:pt idx="122">
                  <c:v>-1.1775185761842822E-2</c:v>
                </c:pt>
                <c:pt idx="123">
                  <c:v>-1.1255029555477108E-2</c:v>
                </c:pt>
                <c:pt idx="124">
                  <c:v>-1.0761442964357854E-2</c:v>
                </c:pt>
                <c:pt idx="125">
                  <c:v>-1.0292889662977535E-2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Met!$I$6</c:f>
              <c:strCache>
                <c:ptCount val="1"/>
                <c:pt idx="0">
                  <c:v>Tyr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Met!$I$7:$I$132</c:f>
              <c:numCache>
                <c:formatCode>0.00</c:formatCode>
                <c:ptCount val="126"/>
                <c:pt idx="0">
                  <c:v>871562.62145739468</c:v>
                </c:pt>
                <c:pt idx="1">
                  <c:v>277190.835392632</c:v>
                </c:pt>
                <c:pt idx="2">
                  <c:v>97284.14931601283</c:v>
                </c:pt>
                <c:pt idx="3">
                  <c:v>37064.52565624968</c:v>
                </c:pt>
                <c:pt idx="4">
                  <c:v>15131.449841452237</c:v>
                </c:pt>
                <c:pt idx="5">
                  <c:v>6549.3872478059711</c:v>
                </c:pt>
                <c:pt idx="6">
                  <c:v>2978.7934896589754</c:v>
                </c:pt>
                <c:pt idx="7">
                  <c:v>1412.5978468651811</c:v>
                </c:pt>
                <c:pt idx="8">
                  <c:v>693.52373019232471</c:v>
                </c:pt>
                <c:pt idx="9">
                  <c:v>350.12653588189949</c:v>
                </c:pt>
                <c:pt idx="10">
                  <c:v>180.50876160900074</c:v>
                </c:pt>
                <c:pt idx="11">
                  <c:v>94.304824195864299</c:v>
                </c:pt>
                <c:pt idx="12">
                  <c:v>49.455101688489975</c:v>
                </c:pt>
                <c:pt idx="13">
                  <c:v>25.6916837220883</c:v>
                </c:pt>
                <c:pt idx="14">
                  <c:v>12.942153518279838</c:v>
                </c:pt>
                <c:pt idx="15">
                  <c:v>6.0625834470964195</c:v>
                </c:pt>
                <c:pt idx="16">
                  <c:v>2.3623273588994507</c:v>
                </c:pt>
                <c:pt idx="17">
                  <c:v>0.40441636088753746</c:v>
                </c:pt>
                <c:pt idx="18">
                  <c:v>-0.59226191631100711</c:v>
                </c:pt>
                <c:pt idx="19">
                  <c:v>-1.0584968741309437</c:v>
                </c:pt>
                <c:pt idx="20">
                  <c:v>-1.2345061682824914</c:v>
                </c:pt>
                <c:pt idx="21">
                  <c:v>-1.2551946905184874</c:v>
                </c:pt>
                <c:pt idx="22">
                  <c:v>-1.1965002647997653</c:v>
                </c:pt>
                <c:pt idx="23">
                  <c:v>-1.1009996771106667</c:v>
                </c:pt>
                <c:pt idx="24">
                  <c:v>-0.99225805396560085</c:v>
                </c:pt>
                <c:pt idx="25">
                  <c:v>-0.88296752646995291</c:v>
                </c:pt>
                <c:pt idx="26">
                  <c:v>-0.77960861981131369</c:v>
                </c:pt>
                <c:pt idx="27">
                  <c:v>-0.68513947793703545</c:v>
                </c:pt>
                <c:pt idx="28">
                  <c:v>-0.60055405012380991</c:v>
                </c:pt>
                <c:pt idx="29">
                  <c:v>-0.52578561134104773</c:v>
                </c:pt>
                <c:pt idx="30">
                  <c:v>-0.46022862687664384</c:v>
                </c:pt>
                <c:pt idx="31">
                  <c:v>-0.40303705062857542</c:v>
                </c:pt>
                <c:pt idx="32">
                  <c:v>-0.35329140437577145</c:v>
                </c:pt>
                <c:pt idx="33">
                  <c:v>-0.3100889621195837</c:v>
                </c:pt>
                <c:pt idx="34">
                  <c:v>-0.27258915851025894</c:v>
                </c:pt>
                <c:pt idx="35">
                  <c:v>-0.24003326472139125</c:v>
                </c:pt>
                <c:pt idx="36">
                  <c:v>-0.21174962255218371</c:v>
                </c:pt>
                <c:pt idx="37">
                  <c:v>-0.18715110697077778</c:v>
                </c:pt>
                <c:pt idx="38">
                  <c:v>-0.16572872421252607</c:v>
                </c:pt>
                <c:pt idx="39">
                  <c:v>-0.14704359839156872</c:v>
                </c:pt>
                <c:pt idx="40">
                  <c:v>-0.13071861099503904</c:v>
                </c:pt>
                <c:pt idx="41">
                  <c:v>-0.11643036998832203</c:v>
                </c:pt>
                <c:pt idx="42">
                  <c:v>-0.10390183961192309</c:v>
                </c:pt>
                <c:pt idx="43">
                  <c:v>-9.2895762305678656E-2</c:v>
                </c:pt>
                <c:pt idx="44">
                  <c:v>-8.3208892357440223E-2</c:v>
                </c:pt>
                <c:pt idx="45">
                  <c:v>-7.4667001470969815E-2</c:v>
                </c:pt>
                <c:pt idx="46">
                  <c:v>-6.7120587971901041E-2</c:v>
                </c:pt>
                <c:pt idx="47">
                  <c:v>-6.0441210761918281E-2</c:v>
                </c:pt>
                <c:pt idx="48">
                  <c:v>-5.4518368497348063E-2</c:v>
                </c:pt>
                <c:pt idx="49">
                  <c:v>-4.9256849080060512E-2</c:v>
                </c:pt>
                <c:pt idx="50">
                  <c:v>-4.4574481612629446E-2</c:v>
                </c:pt>
                <c:pt idx="51">
                  <c:v>-4.0400230873980918E-2</c:v>
                </c:pt>
                <c:pt idx="52">
                  <c:v>-3.6672582220737111E-2</c:v>
                </c:pt>
                <c:pt idx="53">
                  <c:v>-3.3338172147930861E-2</c:v>
                </c:pt>
                <c:pt idx="54">
                  <c:v>-3.0350626339820858E-2</c:v>
                </c:pt>
                <c:pt idx="55">
                  <c:v>-2.7669572842720206E-2</c:v>
                </c:pt>
                <c:pt idx="56">
                  <c:v>-2.5259803013408914E-2</c:v>
                </c:pt>
                <c:pt idx="57">
                  <c:v>-2.309055719656937E-2</c:v>
                </c:pt>
                <c:pt idx="58">
                  <c:v>-2.1134915738533329E-2</c:v>
                </c:pt>
                <c:pt idx="59">
                  <c:v>-1.9369279032932962E-2</c:v>
                </c:pt>
                <c:pt idx="60">
                  <c:v>-1.777292289442919E-2</c:v>
                </c:pt>
                <c:pt idx="61">
                  <c:v>-1.6327617741049859E-2</c:v>
                </c:pt>
                <c:pt idx="62">
                  <c:v>-1.5017301897458609E-2</c:v>
                </c:pt>
                <c:pt idx="63">
                  <c:v>-1.3827800866171467E-2</c:v>
                </c:pt>
                <c:pt idx="64">
                  <c:v>-1.2746585699024225E-2</c:v>
                </c:pt>
                <c:pt idx="65">
                  <c:v>-1.1762564677626989E-2</c:v>
                </c:pt>
                <c:pt idx="66">
                  <c:v>-1.0865903413379473E-2</c:v>
                </c:pt>
                <c:pt idx="67">
                  <c:v>-1.0047869233645633E-2</c:v>
                </c:pt>
                <c:pt idx="68">
                  <c:v>-9.3006963549922463E-3</c:v>
                </c:pt>
                <c:pt idx="69">
                  <c:v>-8.6174688771060454E-3</c:v>
                </c:pt>
                <c:pt idx="70">
                  <c:v>-7.9920190788873753E-3</c:v>
                </c:pt>
                <c:pt idx="71">
                  <c:v>-7.4188388752417459E-3</c:v>
                </c:pt>
                <c:pt idx="72">
                  <c:v>-6.8930026108780613E-3</c:v>
                </c:pt>
                <c:pt idx="73">
                  <c:v>-6.4100996356441509E-3</c:v>
                </c:pt>
                <c:pt idx="74">
                  <c:v>-5.9661753326381017E-3</c:v>
                </c:pt>
                <c:pt idx="75">
                  <c:v>-5.5576794622295587E-3</c:v>
                </c:pt>
                <c:pt idx="76">
                  <c:v>-5.1814208477947077E-3</c:v>
                </c:pt>
                <c:pt idx="77">
                  <c:v>-4.8345275670680487E-3</c:v>
                </c:pt>
                <c:pt idx="78">
                  <c:v>-4.5144119304320277E-3</c:v>
                </c:pt>
                <c:pt idx="79">
                  <c:v>-4.2187396274492731E-3</c:v>
                </c:pt>
                <c:pt idx="80">
                  <c:v>-3.9454025082093372E-3</c:v>
                </c:pt>
                <c:pt idx="81">
                  <c:v>-3.6924945388884787E-3</c:v>
                </c:pt>
                <c:pt idx="82">
                  <c:v>-3.4582905332152494E-3</c:v>
                </c:pt>
                <c:pt idx="83">
                  <c:v>-3.2412273148998503E-3</c:v>
                </c:pt>
                <c:pt idx="84">
                  <c:v>-3.03988701186881E-3</c:v>
                </c:pt>
                <c:pt idx="85">
                  <c:v>-2.8529822224834423E-3</c:v>
                </c:pt>
                <c:pt idx="86">
                  <c:v>-2.6793428277679158E-3</c:v>
                </c:pt>
                <c:pt idx="87">
                  <c:v>-2.5179042528384642E-3</c:v>
                </c:pt>
                <c:pt idx="88">
                  <c:v>-2.367697005892744E-3</c:v>
                </c:pt>
                <c:pt idx="89">
                  <c:v>-2.2278373448664348E-3</c:v>
                </c:pt>
                <c:pt idx="90">
                  <c:v>-2.0975189406832076E-3</c:v>
                </c:pt>
                <c:pt idx="91">
                  <c:v>-1.9760054223315181E-3</c:v>
                </c:pt>
                <c:pt idx="92">
                  <c:v>-1.8626237031510442E-3</c:v>
                </c:pt>
                <c:pt idx="93">
                  <c:v>-1.7567580000055444E-3</c:v>
                </c:pt>
                <c:pt idx="94">
                  <c:v>-1.6578444677143075E-3</c:v>
                </c:pt>
                <c:pt idx="95">
                  <c:v>-1.5653663804314597E-3</c:v>
                </c:pt>
                <c:pt idx="96">
                  <c:v>-1.4788497997889848E-3</c:v>
                </c:pt>
                <c:pt idx="97">
                  <c:v>-1.3978596767165101E-3</c:v>
                </c:pt>
                <c:pt idx="98">
                  <c:v>-1.3219963400567581E-3</c:v>
                </c:pt>
                <c:pt idx="99">
                  <c:v>-1.2508923305286851E-3</c:v>
                </c:pt>
                <c:pt idx="100">
                  <c:v>-1.1842095433525158E-3</c:v>
                </c:pt>
                <c:pt idx="101">
                  <c:v>-1.1216366470301439E-3</c:v>
                </c:pt>
                <c:pt idx="102">
                  <c:v>-1.0628867494460958E-3</c:v>
                </c:pt>
                <c:pt idx="103">
                  <c:v>-1.0076952856839458E-3</c:v>
                </c:pt>
                <c:pt idx="104">
                  <c:v>-9.5581810479709981E-4</c:v>
                </c:pt>
                <c:pt idx="105">
                  <c:v>-9.0702973528000838E-4</c:v>
                </c:pt>
                <c:pt idx="106">
                  <c:v>-8.6112181119856628E-4</c:v>
                </c:pt>
                <c:pt idx="107">
                  <c:v>-8.1790164289327779E-4</c:v>
                </c:pt>
                <c:pt idx="108">
                  <c:v>-7.7719091789763993E-4</c:v>
                </c:pt>
                <c:pt idx="109">
                  <c:v>-7.3882451924489059E-4</c:v>
                </c:pt>
                <c:pt idx="110">
                  <c:v>-7.0264944969274914E-4</c:v>
                </c:pt>
                <c:pt idx="111">
                  <c:v>-6.6852385159926612E-4</c:v>
                </c:pt>
                <c:pt idx="112">
                  <c:v>-6.363161132515589E-4</c:v>
                </c:pt>
                <c:pt idx="113">
                  <c:v>-6.0590405339916757E-4</c:v>
                </c:pt>
                <c:pt idx="114">
                  <c:v>-5.7717417658900401E-4</c:v>
                </c:pt>
                <c:pt idx="115">
                  <c:v>-5.5002099265159755E-4</c:v>
                </c:pt>
                <c:pt idx="116">
                  <c:v>-5.2434639435940556E-4</c:v>
                </c:pt>
                <c:pt idx="117">
                  <c:v>-5.000590878766676E-4</c:v>
                </c:pt>
                <c:pt idx="118">
                  <c:v>-4.7707407115499495E-4</c:v>
                </c:pt>
                <c:pt idx="119">
                  <c:v>-4.5531215590684769E-4</c:v>
                </c:pt>
                <c:pt idx="120">
                  <c:v>-4.3469952921664114E-4</c:v>
                </c:pt>
                <c:pt idx="121">
                  <c:v>-4.151673512321339E-4</c:v>
                </c:pt>
                <c:pt idx="122">
                  <c:v>-3.9665138572185672E-4</c:v>
                </c:pt>
                <c:pt idx="123">
                  <c:v>-3.7909166059215034E-4</c:v>
                </c:pt>
                <c:pt idx="124">
                  <c:v>-3.6243215573364981E-4</c:v>
                </c:pt>
                <c:pt idx="125">
                  <c:v>-3.4662051581528421E-4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Met!$J$6</c:f>
              <c:strCache>
                <c:ptCount val="1"/>
                <c:pt idx="0">
                  <c:v>Ala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Met!$J$7:$J$132</c:f>
              <c:numCache>
                <c:formatCode>0.00</c:formatCode>
                <c:ptCount val="126"/>
                <c:pt idx="0">
                  <c:v>1957.6256746512856</c:v>
                </c:pt>
                <c:pt idx="1">
                  <c:v>598.71291026821746</c:v>
                </c:pt>
                <c:pt idx="2">
                  <c:v>196.86744168493817</c:v>
                </c:pt>
                <c:pt idx="3">
                  <c:v>67.290644680647802</c:v>
                </c:pt>
                <c:pt idx="4">
                  <c:v>22.795820529581622</c:v>
                </c:pt>
                <c:pt idx="5">
                  <c:v>6.9289757873518214</c:v>
                </c:pt>
                <c:pt idx="6">
                  <c:v>1.2442072244412326</c:v>
                </c:pt>
                <c:pt idx="7">
                  <c:v>-0.68599067865853303</c:v>
                </c:pt>
                <c:pt idx="8">
                  <c:v>-1.2151484582877055</c:v>
                </c:pt>
                <c:pt idx="9">
                  <c:v>-1.2350774686791117</c:v>
                </c:pt>
                <c:pt idx="10">
                  <c:v>-1.0890949600946866</c:v>
                </c:pt>
                <c:pt idx="11">
                  <c:v>-0.90792046714734664</c:v>
                </c:pt>
                <c:pt idx="12">
                  <c:v>-0.73837795546028873</c:v>
                </c:pt>
                <c:pt idx="13">
                  <c:v>-0.59424552817580145</c:v>
                </c:pt>
                <c:pt idx="14">
                  <c:v>-0.47673214284864829</c:v>
                </c:pt>
                <c:pt idx="15">
                  <c:v>-0.3827553897620441</c:v>
                </c:pt>
                <c:pt idx="16">
                  <c:v>-0.30822314766219877</c:v>
                </c:pt>
                <c:pt idx="17">
                  <c:v>-0.24925355469174543</c:v>
                </c:pt>
                <c:pt idx="18">
                  <c:v>-0.2025524736911942</c:v>
                </c:pt>
                <c:pt idx="19">
                  <c:v>-0.16546005208853481</c:v>
                </c:pt>
                <c:pt idx="20">
                  <c:v>-0.13588034264341819</c:v>
                </c:pt>
                <c:pt idx="21">
                  <c:v>-0.11218130459077988</c:v>
                </c:pt>
                <c:pt idx="22">
                  <c:v>-9.3098559560107347E-2</c:v>
                </c:pt>
                <c:pt idx="23">
                  <c:v>-7.7653633434437194E-2</c:v>
                </c:pt>
                <c:pt idx="24">
                  <c:v>-6.5088304139509709E-2</c:v>
                </c:pt>
                <c:pt idx="25">
                  <c:v>-5.4813367578126937E-2</c:v>
                </c:pt>
                <c:pt idx="26">
                  <c:v>-4.6369247239383661E-2</c:v>
                </c:pt>
                <c:pt idx="27">
                  <c:v>-3.9395932115796881E-2</c:v>
                </c:pt>
                <c:pt idx="28">
                  <c:v>-3.3610100360063254E-2</c:v>
                </c:pt>
                <c:pt idx="29">
                  <c:v>-2.8787713359295163E-2</c:v>
                </c:pt>
                <c:pt idx="30">
                  <c:v>-2.4750750383930709E-2</c:v>
                </c:pt>
                <c:pt idx="31">
                  <c:v>-2.1357070679781577E-2</c:v>
                </c:pt>
                <c:pt idx="32">
                  <c:v>-1.8492638338901898E-2</c:v>
                </c:pt>
                <c:pt idx="33">
                  <c:v>-1.6065535401935858E-2</c:v>
                </c:pt>
                <c:pt idx="34">
                  <c:v>-1.4001332111293783E-2</c:v>
                </c:pt>
                <c:pt idx="35">
                  <c:v>-1.2239490697182404E-2</c:v>
                </c:pt>
                <c:pt idx="36">
                  <c:v>-1.073055929583328E-2</c:v>
                </c:pt>
                <c:pt idx="37">
                  <c:v>-9.4339724261178516E-3</c:v>
                </c:pt>
                <c:pt idx="38">
                  <c:v>-8.3163191068088577E-3</c:v>
                </c:pt>
                <c:pt idx="39">
                  <c:v>-7.3499730947547016E-3</c:v>
                </c:pt>
                <c:pt idx="40">
                  <c:v>-6.5120047712777449E-3</c:v>
                </c:pt>
                <c:pt idx="41">
                  <c:v>-5.7833130501352466E-3</c:v>
                </c:pt>
                <c:pt idx="42">
                  <c:v>-5.1479299123969825E-3</c:v>
                </c:pt>
                <c:pt idx="43">
                  <c:v>-4.5924609630109015E-3</c:v>
                </c:pt>
                <c:pt idx="44">
                  <c:v>-4.1056336163759954E-3</c:v>
                </c:pt>
                <c:pt idx="45">
                  <c:v>-3.6779307950754007E-3</c:v>
                </c:pt>
                <c:pt idx="46">
                  <c:v>-3.3012928431890463E-3</c:v>
                </c:pt>
                <c:pt idx="47">
                  <c:v>-2.9688740680227418E-3</c:v>
                </c:pt>
                <c:pt idx="48">
                  <c:v>-2.6748431968337963E-3</c:v>
                </c:pt>
                <c:pt idx="49">
                  <c:v>-2.4142192671652903E-3</c:v>
                </c:pt>
                <c:pt idx="50">
                  <c:v>-2.1827362105711805E-3</c:v>
                </c:pt>
                <c:pt idx="51">
                  <c:v>-1.9767307531191555E-3</c:v>
                </c:pt>
                <c:pt idx="52">
                  <c:v>-1.7930493280930654E-3</c:v>
                </c:pt>
                <c:pt idx="53">
                  <c:v>-1.6289705423095662E-3</c:v>
                </c:pt>
                <c:pt idx="54">
                  <c:v>-1.4821404075412285E-3</c:v>
                </c:pt>
                <c:pt idx="55">
                  <c:v>-1.3505180811942419E-3</c:v>
                </c:pt>
                <c:pt idx="56">
                  <c:v>-1.2323302852953225E-3</c:v>
                </c:pt>
                <c:pt idx="57">
                  <c:v>-1.126032912959348E-3</c:v>
                </c:pt>
                <c:pt idx="58">
                  <c:v>-1.030278604666526E-3</c:v>
                </c:pt>
                <c:pt idx="59">
                  <c:v>-9.4388929677352508E-4</c:v>
                </c:pt>
                <c:pt idx="60">
                  <c:v>-8.6583292258759137E-4</c:v>
                </c:pt>
                <c:pt idx="61">
                  <c:v>-7.9520359057900982E-4</c:v>
                </c:pt>
                <c:pt idx="62">
                  <c:v>-7.312046816160139E-4</c:v>
                </c:pt>
                <c:pt idx="63">
                  <c:v>-6.7313440278800047E-4</c:v>
                </c:pt>
                <c:pt idx="64">
                  <c:v>-6.2037341364825792E-4</c:v>
                </c:pt>
                <c:pt idx="65">
                  <c:v>-5.7237420490506737E-4</c:v>
                </c:pt>
                <c:pt idx="66">
                  <c:v>-5.2865196239160173E-4</c:v>
                </c:pt>
                <c:pt idx="67">
                  <c:v>-4.8877669268859616E-4</c:v>
                </c:pt>
                <c:pt idx="68">
                  <c:v>-4.5236642277518606E-4</c:v>
                </c:pt>
                <c:pt idx="69">
                  <c:v>-4.190813159239043E-4</c:v>
                </c:pt>
                <c:pt idx="70">
                  <c:v>-3.8861857085059306E-4</c:v>
                </c:pt>
                <c:pt idx="71">
                  <c:v>-3.6070799178138037E-4</c:v>
                </c:pt>
                <c:pt idx="72">
                  <c:v>-3.3510813433951947E-4</c:v>
                </c:pt>
                <c:pt idx="73">
                  <c:v>-3.1160294658080139E-4</c:v>
                </c:pt>
                <c:pt idx="74">
                  <c:v>-2.8999883660387073E-4</c:v>
                </c:pt>
                <c:pt idx="75">
                  <c:v>-2.7012210832883052E-4</c:v>
                </c:pt>
                <c:pt idx="76">
                  <c:v>-2.5181671560026327E-4</c:v>
                </c:pt>
                <c:pt idx="77">
                  <c:v>-2.3494229199721729E-4</c:v>
                </c:pt>
                <c:pt idx="78">
                  <c:v>-2.1937241984375835E-4</c:v>
                </c:pt>
                <c:pt idx="79">
                  <c:v>-2.0499310709166696E-4</c:v>
                </c:pt>
                <c:pt idx="80">
                  <c:v>-1.9170144514271965E-4</c:v>
                </c:pt>
                <c:pt idx="81">
                  <c:v>-1.7940442441691983E-4</c:v>
                </c:pt>
                <c:pt idx="82">
                  <c:v>-1.6801788765903827E-4</c:v>
                </c:pt>
                <c:pt idx="83">
                  <c:v>-1.5746560369558587E-4</c:v>
                </c:pt>
                <c:pt idx="84">
                  <c:v>-1.4767844668016981E-4</c:v>
                </c:pt>
                <c:pt idx="85">
                  <c:v>-1.3859366785757754E-4</c:v>
                </c:pt>
                <c:pt idx="86">
                  <c:v>-1.3015424858656469E-4</c:v>
                </c:pt>
                <c:pt idx="87">
                  <c:v>-1.2230832483075849E-4</c:v>
                </c:pt>
                <c:pt idx="88">
                  <c:v>-1.1500867459209636E-4</c:v>
                </c:pt>
                <c:pt idx="89">
                  <c:v>-1.0821226085198772E-4</c:v>
                </c:pt>
                <c:pt idx="90">
                  <c:v>-1.0187982352734899E-4</c:v>
                </c:pt>
                <c:pt idx="91">
                  <c:v>-9.5975514763373788E-5</c:v>
                </c:pt>
                <c:pt idx="92">
                  <c:v>-9.0466572590583764E-5</c:v>
                </c:pt>
                <c:pt idx="93">
                  <c:v>-8.5323028585855752E-5</c:v>
                </c:pt>
                <c:pt idx="94">
                  <c:v>-8.0517445708882333E-5</c:v>
                </c:pt>
                <c:pt idx="95">
                  <c:v>-7.6024682948108266E-5</c:v>
                </c:pt>
                <c:pt idx="96">
                  <c:v>-7.1821683813139524E-5</c:v>
                </c:pt>
                <c:pt idx="97">
                  <c:v>-6.7887286062107835E-5</c:v>
                </c:pt>
                <c:pt idx="98">
                  <c:v>-6.4202050359468067E-5</c:v>
                </c:pt>
                <c:pt idx="99">
                  <c:v>-6.07481058281914E-5</c:v>
                </c:pt>
                <c:pt idx="100">
                  <c:v>-5.7509010695415861E-5</c:v>
                </c:pt>
                <c:pt idx="101">
                  <c:v>-5.4469626436746473E-5</c:v>
                </c:pt>
                <c:pt idx="102">
                  <c:v>-5.1616004005337676E-5</c:v>
                </c:pt>
                <c:pt idx="103">
                  <c:v>-4.8935280890922275E-5</c:v>
                </c:pt>
                <c:pt idx="104">
                  <c:v>-4.6415587893883059E-5</c:v>
                </c:pt>
                <c:pt idx="105">
                  <c:v>-4.404596462273518E-5</c:v>
                </c:pt>
                <c:pt idx="106">
                  <c:v>-4.1816282832107772E-5</c:v>
                </c:pt>
                <c:pt idx="107">
                  <c:v>-3.9717176814303378E-5</c:v>
                </c:pt>
                <c:pt idx="108">
                  <c:v>-3.7739980142360333E-5</c:v>
                </c:pt>
                <c:pt idx="109">
                  <c:v>-3.5876668137619768E-5</c:v>
                </c:pt>
                <c:pt idx="110">
                  <c:v>-3.4119805501299636E-5</c:v>
                </c:pt>
                <c:pt idx="111">
                  <c:v>-3.2462498608546881E-5</c:v>
                </c:pt>
                <c:pt idx="112">
                  <c:v>-3.0898352015779144E-5</c:v>
                </c:pt>
                <c:pt idx="113">
                  <c:v>-2.9421428778632369E-5</c:v>
                </c:pt>
                <c:pt idx="114">
                  <c:v>-2.8026214219193923E-5</c:v>
                </c:pt>
                <c:pt idx="115">
                  <c:v>-2.6707582818020889E-5</c:v>
                </c:pt>
                <c:pt idx="116">
                  <c:v>-2.5460767939258557E-5</c:v>
                </c:pt>
                <c:pt idx="117">
                  <c:v>-2.4281334126440274E-5</c:v>
                </c:pt>
                <c:pt idx="118">
                  <c:v>-2.3165151732678999E-5</c:v>
                </c:pt>
                <c:pt idx="119">
                  <c:v>-2.2108373672310771E-5</c:v>
                </c:pt>
                <c:pt idx="120">
                  <c:v>-2.1107414101932411E-5</c:v>
                </c:pt>
                <c:pt idx="121">
                  <c:v>-2.015892885747084E-5</c:v>
                </c:pt>
                <c:pt idx="122">
                  <c:v>-1.9259797490669649E-5</c:v>
                </c:pt>
                <c:pt idx="123">
                  <c:v>-1.8407106763399169E-5</c:v>
                </c:pt>
                <c:pt idx="124">
                  <c:v>-1.7598135471674988E-5</c:v>
                </c:pt>
                <c:pt idx="125">
                  <c:v>-1.6830340483378413E-5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Met!$K$6</c:f>
              <c:strCache>
                <c:ptCount val="1"/>
                <c:pt idx="0">
                  <c:v>Gly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Met!$K$7:$K$132</c:f>
              <c:numCache>
                <c:formatCode>0.00</c:formatCode>
                <c:ptCount val="126"/>
                <c:pt idx="0">
                  <c:v>4745.2181050297531</c:v>
                </c:pt>
                <c:pt idx="1">
                  <c:v>1473.3290906486352</c:v>
                </c:pt>
                <c:pt idx="2">
                  <c:v>497.19548318742255</c:v>
                </c:pt>
                <c:pt idx="3">
                  <c:v>177.85534283185672</c:v>
                </c:pt>
                <c:pt idx="4">
                  <c:v>65.595263937348918</c:v>
                </c:pt>
                <c:pt idx="5">
                  <c:v>23.984758236886023</c:v>
                </c:pt>
                <c:pt idx="6">
                  <c:v>8.0476995575058332</c:v>
                </c:pt>
                <c:pt idx="7">
                  <c:v>1.9022024793640329</c:v>
                </c:pt>
                <c:pt idx="8">
                  <c:v>-0.38373241775521516</c:v>
                </c:pt>
                <c:pt idx="9">
                  <c:v>-1.1262069675749802</c:v>
                </c:pt>
                <c:pt idx="10">
                  <c:v>-1.2591889642701601</c:v>
                </c:pt>
                <c:pt idx="11">
                  <c:v>-1.1662882515286983</c:v>
                </c:pt>
                <c:pt idx="12">
                  <c:v>-1.0050231963838774</c:v>
                </c:pt>
                <c:pt idx="13">
                  <c:v>-0.83812011100438055</c:v>
                </c:pt>
                <c:pt idx="14">
                  <c:v>-0.68829369847588218</c:v>
                </c:pt>
                <c:pt idx="15">
                  <c:v>-0.56159410549952016</c:v>
                </c:pt>
                <c:pt idx="16">
                  <c:v>-0.45746603098791699</c:v>
                </c:pt>
                <c:pt idx="17">
                  <c:v>-0.37306809695636411</c:v>
                </c:pt>
                <c:pt idx="18">
                  <c:v>-0.30507961703544684</c:v>
                </c:pt>
                <c:pt idx="19">
                  <c:v>-0.25040444989522315</c:v>
                </c:pt>
                <c:pt idx="20">
                  <c:v>-0.20639692035082952</c:v>
                </c:pt>
                <c:pt idx="21">
                  <c:v>-0.17088873002135083</c:v>
                </c:pt>
                <c:pt idx="22">
                  <c:v>-0.14214075212513774</c:v>
                </c:pt>
                <c:pt idx="23">
                  <c:v>-0.11877352015035229</c:v>
                </c:pt>
                <c:pt idx="24">
                  <c:v>-9.9698518638017278E-2</c:v>
                </c:pt>
                <c:pt idx="25">
                  <c:v>-8.4058214972968309E-2</c:v>
                </c:pt>
                <c:pt idx="26">
                  <c:v>-7.1176642322865843E-2</c:v>
                </c:pt>
                <c:pt idx="27">
                  <c:v>-6.0519883635616709E-2</c:v>
                </c:pt>
                <c:pt idx="28">
                  <c:v>-5.1664988021683129E-2</c:v>
                </c:pt>
                <c:pt idx="29">
                  <c:v>-4.4275734865390458E-2</c:v>
                </c:pt>
                <c:pt idx="30">
                  <c:v>-3.8083817277502208E-2</c:v>
                </c:pt>
                <c:pt idx="31">
                  <c:v>-3.2874253131344212E-2</c:v>
                </c:pt>
                <c:pt idx="32">
                  <c:v>-2.847406823194441E-2</c:v>
                </c:pt>
                <c:pt idx="33">
                  <c:v>-2.474350246221009E-2</c:v>
                </c:pt>
                <c:pt idx="34">
                  <c:v>-2.1569158888265726E-2</c:v>
                </c:pt>
                <c:pt idx="35">
                  <c:v>-1.8858649878607043E-2</c:v>
                </c:pt>
                <c:pt idx="36">
                  <c:v>-1.6536398539101112E-2</c:v>
                </c:pt>
                <c:pt idx="37">
                  <c:v>-1.4540333924526092E-2</c:v>
                </c:pt>
                <c:pt idx="38">
                  <c:v>-1.2819279742611206E-2</c:v>
                </c:pt>
                <c:pt idx="39">
                  <c:v>-1.13308829346457E-2</c:v>
                </c:pt>
                <c:pt idx="40">
                  <c:v>-1.0039964038593297E-2</c:v>
                </c:pt>
                <c:pt idx="41">
                  <c:v>-8.9171982923236023E-3</c:v>
                </c:pt>
                <c:pt idx="42">
                  <c:v>-7.9380570668853428E-3</c:v>
                </c:pt>
                <c:pt idx="43">
                  <c:v>-7.0819549907589503E-3</c:v>
                </c:pt>
                <c:pt idx="44">
                  <c:v>-6.3315602136616257E-3</c:v>
                </c:pt>
                <c:pt idx="45">
                  <c:v>-5.6722345511425127E-3</c:v>
                </c:pt>
                <c:pt idx="46">
                  <c:v>-5.0915774185364068E-3</c:v>
                </c:pt>
                <c:pt idx="47">
                  <c:v>-4.5790530098583186E-3</c:v>
                </c:pt>
                <c:pt idx="48">
                  <c:v>-4.1256844853312944E-3</c:v>
                </c:pt>
                <c:pt idx="49">
                  <c:v>-3.7238022890990689E-3</c:v>
                </c:pt>
                <c:pt idx="50">
                  <c:v>-3.3668363452771639E-3</c:v>
                </c:pt>
                <c:pt idx="51">
                  <c:v>-3.0491439424525702E-3</c:v>
                </c:pt>
                <c:pt idx="52">
                  <c:v>-2.7658667411979711E-3</c:v>
                </c:pt>
                <c:pt idx="53">
                  <c:v>-2.512811623454275E-3</c:v>
                </c:pt>
                <c:pt idx="54">
                  <c:v>-2.2863511215136675E-3</c:v>
                </c:pt>
                <c:pt idx="55">
                  <c:v>-2.0833399754147542E-3</c:v>
                </c:pt>
                <c:pt idx="56">
                  <c:v>-1.901045015387426E-3</c:v>
                </c:pt>
                <c:pt idx="57">
                  <c:v>-1.7370860851198581E-3</c:v>
                </c:pt>
                <c:pt idx="58">
                  <c:v>-1.5893861389675748E-3</c:v>
                </c:pt>
                <c:pt idx="59">
                  <c:v>-1.4561289828002395E-3</c:v>
                </c:pt>
                <c:pt idx="60">
                  <c:v>-1.3357234004544231E-3</c:v>
                </c:pt>
                <c:pt idx="61">
                  <c:v>-1.2267726286784243E-3</c:v>
                </c:pt>
                <c:pt idx="62">
                  <c:v>-1.1280483232321422E-3</c:v>
                </c:pt>
                <c:pt idx="63">
                  <c:v>-1.0384683055226333E-3</c:v>
                </c:pt>
                <c:pt idx="64">
                  <c:v>-9.570774992295252E-4</c:v>
                </c:pt>
                <c:pt idx="65">
                  <c:v>-8.8303156491160062E-4</c:v>
                </c:pt>
                <c:pt idx="66">
                  <c:v>-8.155828216652941E-4</c:v>
                </c:pt>
                <c:pt idx="67">
                  <c:v>-7.5406811179471605E-4</c:v>
                </c:pt>
                <c:pt idx="68">
                  <c:v>-6.9789831977506772E-4</c:v>
                </c:pt>
                <c:pt idx="69">
                  <c:v>-6.4654930266086139E-4</c:v>
                </c:pt>
                <c:pt idx="70">
                  <c:v>-5.9955402721458548E-4</c:v>
                </c:pt>
                <c:pt idx="71">
                  <c:v>-5.5649574079313089E-4</c:v>
                </c:pt>
                <c:pt idx="72">
                  <c:v>-5.1700202955157117E-4</c:v>
                </c:pt>
                <c:pt idx="73">
                  <c:v>-4.8073963972090466E-4</c:v>
                </c:pt>
                <c:pt idx="74">
                  <c:v>-4.4740995633453702E-4</c:v>
                </c:pt>
                <c:pt idx="75">
                  <c:v>-4.1674504942817243E-4</c:v>
                </c:pt>
                <c:pt idx="76">
                  <c:v>-3.8850421092036805E-4</c:v>
                </c:pt>
                <c:pt idx="77">
                  <c:v>-3.624709165079934E-4</c:v>
                </c:pt>
                <c:pt idx="78">
                  <c:v>-3.384501563217243E-4</c:v>
                </c:pt>
                <c:pt idx="79">
                  <c:v>-3.1626608606170621E-4</c:v>
                </c:pt>
                <c:pt idx="80">
                  <c:v>-2.9575995710472272E-4</c:v>
                </c:pt>
                <c:pt idx="81">
                  <c:v>-2.7678828983411757E-4</c:v>
                </c:pt>
                <c:pt idx="82">
                  <c:v>-2.5922125935232821E-4</c:v>
                </c:pt>
                <c:pt idx="83">
                  <c:v>-2.4294126692655716E-4</c:v>
                </c:pt>
                <c:pt idx="84">
                  <c:v>-2.2784167410211067E-4</c:v>
                </c:pt>
                <c:pt idx="85">
                  <c:v>-2.1382567948836405E-4</c:v>
                </c:pt>
                <c:pt idx="86">
                  <c:v>-2.008053208571894E-4</c:v>
                </c:pt>
                <c:pt idx="87">
                  <c:v>-1.8870058745850231E-4</c:v>
                </c:pt>
                <c:pt idx="88">
                  <c:v>-1.7743862940746899E-4</c:v>
                </c:pt>
                <c:pt idx="89">
                  <c:v>-1.6695305267931136E-4</c:v>
                </c:pt>
                <c:pt idx="90">
                  <c:v>-1.5718328969973984E-4</c:v>
                </c:pt>
                <c:pt idx="91">
                  <c:v>-1.4807403677504475E-4</c:v>
                </c:pt>
                <c:pt idx="92">
                  <c:v>-1.3957475069383715E-4</c:v>
                </c:pt>
                <c:pt idx="93">
                  <c:v>-1.3163919777623044E-4</c:v>
                </c:pt>
                <c:pt idx="94">
                  <c:v>-1.2422504946615261E-4</c:v>
                </c:pt>
                <c:pt idx="95">
                  <c:v>-1.1729351927573542E-4</c:v>
                </c:pt>
                <c:pt idx="96">
                  <c:v>-1.1080903651207006E-4</c:v>
                </c:pt>
                <c:pt idx="97">
                  <c:v>-1.0473895275860895E-4</c:v>
                </c:pt>
                <c:pt idx="98">
                  <c:v>-9.9053277556900019E-5</c:v>
                </c:pt>
                <c:pt idx="99">
                  <c:v>-9.3724440148368123E-5</c:v>
                </c:pt>
                <c:pt idx="100">
                  <c:v>-8.8727074498415648E-5</c:v>
                </c:pt>
                <c:pt idx="101">
                  <c:v>-8.4037825143003561E-5</c:v>
                </c:pt>
                <c:pt idx="102">
                  <c:v>-7.9635171676925679E-5</c:v>
                </c:pt>
                <c:pt idx="103">
                  <c:v>-7.5499269948252069E-5</c:v>
                </c:pt>
                <c:pt idx="104">
                  <c:v>-7.1611808239235619E-5</c:v>
                </c:pt>
                <c:pt idx="105">
                  <c:v>-6.795587690409679E-5</c:v>
                </c:pt>
                <c:pt idx="106">
                  <c:v>-6.4515850101787414E-5</c:v>
                </c:pt>
                <c:pt idx="107">
                  <c:v>-6.1277278409885223E-5</c:v>
                </c:pt>
                <c:pt idx="108">
                  <c:v>-5.8226791236637646E-5</c:v>
                </c:pt>
                <c:pt idx="109">
                  <c:v>-5.535200806397277E-5</c:v>
                </c:pt>
                <c:pt idx="110">
                  <c:v>-5.2641457656868633E-5</c:v>
                </c:pt>
                <c:pt idx="111">
                  <c:v>-5.008450446542829E-5</c:v>
                </c:pt>
                <c:pt idx="112">
                  <c:v>-4.7671281526742238E-5</c:v>
                </c:pt>
                <c:pt idx="113">
                  <c:v>-4.5392629245353362E-5</c:v>
                </c:pt>
                <c:pt idx="114">
                  <c:v>-4.3240039494942513E-5</c:v>
                </c:pt>
                <c:pt idx="115">
                  <c:v>-4.1205604540649477E-5</c:v>
                </c:pt>
                <c:pt idx="116">
                  <c:v>-3.9281970332062935E-5</c:v>
                </c:pt>
                <c:pt idx="117">
                  <c:v>-3.746229376205725E-5</c:v>
                </c:pt>
                <c:pt idx="118">
                  <c:v>-3.5740203526961215E-5</c:v>
                </c:pt>
                <c:pt idx="119">
                  <c:v>-3.4109764259561806E-5</c:v>
                </c:pt>
                <c:pt idx="120">
                  <c:v>-3.2565443638659701E-5</c:v>
                </c:pt>
                <c:pt idx="121">
                  <c:v>-3.1102082207731699E-5</c:v>
                </c:pt>
                <c:pt idx="122">
                  <c:v>-2.9714865661092149E-5</c:v>
                </c:pt>
                <c:pt idx="123">
                  <c:v>-2.8399299379115865E-5</c:v>
                </c:pt>
                <c:pt idx="124">
                  <c:v>-2.7151185014878741E-5</c:v>
                </c:pt>
                <c:pt idx="125">
                  <c:v>-2.5966598953250687E-5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Met!$L$6</c:f>
              <c:strCache>
                <c:ptCount val="1"/>
                <c:pt idx="0">
                  <c:v>Thr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Met!$L$7:$L$132</c:f>
              <c:numCache>
                <c:formatCode>0.00</c:formatCode>
                <c:ptCount val="126"/>
                <c:pt idx="0">
                  <c:v>17990.74537332316</c:v>
                </c:pt>
                <c:pt idx="1">
                  <c:v>5657.7554728573768</c:v>
                </c:pt>
                <c:pt idx="2">
                  <c:v>1950.146256660852</c:v>
                </c:pt>
                <c:pt idx="3">
                  <c:v>722.32254275821651</c:v>
                </c:pt>
                <c:pt idx="4">
                  <c:v>282.35918870885649</c:v>
                </c:pt>
                <c:pt idx="5">
                  <c:v>114.34330179542425</c:v>
                </c:pt>
                <c:pt idx="6">
                  <c:v>46.895758265483892</c:v>
                </c:pt>
                <c:pt idx="7">
                  <c:v>18.820095284989392</c:v>
                </c:pt>
                <c:pt idx="8">
                  <c:v>6.8865351543265021</c:v>
                </c:pt>
                <c:pt idx="9">
                  <c:v>1.8112563574130118</c:v>
                </c:pt>
                <c:pt idx="10">
                  <c:v>-0.27813711576848821</c:v>
                </c:pt>
                <c:pt idx="11">
                  <c:v>-1.0533890038752904</c:v>
                </c:pt>
                <c:pt idx="12">
                  <c:v>-1.2550361294984469</c:v>
                </c:pt>
                <c:pt idx="13">
                  <c:v>-1.2163935288378016</c:v>
                </c:pt>
                <c:pt idx="14">
                  <c:v>-1.0880005768020533</c:v>
                </c:pt>
                <c:pt idx="15">
                  <c:v>-0.93682429093124686</c:v>
                </c:pt>
                <c:pt idx="16">
                  <c:v>-0.79124935017596398</c:v>
                </c:pt>
                <c:pt idx="17">
                  <c:v>-0.66188982655230211</c:v>
                </c:pt>
                <c:pt idx="18">
                  <c:v>-0.55134310333612657</c:v>
                </c:pt>
                <c:pt idx="19">
                  <c:v>-0.45878278101502029</c:v>
                </c:pt>
                <c:pt idx="20">
                  <c:v>-0.38210633846659336</c:v>
                </c:pt>
                <c:pt idx="21">
                  <c:v>-0.31891405274238993</c:v>
                </c:pt>
                <c:pt idx="22">
                  <c:v>-0.26692890581917988</c:v>
                </c:pt>
                <c:pt idx="23">
                  <c:v>-0.22415200276433275</c:v>
                </c:pt>
                <c:pt idx="24">
                  <c:v>-0.18889652244922608</c:v>
                </c:pt>
                <c:pt idx="25">
                  <c:v>-0.15976947129938604</c:v>
                </c:pt>
                <c:pt idx="26">
                  <c:v>-0.13563431669559778</c:v>
                </c:pt>
                <c:pt idx="27">
                  <c:v>-0.11556977173342875</c:v>
                </c:pt>
                <c:pt idx="28">
                  <c:v>-9.883129168337168E-2</c:v>
                </c:pt>
                <c:pt idx="29">
                  <c:v>-8.4817652957271034E-2</c:v>
                </c:pt>
                <c:pt idx="30">
                  <c:v>-7.3043044185332931E-2</c:v>
                </c:pt>
                <c:pt idx="31">
                  <c:v>-6.3114266925434384E-2</c:v>
                </c:pt>
                <c:pt idx="32">
                  <c:v>-5.4712347802980961E-2</c:v>
                </c:pt>
                <c:pt idx="33">
                  <c:v>-4.7577817187483114E-2</c:v>
                </c:pt>
                <c:pt idx="34">
                  <c:v>-4.149896916035023E-2</c:v>
                </c:pt>
                <c:pt idx="35">
                  <c:v>-3.6302514224097492E-2</c:v>
                </c:pt>
                <c:pt idx="36">
                  <c:v>-3.1846137747895041E-2</c:v>
                </c:pt>
                <c:pt idx="37">
                  <c:v>-2.8012569861657888E-2</c:v>
                </c:pt>
                <c:pt idx="38">
                  <c:v>-2.4704851746205715E-2</c:v>
                </c:pt>
                <c:pt idx="39">
                  <c:v>-2.1842548556908162E-2</c:v>
                </c:pt>
                <c:pt idx="40">
                  <c:v>-1.9358711867414023E-2</c:v>
                </c:pt>
                <c:pt idx="41">
                  <c:v>-1.7197436418903214E-2</c:v>
                </c:pt>
                <c:pt idx="42">
                  <c:v>-1.5311889036141306E-2</c:v>
                </c:pt>
                <c:pt idx="43">
                  <c:v>-1.3662713559162517E-2</c:v>
                </c:pt>
                <c:pt idx="44">
                  <c:v>-1.2216736007053055E-2</c:v>
                </c:pt>
                <c:pt idx="45">
                  <c:v>-1.0945910138590541E-2</c:v>
                </c:pt>
                <c:pt idx="46">
                  <c:v>-9.8264560645566681E-3</c:v>
                </c:pt>
                <c:pt idx="47">
                  <c:v>-8.8381543577647336E-3</c:v>
                </c:pt>
                <c:pt idx="48">
                  <c:v>-7.9637657942718838E-3</c:v>
                </c:pt>
                <c:pt idx="49">
                  <c:v>-7.1885529067833194E-3</c:v>
                </c:pt>
                <c:pt idx="50">
                  <c:v>-6.4998842995317562E-3</c:v>
                </c:pt>
                <c:pt idx="51">
                  <c:v>-5.8869064429000013E-3</c:v>
                </c:pt>
                <c:pt idx="52">
                  <c:v>-5.3402706530517726E-3</c:v>
                </c:pt>
                <c:pt idx="53">
                  <c:v>-4.851905335605782E-3</c:v>
                </c:pt>
                <c:pt idx="54">
                  <c:v>-4.4148254641466992E-3</c:v>
                </c:pt>
                <c:pt idx="55">
                  <c:v>-4.0229727763039253E-3</c:v>
                </c:pt>
                <c:pt idx="56">
                  <c:v>-3.6710813819826969E-3</c:v>
                </c:pt>
                <c:pt idx="57">
                  <c:v>-3.3545644524603994E-3</c:v>
                </c:pt>
                <c:pt idx="58">
                  <c:v>-3.0694184443426889E-3</c:v>
                </c:pt>
                <c:pt idx="59">
                  <c:v>-2.8121419472214469E-3</c:v>
                </c:pt>
                <c:pt idx="60">
                  <c:v>-2.5796667585525818E-3</c:v>
                </c:pt>
                <c:pt idx="61">
                  <c:v>-2.3692992076831624E-3</c:v>
                </c:pt>
                <c:pt idx="62">
                  <c:v>-2.1786700920410663E-3</c:v>
                </c:pt>
                <c:pt idx="63">
                  <c:v>-2.0056918672960214E-3</c:v>
                </c:pt>
                <c:pt idx="64">
                  <c:v>-1.8485219617868493E-3</c:v>
                </c:pt>
                <c:pt idx="65">
                  <c:v>-1.7055312732509925E-3</c:v>
                </c:pt>
                <c:pt idx="66">
                  <c:v>-1.5752770605477876E-3</c:v>
                </c:pt>
                <c:pt idx="67">
                  <c:v>-1.4564795707856897E-3</c:v>
                </c:pt>
                <c:pt idx="68">
                  <c:v>-1.3480018479954414E-3</c:v>
                </c:pt>
                <c:pt idx="69">
                  <c:v>-1.2488322572309564E-3</c:v>
                </c:pt>
                <c:pt idx="70">
                  <c:v>-1.1580693309601554E-3</c:v>
                </c:pt>
                <c:pt idx="71">
                  <c:v>-1.0749086054511374E-3</c:v>
                </c:pt>
                <c:pt idx="72">
                  <c:v>-9.986311656978691E-4</c:v>
                </c:pt>
                <c:pt idx="73">
                  <c:v>-9.2859366000222097E-4</c:v>
                </c:pt>
                <c:pt idx="74">
                  <c:v>-8.6421958105669804E-4</c:v>
                </c:pt>
                <c:pt idx="75">
                  <c:v>-8.0499164041828667E-4</c:v>
                </c:pt>
                <c:pt idx="76">
                  <c:v>-7.5044508858413436E-4</c:v>
                </c:pt>
                <c:pt idx="77">
                  <c:v>-7.0016185426054179E-4</c:v>
                </c:pt>
                <c:pt idx="78">
                  <c:v>-6.5376539450668161E-4</c:v>
                </c:pt>
                <c:pt idx="79">
                  <c:v>-6.1091616276957221E-4</c:v>
                </c:pt>
                <c:pt idx="80">
                  <c:v>-5.7130761485123759E-4</c:v>
                </c:pt>
                <c:pt idx="81">
                  <c:v>-5.3466268393141041E-4</c:v>
                </c:pt>
                <c:pt idx="82">
                  <c:v>-5.0073066521608936E-4</c:v>
                </c:pt>
                <c:pt idx="83">
                  <c:v>-4.692844588495303E-4</c:v>
                </c:pt>
                <c:pt idx="84">
                  <c:v>-4.4011812662817423E-4</c:v>
                </c:pt>
                <c:pt idx="85">
                  <c:v>-4.1304472396834171E-4</c:v>
                </c:pt>
                <c:pt idx="86">
                  <c:v>-3.878943736549927E-4</c:v>
                </c:pt>
                <c:pt idx="87">
                  <c:v>-3.6451255226228944E-4</c:v>
                </c:pt>
                <c:pt idx="88">
                  <c:v>-3.4275856389400183E-4</c:v>
                </c:pt>
                <c:pt idx="89">
                  <c:v>-3.2250417913223047E-4</c:v>
                </c:pt>
                <c:pt idx="90">
                  <c:v>-3.0363241988186303E-4</c:v>
                </c:pt>
                <c:pt idx="91">
                  <c:v>-2.8603647321944538E-4</c:v>
                </c:pt>
                <c:pt idx="92">
                  <c:v>-2.6961871945274982E-4</c:v>
                </c:pt>
                <c:pt idx="93">
                  <c:v>-2.5428986141719391E-4</c:v>
                </c:pt>
                <c:pt idx="94">
                  <c:v>-2.3996814361637827E-4</c:v>
                </c:pt>
                <c:pt idx="95">
                  <c:v>-2.2657865118963163E-4</c:v>
                </c:pt>
                <c:pt idx="96">
                  <c:v>-2.1405267988789721E-4</c:v>
                </c:pt>
                <c:pt idx="97">
                  <c:v>-2.0232716928479221E-4</c:v>
                </c:pt>
                <c:pt idx="98">
                  <c:v>-1.9134419236293185E-4</c:v>
                </c:pt>
                <c:pt idx="99">
                  <c:v>-1.8105049541439422E-4</c:v>
                </c:pt>
                <c:pt idx="100">
                  <c:v>-1.713970828937265E-4</c:v>
                </c:pt>
                <c:pt idx="101">
                  <c:v>-1.6233884247527711E-4</c:v>
                </c:pt>
                <c:pt idx="102">
                  <c:v>-1.5383420610511631E-4</c:v>
                </c:pt>
                <c:pt idx="103">
                  <c:v>-1.4584484331111526E-4</c:v>
                </c:pt>
                <c:pt idx="104">
                  <c:v>-1.3833538345125554E-4</c:v>
                </c:pt>
                <c:pt idx="105">
                  <c:v>-1.3127316394717612E-4</c:v>
                </c:pt>
                <c:pt idx="106">
                  <c:v>-1.2462800187361151E-4</c:v>
                </c:pt>
                <c:pt idx="107">
                  <c:v>-1.1837198656013641E-4</c:v>
                </c:pt>
                <c:pt idx="108">
                  <c:v>-1.1247929111424274E-4</c:v>
                </c:pt>
                <c:pt idx="109">
                  <c:v>-1.0692600099830143E-4</c:v>
                </c:pt>
                <c:pt idx="110">
                  <c:v>-1.0168995799097258E-4</c:v>
                </c:pt>
                <c:pt idx="111">
                  <c:v>-9.6750618039214567E-5</c:v>
                </c:pt>
                <c:pt idx="112">
                  <c:v>-9.2088921662902834E-5</c:v>
                </c:pt>
                <c:pt idx="113">
                  <c:v>-8.7687175712559387E-5</c:v>
                </c:pt>
                <c:pt idx="114">
                  <c:v>-8.3528945403873382E-5</c:v>
                </c:pt>
                <c:pt idx="115">
                  <c:v>-7.9598955662352739E-5</c:v>
                </c:pt>
                <c:pt idx="116">
                  <c:v>-7.5883000909178648E-5</c:v>
                </c:pt>
                <c:pt idx="117">
                  <c:v>-7.2367862506499605E-5</c:v>
                </c:pt>
                <c:pt idx="118">
                  <c:v>-6.9041233158230168E-5</c:v>
                </c:pt>
                <c:pt idx="119">
                  <c:v>-6.5891647631965183E-5</c:v>
                </c:pt>
                <c:pt idx="120">
                  <c:v>-6.2908419229823682E-5</c:v>
                </c:pt>
                <c:pt idx="121">
                  <c:v>-6.0081581491722798E-5</c:v>
                </c:pt>
                <c:pt idx="122">
                  <c:v>-5.7401834664473288E-5</c:v>
                </c:pt>
                <c:pt idx="123">
                  <c:v>-5.4860496514831542E-5</c:v>
                </c:pt>
                <c:pt idx="124">
                  <c:v>-5.2449457104797087E-5</c:v>
                </c:pt>
                <c:pt idx="125">
                  <c:v>-5.0161137183515161E-5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Met!$M$6</c:f>
              <c:strCache>
                <c:ptCount val="1"/>
                <c:pt idx="0">
                  <c:v>Ser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Met!$M$7:$M$132</c:f>
              <c:numCache>
                <c:formatCode>0.00</c:formatCode>
                <c:ptCount val="126"/>
                <c:pt idx="0">
                  <c:v>2413.7003474594367</c:v>
                </c:pt>
                <c:pt idx="1">
                  <c:v>741.33737834149179</c:v>
                </c:pt>
                <c:pt idx="2">
                  <c:v>245.5775195763471</c:v>
                </c:pt>
                <c:pt idx="3">
                  <c:v>85.065688405444192</c:v>
                </c:pt>
                <c:pt idx="4">
                  <c:v>29.577795353096892</c:v>
                </c:pt>
                <c:pt idx="5">
                  <c:v>9.5662040680071989</c:v>
                </c:pt>
                <c:pt idx="6">
                  <c:v>2.2500582732778214</c:v>
                </c:pt>
                <c:pt idx="7">
                  <c:v>-0.33853338831308277</c:v>
                </c:pt>
                <c:pt idx="8">
                  <c:v>-1.1337290369958832</c:v>
                </c:pt>
                <c:pt idx="9">
                  <c:v>-1.2570756158413932</c:v>
                </c:pt>
                <c:pt idx="10">
                  <c:v>-1.1463564417483272</c:v>
                </c:pt>
                <c:pt idx="11">
                  <c:v>-0.97224324923767302</c:v>
                </c:pt>
                <c:pt idx="12">
                  <c:v>-0.79873225725430208</c:v>
                </c:pt>
                <c:pt idx="13">
                  <c:v>-0.64698474150513952</c:v>
                </c:pt>
                <c:pt idx="14">
                  <c:v>-0.52130645755926153</c:v>
                </c:pt>
                <c:pt idx="15">
                  <c:v>-0.41982092429994511</c:v>
                </c:pt>
                <c:pt idx="16">
                  <c:v>-0.33881507026418767</c:v>
                </c:pt>
                <c:pt idx="17">
                  <c:v>-0.27443725625527071</c:v>
                </c:pt>
                <c:pt idx="18">
                  <c:v>-0.22328957703089664</c:v>
                </c:pt>
                <c:pt idx="19">
                  <c:v>-0.18256936226004586</c:v>
                </c:pt>
                <c:pt idx="20">
                  <c:v>-0.15003882222326048</c:v>
                </c:pt>
                <c:pt idx="21">
                  <c:v>-0.1239400718306669</c:v>
                </c:pt>
                <c:pt idx="22">
                  <c:v>-0.10290280070617465</c:v>
                </c:pt>
                <c:pt idx="23">
                  <c:v>-8.5861775984050676E-2</c:v>
                </c:pt>
                <c:pt idx="24">
                  <c:v>-7.1988762300619832E-2</c:v>
                </c:pt>
                <c:pt idx="25">
                  <c:v>-6.0638489767234537E-2</c:v>
                </c:pt>
                <c:pt idx="26">
                  <c:v>-5.1306641204799247E-2</c:v>
                </c:pt>
                <c:pt idx="27">
                  <c:v>-4.3597532335893203E-2</c:v>
                </c:pt>
                <c:pt idx="28">
                  <c:v>-3.7199373220651241E-2</c:v>
                </c:pt>
                <c:pt idx="29">
                  <c:v>-3.186536214011336E-2</c:v>
                </c:pt>
                <c:pt idx="30">
                  <c:v>-2.7399227695970228E-2</c:v>
                </c:pt>
                <c:pt idx="31">
                  <c:v>-2.3644149825419927E-2</c:v>
                </c:pt>
                <c:pt idx="32">
                  <c:v>-2.0474244708772512E-2</c:v>
                </c:pt>
                <c:pt idx="33">
                  <c:v>-1.7787996737175141E-2</c:v>
                </c:pt>
                <c:pt idx="34">
                  <c:v>-1.5503172182157002E-2</c:v>
                </c:pt>
                <c:pt idx="35">
                  <c:v>-1.3552863719671527E-2</c:v>
                </c:pt>
                <c:pt idx="36">
                  <c:v>-1.1882401032841714E-2</c:v>
                </c:pt>
                <c:pt idx="37">
                  <c:v>-1.0446927253505135E-2</c:v>
                </c:pt>
                <c:pt idx="38">
                  <c:v>-9.2094893761553182E-3</c:v>
                </c:pt>
                <c:pt idx="39">
                  <c:v>-8.1395270778801612E-3</c:v>
                </c:pt>
                <c:pt idx="40">
                  <c:v>-7.2116716757072525E-3</c:v>
                </c:pt>
                <c:pt idx="41">
                  <c:v>-6.40478753844683E-3</c:v>
                </c:pt>
                <c:pt idx="42">
                  <c:v>-5.701203844850406E-3</c:v>
                </c:pt>
                <c:pt idx="43">
                  <c:v>-5.0860964056650719E-3</c:v>
                </c:pt>
                <c:pt idx="44">
                  <c:v>-4.5469882803903993E-3</c:v>
                </c:pt>
                <c:pt idx="45">
                  <c:v>-4.0733448160351323E-3</c:v>
                </c:pt>
                <c:pt idx="46">
                  <c:v>-3.656244033056743E-3</c:v>
                </c:pt>
                <c:pt idx="47">
                  <c:v>-3.2881073698200767E-3</c:v>
                </c:pt>
                <c:pt idx="48">
                  <c:v>-2.9624789610955475E-3</c:v>
                </c:pt>
                <c:pt idx="49">
                  <c:v>-2.6738440860969823E-3</c:v>
                </c:pt>
                <c:pt idx="50">
                  <c:v>-2.4174793415709336E-3</c:v>
                </c:pt>
                <c:pt idx="51">
                  <c:v>-2.1893285998149932E-3</c:v>
                </c:pt>
                <c:pt idx="52">
                  <c:v>-1.9858999946833142E-3</c:v>
                </c:pt>
                <c:pt idx="53">
                  <c:v>-1.8041801126756688E-3</c:v>
                </c:pt>
                <c:pt idx="54">
                  <c:v>-1.6415623062552046E-3</c:v>
                </c:pt>
                <c:pt idx="55">
                  <c:v>-1.4957866349816582E-3</c:v>
                </c:pt>
                <c:pt idx="56">
                  <c:v>-1.3648894095706779E-3</c:v>
                </c:pt>
                <c:pt idx="57">
                  <c:v>-1.2471606899035494E-3</c:v>
                </c:pt>
                <c:pt idx="58">
                  <c:v>-1.1411083899775139E-3</c:v>
                </c:pt>
                <c:pt idx="59">
                  <c:v>-1.0454278861374783E-3</c:v>
                </c:pt>
                <c:pt idx="60">
                  <c:v>-9.5897622166247782E-4</c:v>
                </c:pt>
                <c:pt idx="61">
                  <c:v>-8.8075016031480464E-4</c:v>
                </c:pt>
                <c:pt idx="62">
                  <c:v>-8.0986747121799076E-4</c:v>
                </c:pt>
                <c:pt idx="63">
                  <c:v>-7.4555093327791978E-4</c:v>
                </c:pt>
                <c:pt idx="64">
                  <c:v>-6.8711463395135491E-4</c:v>
                </c:pt>
                <c:pt idx="65">
                  <c:v>-6.3395220819871154E-4</c:v>
                </c:pt>
                <c:pt idx="66">
                  <c:v>-5.8552672188593965E-4</c:v>
                </c:pt>
                <c:pt idx="67">
                  <c:v>-5.4136195208750462E-4</c:v>
                </c:pt>
                <c:pt idx="68">
                  <c:v>-5.0103485658586932E-4</c:v>
                </c:pt>
                <c:pt idx="69">
                  <c:v>-4.6416905789006449E-4</c:v>
                </c:pt>
                <c:pt idx="70">
                  <c:v>-4.3042919453998088E-4</c:v>
                </c:pt>
                <c:pt idx="71">
                  <c:v>-3.9951601532219294E-4</c:v>
                </c:pt>
                <c:pt idx="72">
                  <c:v>-3.7116211110777822E-4</c:v>
                </c:pt>
                <c:pt idx="73">
                  <c:v>-3.4512819499217773E-4</c:v>
                </c:pt>
                <c:pt idx="74">
                  <c:v>-3.2119985480978604E-4</c:v>
                </c:pt>
                <c:pt idx="75">
                  <c:v>-2.9918471335180148E-4</c:v>
                </c:pt>
                <c:pt idx="76">
                  <c:v>-2.7890994109587965E-4</c:v>
                </c:pt>
                <c:pt idx="77">
                  <c:v>-2.6022007425693591E-4</c:v>
                </c:pt>
                <c:pt idx="78">
                  <c:v>-2.429750977345245E-4</c:v>
                </c:pt>
                <c:pt idx="79">
                  <c:v>-2.2704875826537173E-4</c:v>
                </c:pt>
                <c:pt idx="80">
                  <c:v>-2.123270779569223E-4</c:v>
                </c:pt>
                <c:pt idx="81">
                  <c:v>-1.9870704251774893E-4</c:v>
                </c:pt>
                <c:pt idx="82">
                  <c:v>-1.8609544202849096E-4</c:v>
                </c:pt>
                <c:pt idx="83">
                  <c:v>-1.7440784510860594E-4</c:v>
                </c:pt>
                <c:pt idx="84">
                  <c:v>-1.6356768990967107E-4</c:v>
                </c:pt>
                <c:pt idx="85">
                  <c:v>-1.5350547757224129E-4</c:v>
                </c:pt>
                <c:pt idx="86">
                  <c:v>-1.4415805567644923E-4</c:v>
                </c:pt>
                <c:pt idx="87">
                  <c:v>-1.354679808437496E-4</c:v>
                </c:pt>
                <c:pt idx="88">
                  <c:v>-1.2738295104806885E-4</c:v>
                </c:pt>
                <c:pt idx="89">
                  <c:v>-1.1985529940254064E-4</c:v>
                </c:pt>
                <c:pt idx="90">
                  <c:v>-1.1284154223114861E-4</c:v>
                </c:pt>
                <c:pt idx="91">
                  <c:v>-1.0630197513683408E-4</c:v>
                </c:pt>
                <c:pt idx="92">
                  <c:v>-1.0020031155912204E-4</c:v>
                </c:pt>
                <c:pt idx="93">
                  <c:v>-9.4503358992243064E-5</c:v>
                </c:pt>
                <c:pt idx="94">
                  <c:v>-8.9180728623632441E-5</c:v>
                </c:pt>
                <c:pt idx="95">
                  <c:v>-8.4204574664979362E-5</c:v>
                </c:pt>
                <c:pt idx="96">
                  <c:v>-7.9549360094263632E-5</c:v>
                </c:pt>
                <c:pt idx="97">
                  <c:v>-7.5191645916477035E-5</c:v>
                </c:pt>
                <c:pt idx="98">
                  <c:v>-7.1109901390719579E-5</c:v>
                </c:pt>
                <c:pt idx="99">
                  <c:v>-6.7284332968705954E-5</c:v>
                </c:pt>
                <c:pt idx="100">
                  <c:v>-6.3696729950088514E-5</c:v>
                </c:pt>
                <c:pt idx="101">
                  <c:v>-6.0330325088292264E-5</c:v>
                </c:pt>
                <c:pt idx="102">
                  <c:v>-5.7169668580952287E-5</c:v>
                </c:pt>
                <c:pt idx="103">
                  <c:v>-5.4200514055170673E-5</c:v>
                </c:pt>
                <c:pt idx="104">
                  <c:v>-5.1409715312789648E-5</c:v>
                </c:pt>
                <c:pt idx="105">
                  <c:v>-4.8785132737401597E-5</c:v>
                </c:pt>
                <c:pt idx="106">
                  <c:v>-4.6315548385228855E-5</c:v>
                </c:pt>
                <c:pt idx="107">
                  <c:v>-4.3990588888316912E-5</c:v>
                </c:pt>
                <c:pt idx="108">
                  <c:v>-4.1800655392455347E-5</c:v>
                </c:pt>
                <c:pt idx="109">
                  <c:v>-3.9736859835390937E-5</c:v>
                </c:pt>
                <c:pt idx="110">
                  <c:v>-3.7790966944548881E-5</c:v>
                </c:pt>
                <c:pt idx="111">
                  <c:v>-3.5955341398789247E-5</c:v>
                </c:pt>
                <c:pt idx="112">
                  <c:v>-3.4222899656693962E-5</c:v>
                </c:pt>
                <c:pt idx="113">
                  <c:v>-3.258706600538721E-5</c:v>
                </c:pt>
                <c:pt idx="114">
                  <c:v>-3.1041732429702456E-5</c:v>
                </c:pt>
                <c:pt idx="115">
                  <c:v>-2.9581221942291443E-5</c:v>
                </c:pt>
                <c:pt idx="116">
                  <c:v>-2.8200255051613026E-5</c:v>
                </c:pt>
                <c:pt idx="117">
                  <c:v>-2.6893919077155447E-5</c:v>
                </c:pt>
                <c:pt idx="118">
                  <c:v>-2.565764005018416E-5</c:v>
                </c:pt>
                <c:pt idx="119">
                  <c:v>-2.4487156964169226E-5</c:v>
                </c:pt>
                <c:pt idx="120">
                  <c:v>-2.3378498162174159E-5</c:v>
                </c:pt>
                <c:pt idx="121">
                  <c:v>-2.2327959669194221E-5</c:v>
                </c:pt>
                <c:pt idx="122">
                  <c:v>-2.1332085295982241E-5</c:v>
                </c:pt>
                <c:pt idx="123">
                  <c:v>-2.0387648357535544E-5</c:v>
                </c:pt>
                <c:pt idx="124">
                  <c:v>-1.9491634864347193E-5</c:v>
                </c:pt>
                <c:pt idx="125">
                  <c:v>-1.8641228057934889E-5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Met!$N$6</c:f>
              <c:strCache>
                <c:ptCount val="1"/>
                <c:pt idx="0">
                  <c:v>Gln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Met!$N$7:$N$132</c:f>
              <c:numCache>
                <c:formatCode>0.00</c:formatCode>
                <c:ptCount val="126"/>
                <c:pt idx="0">
                  <c:v>209.12959675239537</c:v>
                </c:pt>
                <c:pt idx="1">
                  <c:v>58.010165402351888</c:v>
                </c:pt>
                <c:pt idx="2">
                  <c:v>15.640792262653395</c:v>
                </c:pt>
                <c:pt idx="3">
                  <c:v>3.2136889533168418</c:v>
                </c:pt>
                <c:pt idx="4">
                  <c:v>-0.35184691890899894</c:v>
                </c:pt>
                <c:pt idx="5">
                  <c:v>-1.1977758432470447</c:v>
                </c:pt>
                <c:pt idx="6">
                  <c:v>-1.2235048841846285</c:v>
                </c:pt>
                <c:pt idx="7">
                  <c:v>-1.0343081407863981</c:v>
                </c:pt>
                <c:pt idx="8">
                  <c:v>-0.82038374223400401</c:v>
                </c:pt>
                <c:pt idx="9">
                  <c:v>-0.63538557295071463</c:v>
                </c:pt>
                <c:pt idx="10">
                  <c:v>-0.48855310675471314</c:v>
                </c:pt>
                <c:pt idx="11">
                  <c:v>-0.3758569954370744</c:v>
                </c:pt>
                <c:pt idx="12">
                  <c:v>-0.29043321681114226</c:v>
                </c:pt>
                <c:pt idx="13">
                  <c:v>-0.22584751437615522</c:v>
                </c:pt>
                <c:pt idx="14">
                  <c:v>-0.17689579034997063</c:v>
                </c:pt>
                <c:pt idx="15">
                  <c:v>-0.13960367490903905</c:v>
                </c:pt>
                <c:pt idx="16">
                  <c:v>-0.11100979163292987</c:v>
                </c:pt>
                <c:pt idx="17">
                  <c:v>-8.89288748533201E-2</c:v>
                </c:pt>
                <c:pt idx="18">
                  <c:v>-7.1751688989618173E-2</c:v>
                </c:pt>
                <c:pt idx="19">
                  <c:v>-5.8290687850600445E-2</c:v>
                </c:pt>
                <c:pt idx="20">
                  <c:v>-4.7665606513292748E-2</c:v>
                </c:pt>
                <c:pt idx="21">
                  <c:v>-3.9220182033991254E-2</c:v>
                </c:pt>
                <c:pt idx="22">
                  <c:v>-3.2461977792826946E-2</c:v>
                </c:pt>
                <c:pt idx="23">
                  <c:v>-2.7018964401253929E-2</c:v>
                </c:pt>
                <c:pt idx="24">
                  <c:v>-2.2608129051245807E-2</c:v>
                </c:pt>
                <c:pt idx="25">
                  <c:v>-1.9012690060221927E-2</c:v>
                </c:pt>
                <c:pt idx="26">
                  <c:v>-1.6065471388460578E-2</c:v>
                </c:pt>
                <c:pt idx="27">
                  <c:v>-1.3636700045385839E-2</c:v>
                </c:pt>
                <c:pt idx="28">
                  <c:v>-1.1624993390645483E-2</c:v>
                </c:pt>
                <c:pt idx="29">
                  <c:v>-9.9506594187682932E-3</c:v>
                </c:pt>
                <c:pt idx="30">
                  <c:v>-8.5506840547637328E-3</c:v>
                </c:pt>
                <c:pt idx="31">
                  <c:v>-7.3749564818972142E-3</c:v>
                </c:pt>
                <c:pt idx="32">
                  <c:v>-6.3834087206621959E-3</c:v>
                </c:pt>
                <c:pt idx="33">
                  <c:v>-5.5438346050239399E-3</c:v>
                </c:pt>
                <c:pt idx="34">
                  <c:v>-4.8302167790859061E-3</c:v>
                </c:pt>
                <c:pt idx="35">
                  <c:v>-4.2214358947026175E-3</c:v>
                </c:pt>
                <c:pt idx="36">
                  <c:v>-3.7002690744129076E-3</c:v>
                </c:pt>
                <c:pt idx="37">
                  <c:v>-3.2526085794999035E-3</c:v>
                </c:pt>
                <c:pt idx="38">
                  <c:v>-2.8668490605107356E-3</c:v>
                </c:pt>
                <c:pt idx="39">
                  <c:v>-2.5334045783291315E-3</c:v>
                </c:pt>
                <c:pt idx="40">
                  <c:v>-2.2443260504642899E-3</c:v>
                </c:pt>
                <c:pt idx="41">
                  <c:v>-1.9929968127310018E-3</c:v>
                </c:pt>
                <c:pt idx="42">
                  <c:v>-1.7738892446376995E-3</c:v>
                </c:pt>
                <c:pt idx="43">
                  <c:v>-1.5823693581410105E-3</c:v>
                </c:pt>
                <c:pt idx="44">
                  <c:v>-1.4145392346113393E-3</c:v>
                </c:pt>
                <c:pt idx="45">
                  <c:v>-1.2671094618393549E-3</c:v>
                </c:pt>
                <c:pt idx="46">
                  <c:v>-1.1372954531780341E-3</c:v>
                </c:pt>
                <c:pt idx="47">
                  <c:v>-1.0227328579989555E-3</c:v>
                </c:pt>
                <c:pt idx="48">
                  <c:v>-9.214082953284393E-4</c:v>
                </c:pt>
                <c:pt idx="49">
                  <c:v>-8.3160243426968811E-4</c:v>
                </c:pt>
                <c:pt idx="50">
                  <c:v>-7.5184306050129232E-4</c:v>
                </c:pt>
                <c:pt idx="51">
                  <c:v>-6.8086624899128313E-4</c:v>
                </c:pt>
                <c:pt idx="52">
                  <c:v>-6.1758414018377617E-4</c:v>
                </c:pt>
                <c:pt idx="53">
                  <c:v>-5.6105811388199695E-4</c:v>
                </c:pt>
                <c:pt idx="54">
                  <c:v>-5.1047638982381998E-4</c:v>
                </c:pt>
                <c:pt idx="55">
                  <c:v>-4.6513527025882111E-4</c:v>
                </c:pt>
                <c:pt idx="56">
                  <c:v>-4.2442338823962393E-4</c:v>
                </c:pt>
                <c:pt idx="57">
                  <c:v>-3.8780844397353302E-4</c:v>
                </c:pt>
                <c:pt idx="58">
                  <c:v>-3.5482600674589598E-4</c:v>
                </c:pt>
                <c:pt idx="59">
                  <c:v>-3.2507003652521753E-4</c:v>
                </c:pt>
                <c:pt idx="60">
                  <c:v>-2.9818484121680081E-4</c:v>
                </c:pt>
                <c:pt idx="61">
                  <c:v>-2.738582356432003E-4</c:v>
                </c:pt>
                <c:pt idx="62">
                  <c:v>-2.5181570905213169E-4</c:v>
                </c:pt>
                <c:pt idx="63">
                  <c:v>-2.318154411445751E-4</c:v>
                </c:pt>
                <c:pt idx="64">
                  <c:v>-2.1364403374937315E-4</c:v>
                </c:pt>
                <c:pt idx="65">
                  <c:v>-1.9711284751471761E-4</c:v>
                </c:pt>
                <c:pt idx="66">
                  <c:v>-1.8205485127309606E-4</c:v>
                </c:pt>
                <c:pt idx="67">
                  <c:v>-1.6832190680935455E-4</c:v>
                </c:pt>
                <c:pt idx="68">
                  <c:v>-1.5578242421864275E-4</c:v>
                </c:pt>
                <c:pt idx="69">
                  <c:v>-1.4431933336249428E-4</c:v>
                </c:pt>
                <c:pt idx="70">
                  <c:v>-1.3382832550454216E-4</c:v>
                </c:pt>
                <c:pt idx="71">
                  <c:v>-1.2421632634575125E-4</c:v>
                </c:pt>
                <c:pt idx="72">
                  <c:v>-1.1540016763676402E-4</c:v>
                </c:pt>
                <c:pt idx="73">
                  <c:v>-1.0730542952871661E-4</c:v>
                </c:pt>
                <c:pt idx="74">
                  <c:v>-9.9865430002280548E-5</c:v>
                </c:pt>
                <c:pt idx="75">
                  <c:v>-9.3020341225527923E-5</c:v>
                </c:pt>
                <c:pt idx="76">
                  <c:v>-8.6716415647469853E-5</c:v>
                </c:pt>
                <c:pt idx="77">
                  <c:v>-8.0905307128560349E-5</c:v>
                </c:pt>
                <c:pt idx="78">
                  <c:v>-7.5543474518533155E-5</c:v>
                </c:pt>
                <c:pt idx="79">
                  <c:v>-7.059165687871508E-5</c:v>
                </c:pt>
                <c:pt idx="80">
                  <c:v>-6.6014411062630693E-5</c:v>
                </c:pt>
                <c:pt idx="81">
                  <c:v>-6.1779703658557846E-5</c:v>
                </c:pt>
                <c:pt idx="82">
                  <c:v>-5.7858550396658507E-5</c:v>
                </c:pt>
                <c:pt idx="83">
                  <c:v>-5.4224697061347589E-5</c:v>
                </c:pt>
                <c:pt idx="84">
                  <c:v>-5.0854336751652562E-5</c:v>
                </c:pt>
                <c:pt idx="85">
                  <c:v>-4.772585901934993E-5</c:v>
                </c:pt>
                <c:pt idx="86">
                  <c:v>-4.4819627004145685E-5</c:v>
                </c:pt>
                <c:pt idx="87">
                  <c:v>-4.2117779191782016E-5</c:v>
                </c:pt>
                <c:pt idx="88">
                  <c:v>-3.9604052857058759E-5</c:v>
                </c:pt>
                <c:pt idx="89">
                  <c:v>-3.7263626629766731E-5</c:v>
                </c:pt>
                <c:pt idx="90">
                  <c:v>-3.5082979946221947E-5</c:v>
                </c:pt>
                <c:pt idx="91">
                  <c:v>-3.3049767429902885E-5</c:v>
                </c:pt>
                <c:pt idx="92">
                  <c:v>-3.1152706487910629E-5</c:v>
                </c:pt>
                <c:pt idx="93">
                  <c:v>-2.9381476620942958E-5</c:v>
                </c:pt>
                <c:pt idx="94">
                  <c:v>-2.7726629127730941E-5</c:v>
                </c:pt>
                <c:pt idx="95">
                  <c:v>-2.6179506044295207E-5</c:v>
                </c:pt>
                <c:pt idx="96">
                  <c:v>-2.4732167297234988E-5</c:v>
                </c:pt>
                <c:pt idx="97">
                  <c:v>-2.337732517137675E-5</c:v>
                </c:pt>
                <c:pt idx="98">
                  <c:v>-2.210828529788914E-5</c:v>
                </c:pt>
                <c:pt idx="99">
                  <c:v>-2.0918893461478666E-5</c:v>
                </c:pt>
                <c:pt idx="100">
                  <c:v>-1.9803487606281727E-5</c:v>
                </c:pt>
                <c:pt idx="101">
                  <c:v>-1.8756854491087308E-5</c:v>
                </c:pt>
                <c:pt idx="102">
                  <c:v>-1.7774190506862655E-5</c:v>
                </c:pt>
                <c:pt idx="103">
                  <c:v>-1.6851066224342567E-5</c:v>
                </c:pt>
                <c:pt idx="104">
                  <c:v>-1.5983394287650041E-5</c:v>
                </c:pt>
                <c:pt idx="105">
                  <c:v>-1.5167400312382835E-5</c:v>
                </c:pt>
                <c:pt idx="106">
                  <c:v>-1.4399596484053447E-5</c:v>
                </c:pt>
                <c:pt idx="107">
                  <c:v>-1.3676757585836608E-5</c:v>
                </c:pt>
                <c:pt idx="108">
                  <c:v>-1.2995899213806147E-5</c:v>
                </c:pt>
                <c:pt idx="109">
                  <c:v>-1.2354257963704445E-5</c:v>
                </c:pt>
                <c:pt idx="110">
                  <c:v>-1.1749273396194774E-5</c:v>
                </c:pt>
                <c:pt idx="111">
                  <c:v>-1.1178571607858891E-5</c:v>
                </c:pt>
                <c:pt idx="112">
                  <c:v>-1.0639950253231091E-5</c:v>
                </c:pt>
                <c:pt idx="113">
                  <c:v>-1.0131364879178397E-5</c:v>
                </c:pt>
                <c:pt idx="114">
                  <c:v>-9.6509164471836768E-6</c:v>
                </c:pt>
                <c:pt idx="115">
                  <c:v>-9.1968399317708651E-6</c:v>
                </c:pt>
                <c:pt idx="116">
                  <c:v>-8.7674938946141129E-6</c:v>
                </c:pt>
                <c:pt idx="117">
                  <c:v>-8.361350943952706E-6</c:v>
                </c:pt>
                <c:pt idx="118">
                  <c:v>-7.9769889979334411E-6</c:v>
                </c:pt>
                <c:pt idx="119">
                  <c:v>-7.6130832785440413E-6</c:v>
                </c:pt>
                <c:pt idx="120">
                  <c:v>-7.2683989699936202E-6</c:v>
                </c:pt>
                <c:pt idx="121">
                  <c:v>-6.9417844818350103E-6</c:v>
                </c:pt>
                <c:pt idx="122">
                  <c:v>-6.6321652628920801E-6</c:v>
                </c:pt>
                <c:pt idx="123">
                  <c:v>-6.33853811722843E-6</c:v>
                </c:pt>
                <c:pt idx="124">
                  <c:v>-6.0599659780360188E-6</c:v>
                </c:pt>
                <c:pt idx="125">
                  <c:v>-5.7955730994925793E-6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Met!$O$6</c:f>
              <c:strCache>
                <c:ptCount val="1"/>
                <c:pt idx="0">
                  <c:v>Asn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Met!$O$7:$O$132</c:f>
              <c:numCache>
                <c:formatCode>0.00</c:formatCode>
                <c:ptCount val="126"/>
                <c:pt idx="0">
                  <c:v>99.304612166287697</c:v>
                </c:pt>
                <c:pt idx="1">
                  <c:v>25.487261944991918</c:v>
                </c:pt>
                <c:pt idx="2">
                  <c:v>5.5617377686950249</c:v>
                </c:pt>
                <c:pt idx="3">
                  <c:v>0.15053649524048729</c:v>
                </c:pt>
                <c:pt idx="4">
                  <c:v>-1.1315285728307791</c:v>
                </c:pt>
                <c:pt idx="5">
                  <c:v>-1.2393900565878153</c:v>
                </c:pt>
                <c:pt idx="6">
                  <c:v>-1.0503601788129364</c:v>
                </c:pt>
                <c:pt idx="7">
                  <c:v>-0.82369587941560263</c:v>
                </c:pt>
                <c:pt idx="8">
                  <c:v>-0.62852554304914987</c:v>
                </c:pt>
                <c:pt idx="9">
                  <c:v>-0.47592533326088005</c:v>
                </c:pt>
                <c:pt idx="10">
                  <c:v>-0.36078834134131049</c:v>
                </c:pt>
                <c:pt idx="11">
                  <c:v>-0.27497455783873953</c:v>
                </c:pt>
                <c:pt idx="12">
                  <c:v>-0.21111840659635367</c:v>
                </c:pt>
                <c:pt idx="13">
                  <c:v>-0.16342871945314782</c:v>
                </c:pt>
                <c:pt idx="14">
                  <c:v>-0.12758880308387185</c:v>
                </c:pt>
                <c:pt idx="15">
                  <c:v>-0.10045007814237367</c:v>
                </c:pt>
                <c:pt idx="16">
                  <c:v>-7.9732849627830268E-2</c:v>
                </c:pt>
                <c:pt idx="17">
                  <c:v>-6.3786752797893892E-2</c:v>
                </c:pt>
                <c:pt idx="18">
                  <c:v>-5.1412554704580844E-2</c:v>
                </c:pt>
                <c:pt idx="19">
                  <c:v>-4.1733735980090239E-2</c:v>
                </c:pt>
                <c:pt idx="20">
                  <c:v>-3.4105175875849103E-2</c:v>
                </c:pt>
                <c:pt idx="21">
                  <c:v>-2.8048485663021504E-2</c:v>
                </c:pt>
                <c:pt idx="22">
                  <c:v>-2.3206168813311345E-2</c:v>
                </c:pt>
                <c:pt idx="23">
                  <c:v>-1.9309000999236121E-2</c:v>
                </c:pt>
                <c:pt idx="24">
                  <c:v>-1.6152688751043826E-2</c:v>
                </c:pt>
                <c:pt idx="25">
                  <c:v>-1.3581059048460211E-2</c:v>
                </c:pt>
                <c:pt idx="26">
                  <c:v>-1.1473867754715967E-2</c:v>
                </c:pt>
                <c:pt idx="27">
                  <c:v>-9.7378939214550781E-3</c:v>
                </c:pt>
                <c:pt idx="28">
                  <c:v>-8.3003870147411226E-3</c:v>
                </c:pt>
                <c:pt idx="29">
                  <c:v>-7.1042106237588516E-3</c:v>
                </c:pt>
                <c:pt idx="30">
                  <c:v>-6.1042179571003975E-3</c:v>
                </c:pt>
                <c:pt idx="31">
                  <c:v>-5.2645280163835509E-3</c:v>
                </c:pt>
                <c:pt idx="32">
                  <c:v>-4.5564649256261292E-3</c:v>
                </c:pt>
                <c:pt idx="33">
                  <c:v>-3.9569888661786842E-3</c:v>
                </c:pt>
                <c:pt idx="34">
                  <c:v>-3.4474938712532716E-3</c:v>
                </c:pt>
                <c:pt idx="35">
                  <c:v>-3.0128811591548584E-3</c:v>
                </c:pt>
                <c:pt idx="36">
                  <c:v>-2.6408407129872315E-3</c:v>
                </c:pt>
                <c:pt idx="37">
                  <c:v>-2.3212912021150153E-3</c:v>
                </c:pt>
                <c:pt idx="38">
                  <c:v>-2.0459410041717466E-3</c:v>
                </c:pt>
                <c:pt idx="39">
                  <c:v>-1.8079423680176807E-3</c:v>
                </c:pt>
                <c:pt idx="40">
                  <c:v>-1.6016176031592726E-3</c:v>
                </c:pt>
                <c:pt idx="41">
                  <c:v>-1.4222412598493051E-3</c:v>
                </c:pt>
                <c:pt idx="42">
                  <c:v>-1.2658660543327881E-3</c:v>
                </c:pt>
                <c:pt idx="43">
                  <c:v>-1.1291831384723351E-3</c:v>
                </c:pt>
                <c:pt idx="44">
                  <c:v>-1.0094094599056055E-3</c:v>
                </c:pt>
                <c:pt idx="45">
                  <c:v>-9.0419658779951882E-4</c:v>
                </c:pt>
                <c:pt idx="46">
                  <c:v>-8.1155662154474466E-4</c:v>
                </c:pt>
                <c:pt idx="47">
                  <c:v>-7.298017518883558E-4</c:v>
                </c:pt>
                <c:pt idx="48">
                  <c:v>-6.5749477732022035E-4</c:v>
                </c:pt>
                <c:pt idx="49">
                  <c:v>-5.9340844594986495E-4</c:v>
                </c:pt>
                <c:pt idx="50">
                  <c:v>-5.3649193415429856E-4</c:v>
                </c:pt>
                <c:pt idx="51">
                  <c:v>-4.8584311759333878E-4</c:v>
                </c:pt>
                <c:pt idx="52">
                  <c:v>-4.4068556013171587E-4</c:v>
                </c:pt>
                <c:pt idx="53">
                  <c:v>-4.0034935871072008E-4</c:v>
                </c:pt>
                <c:pt idx="54">
                  <c:v>-3.6425515016388801E-4</c:v>
                </c:pt>
                <c:pt idx="55">
                  <c:v>-3.3190071922307665E-4</c:v>
                </c:pt>
                <c:pt idx="56">
                  <c:v>-3.0284975307707612E-4</c:v>
                </c:pt>
                <c:pt idx="57">
                  <c:v>-2.767223726567404E-4</c:v>
                </c:pt>
                <c:pt idx="58">
                  <c:v>-2.5318713884325681E-4</c:v>
                </c:pt>
                <c:pt idx="59">
                  <c:v>-2.31954286538991E-4</c:v>
                </c:pt>
                <c:pt idx="60">
                  <c:v>-2.1276998374138522E-4</c:v>
                </c:pt>
                <c:pt idx="61">
                  <c:v>-1.954114485641174E-4</c:v>
                </c:pt>
                <c:pt idx="62">
                  <c:v>-1.7968278624179562E-4</c:v>
                </c:pt>
                <c:pt idx="63">
                  <c:v>-1.6541143186447828E-4</c:v>
                </c:pt>
                <c:pt idx="64">
                  <c:v>-1.5244510396877729E-4</c:v>
                </c:pt>
                <c:pt idx="65">
                  <c:v>-1.4064918999907264E-4</c:v>
                </c:pt>
                <c:pt idx="66">
                  <c:v>-1.2990449771141889E-4</c:v>
                </c:pt>
                <c:pt idx="67">
                  <c:v>-1.2010531735639819E-4</c:v>
                </c:pt>
                <c:pt idx="68">
                  <c:v>-1.1115774837224631E-4</c:v>
                </c:pt>
                <c:pt idx="69">
                  <c:v>-1.0297825168927034E-4</c:v>
                </c:pt>
                <c:pt idx="70">
                  <c:v>-9.5492394867693122E-5</c:v>
                </c:pt>
                <c:pt idx="71">
                  <c:v>-8.8633762387468928E-5</c:v>
                </c:pt>
                <c:pt idx="72">
                  <c:v>-8.2343007661917142E-5</c:v>
                </c:pt>
                <c:pt idx="73">
                  <c:v>-7.6567026904858442E-5</c:v>
                </c:pt>
                <c:pt idx="74">
                  <c:v>-7.1258237963737827E-5</c:v>
                </c:pt>
                <c:pt idx="75">
                  <c:v>-6.6373949737388732E-5</c:v>
                </c:pt>
                <c:pt idx="76">
                  <c:v>-6.1875809907317345E-5</c:v>
                </c:pt>
                <c:pt idx="77">
                  <c:v>-5.7729320491909605E-5</c:v>
                </c:pt>
                <c:pt idx="78">
                  <c:v>-5.3903412238377937E-5</c:v>
                </c:pt>
                <c:pt idx="79">
                  <c:v>-5.0370070142599229E-5</c:v>
                </c:pt>
                <c:pt idx="80">
                  <c:v>-4.7104003469514235E-5</c:v>
                </c:pt>
                <c:pt idx="81">
                  <c:v>-4.4082354567364756E-5</c:v>
                </c:pt>
                <c:pt idx="82">
                  <c:v>-4.1284441553397429E-5</c:v>
                </c:pt>
                <c:pt idx="83">
                  <c:v>-3.8691530618149923E-5</c:v>
                </c:pt>
                <c:pt idx="84">
                  <c:v>-3.6286634267883364E-5</c:v>
                </c:pt>
                <c:pt idx="85">
                  <c:v>-3.40543323150529E-5</c:v>
                </c:pt>
                <c:pt idx="86">
                  <c:v>-3.1980612847406959E-5</c:v>
                </c:pt>
                <c:pt idx="87">
                  <c:v>-3.0052730767861221E-5</c:v>
                </c:pt>
                <c:pt idx="88">
                  <c:v>-2.8259081808525803E-5</c:v>
                </c:pt>
                <c:pt idx="89">
                  <c:v>-2.658909019060289E-5</c:v>
                </c:pt>
                <c:pt idx="90">
                  <c:v>-2.5033108333588413E-5</c:v>
                </c:pt>
                <c:pt idx="91">
                  <c:v>-2.3582327217609574E-5</c:v>
                </c:pt>
                <c:pt idx="92">
                  <c:v>-2.222869617629902E-5</c:v>
                </c:pt>
                <c:pt idx="93">
                  <c:v>-2.0964851048161534E-5</c:v>
                </c:pt>
                <c:pt idx="94">
                  <c:v>-1.9784049745165129E-5</c:v>
                </c:pt>
                <c:pt idx="95">
                  <c:v>-1.8680114411046054E-5</c:v>
                </c:pt>
                <c:pt idx="96">
                  <c:v>-1.764737944090614E-5</c:v>
                </c:pt>
                <c:pt idx="97">
                  <c:v>-1.6680644720108931E-5</c:v>
                </c:pt>
                <c:pt idx="98">
                  <c:v>-1.577513351596613E-5</c:v>
                </c:pt>
                <c:pt idx="99">
                  <c:v>-1.4926454521719479E-5</c:v>
                </c:pt>
                <c:pt idx="100">
                  <c:v>-1.413056761012538E-5</c:v>
                </c:pt>
                <c:pt idx="101">
                  <c:v>-1.3383752904628363E-5</c:v>
                </c:pt>
                <c:pt idx="102">
                  <c:v>-1.2682582820593097E-5</c:v>
                </c:pt>
                <c:pt idx="103">
                  <c:v>-1.2023896768161113E-5</c:v>
                </c:pt>
                <c:pt idx="104">
                  <c:v>-1.1404778242698339E-5</c:v>
                </c:pt>
                <c:pt idx="105">
                  <c:v>-1.082253405910313E-5</c:v>
                </c:pt>
                <c:pt idx="106">
                  <c:v>-1.0274675512970071E-5</c:v>
                </c:pt>
                <c:pt idx="107">
                  <c:v>-9.7589012752007997E-6</c:v>
                </c:pt>
                <c:pt idx="108">
                  <c:v>-9.2730818475088619E-6</c:v>
                </c:pt>
                <c:pt idx="109">
                  <c:v>-8.8152454247200919E-6</c:v>
                </c:pt>
                <c:pt idx="110">
                  <c:v>-8.3835650261155434E-6</c:v>
                </c:pt>
                <c:pt idx="111">
                  <c:v>-7.9763467725583506E-6</c:v>
                </c:pt>
                <c:pt idx="112">
                  <c:v>-7.592019199010511E-6</c:v>
                </c:pt>
                <c:pt idx="113">
                  <c:v>-7.2291235034761132E-6</c:v>
                </c:pt>
                <c:pt idx="114">
                  <c:v>-6.8863046435734435E-6</c:v>
                </c:pt>
                <c:pt idx="115">
                  <c:v>-6.5623032009885641E-6</c:v>
                </c:pt>
                <c:pt idx="116">
                  <c:v>-6.2559479421276641E-6</c:v>
                </c:pt>
                <c:pt idx="117">
                  <c:v>-5.9661490104785618E-6</c:v>
                </c:pt>
                <c:pt idx="118">
                  <c:v>-5.6918916926134598E-6</c:v>
                </c:pt>
                <c:pt idx="119">
                  <c:v>-5.432230705503568E-6</c:v>
                </c:pt>
                <c:pt idx="120">
                  <c:v>-5.1862849579483425E-6</c:v>
                </c:pt>
                <c:pt idx="121">
                  <c:v>-4.9532327435166191E-6</c:v>
                </c:pt>
                <c:pt idx="122">
                  <c:v>-4.7323073265129107E-6</c:v>
                </c:pt>
                <c:pt idx="123">
                  <c:v>-4.522792886173535E-6</c:v>
                </c:pt>
                <c:pt idx="124">
                  <c:v>-4.3240207876097423E-6</c:v>
                </c:pt>
                <c:pt idx="125">
                  <c:v>-4.1353661509907004E-6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Met!$P$6</c:f>
              <c:strCache>
                <c:ptCount val="1"/>
                <c:pt idx="0">
                  <c:v>Glu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Met!$P$7:$P$132</c:f>
              <c:numCache>
                <c:formatCode>0.00</c:formatCode>
                <c:ptCount val="126"/>
                <c:pt idx="0">
                  <c:v>257.1708085526746</c:v>
                </c:pt>
                <c:pt idx="1">
                  <c:v>72.450531638476676</c:v>
                </c:pt>
                <c:pt idx="2">
                  <c:v>20.243365359028363</c:v>
                </c:pt>
                <c:pt idx="3">
                  <c:v>4.6964179309648406</c:v>
                </c:pt>
                <c:pt idx="4">
                  <c:v>8.9341803286022745E-2</c:v>
                </c:pt>
                <c:pt idx="5">
                  <c:v>-1.1099479346283647</c:v>
                </c:pt>
                <c:pt idx="6">
                  <c:v>-1.2505132759570166</c:v>
                </c:pt>
                <c:pt idx="7">
                  <c:v>-1.0919112036531577</c:v>
                </c:pt>
                <c:pt idx="8">
                  <c:v>-0.87949949196351029</c:v>
                </c:pt>
                <c:pt idx="9">
                  <c:v>-0.68705210869714062</c:v>
                </c:pt>
                <c:pt idx="10">
                  <c:v>-0.53106981512077855</c:v>
                </c:pt>
                <c:pt idx="11">
                  <c:v>-0.4099678584550373</c:v>
                </c:pt>
                <c:pt idx="12">
                  <c:v>-0.31752791854534018</c:v>
                </c:pt>
                <c:pt idx="13">
                  <c:v>-0.24731846765003418</c:v>
                </c:pt>
                <c:pt idx="14">
                  <c:v>-0.19393883011625387</c:v>
                </c:pt>
                <c:pt idx="15">
                  <c:v>-0.153184360925918</c:v>
                </c:pt>
                <c:pt idx="16">
                  <c:v>-0.12188617851974198</c:v>
                </c:pt>
                <c:pt idx="17">
                  <c:v>-9.7688643174051168E-2</c:v>
                </c:pt>
                <c:pt idx="18">
                  <c:v>-7.8848341131077374E-2</c:v>
                </c:pt>
                <c:pt idx="19">
                  <c:v>-6.4074128083001086E-2</c:v>
                </c:pt>
                <c:pt idx="20">
                  <c:v>-5.2406459447450683E-2</c:v>
                </c:pt>
                <c:pt idx="21">
                  <c:v>-4.3128577368600478E-2</c:v>
                </c:pt>
                <c:pt idx="22">
                  <c:v>-3.5701856579238377E-2</c:v>
                </c:pt>
                <c:pt idx="23">
                  <c:v>-2.9718907515242841E-2</c:v>
                </c:pt>
                <c:pt idx="24">
                  <c:v>-2.4869540399429232E-2</c:v>
                </c:pt>
                <c:pt idx="25">
                  <c:v>-2.0915988057923482E-2</c:v>
                </c:pt>
                <c:pt idx="26">
                  <c:v>-1.7674787003083225E-2</c:v>
                </c:pt>
                <c:pt idx="27">
                  <c:v>-1.5003455679802621E-2</c:v>
                </c:pt>
                <c:pt idx="28">
                  <c:v>-1.2790641705203639E-2</c:v>
                </c:pt>
                <c:pt idx="29">
                  <c:v>-1.0948789668926361E-2</c:v>
                </c:pt>
                <c:pt idx="30">
                  <c:v>-9.4086503580287674E-3</c:v>
                </c:pt>
                <c:pt idx="31">
                  <c:v>-8.1151431097675527E-3</c:v>
                </c:pt>
                <c:pt idx="32">
                  <c:v>-7.02421847594931E-3</c:v>
                </c:pt>
                <c:pt idx="33">
                  <c:v>-6.1004648860398707E-3</c:v>
                </c:pt>
                <c:pt idx="34">
                  <c:v>-5.3152720366938903E-3</c:v>
                </c:pt>
                <c:pt idx="35">
                  <c:v>-4.645413375556684E-3</c:v>
                </c:pt>
                <c:pt idx="36">
                  <c:v>-4.0719459310789262E-3</c:v>
                </c:pt>
                <c:pt idx="37">
                  <c:v>-3.579351825415016E-3</c:v>
                </c:pt>
                <c:pt idx="38">
                  <c:v>-3.1548648782449306E-3</c:v>
                </c:pt>
                <c:pt idx="39">
                  <c:v>-2.7879397318265582E-3</c:v>
                </c:pt>
                <c:pt idx="40">
                  <c:v>-2.4698312969040621E-3</c:v>
                </c:pt>
                <c:pt idx="41">
                  <c:v>-2.1932600301535327E-3</c:v>
                </c:pt>
                <c:pt idx="42">
                  <c:v>-1.9521443198131235E-3</c:v>
                </c:pt>
                <c:pt idx="43">
                  <c:v>-1.7413855909923009E-3</c:v>
                </c:pt>
                <c:pt idx="44">
                  <c:v>-1.5566950183003214E-3</c:v>
                </c:pt>
                <c:pt idx="45">
                  <c:v>-1.3944532221804903E-3</c:v>
                </c:pt>
                <c:pt idx="46">
                  <c:v>-1.2515962253897396E-3</c:v>
                </c:pt>
                <c:pt idx="47">
                  <c:v>-1.1255224037252255E-3</c:v>
                </c:pt>
                <c:pt idx="48">
                  <c:v>-1.0140162886506179E-3</c:v>
                </c:pt>
                <c:pt idx="49">
                  <c:v>-9.1518594946253019E-4</c:v>
                </c:pt>
                <c:pt idx="50">
                  <c:v>-8.2741135927874175E-4</c:v>
                </c:pt>
                <c:pt idx="51">
                  <c:v>-7.4930167766116553E-4</c:v>
                </c:pt>
                <c:pt idx="52">
                  <c:v>-6.7965979725241891E-4</c:v>
                </c:pt>
                <c:pt idx="53">
                  <c:v>-6.1745282829673014E-4</c:v>
                </c:pt>
                <c:pt idx="54">
                  <c:v>-5.6178745305509432E-4</c:v>
                </c:pt>
                <c:pt idx="55">
                  <c:v>-5.1188928699895993E-4</c:v>
                </c:pt>
                <c:pt idx="56">
                  <c:v>-4.6708554686790107E-4</c:v>
                </c:pt>
                <c:pt idx="57">
                  <c:v>-4.2679045614788202E-4</c:v>
                </c:pt>
                <c:pt idx="58">
                  <c:v>-3.9049292319478016E-4</c:v>
                </c:pt>
                <c:pt idx="59">
                  <c:v>-3.5774611147970696E-4</c:v>
                </c:pt>
                <c:pt idx="60">
                  <c:v>-3.2815858947313274E-4</c:v>
                </c:pt>
                <c:pt idx="61">
                  <c:v>-3.0138680280833018E-4</c:v>
                </c:pt>
                <c:pt idx="62">
                  <c:v>-2.7712865616173825E-4</c:v>
                </c:pt>
                <c:pt idx="63">
                  <c:v>-2.5511802880246365E-4</c:v>
                </c:pt>
                <c:pt idx="64">
                  <c:v>-2.3512007761376024E-4</c:v>
                </c:pt>
                <c:pt idx="65">
                  <c:v>-2.1692720586155131E-4</c:v>
                </c:pt>
                <c:pt idx="66">
                  <c:v>-2.0035559610347747E-4</c:v>
                </c:pt>
                <c:pt idx="67">
                  <c:v>-1.8524222221570258E-4</c:v>
                </c:pt>
                <c:pt idx="68">
                  <c:v>-1.7144226922062399E-4</c:v>
                </c:pt>
                <c:pt idx="69">
                  <c:v>-1.5882690095504493E-4</c:v>
                </c:pt>
                <c:pt idx="70">
                  <c:v>-1.4728132505141911E-4</c:v>
                </c:pt>
                <c:pt idx="71">
                  <c:v>-1.3670311255918854E-4</c:v>
                </c:pt>
                <c:pt idx="72">
                  <c:v>-1.2700073608865403E-4</c:v>
                </c:pt>
                <c:pt idx="73">
                  <c:v>-1.1809229584363891E-4</c:v>
                </c:pt>
                <c:pt idx="74">
                  <c:v>-1.0990440750692097E-4</c:v>
                </c:pt>
                <c:pt idx="75">
                  <c:v>-1.0237122980561333E-4</c:v>
                </c:pt>
                <c:pt idx="76">
                  <c:v>-9.5433612836668883E-5</c:v>
                </c:pt>
                <c:pt idx="77">
                  <c:v>-8.9038350977533004E-5</c:v>
                </c:pt>
                <c:pt idx="78">
                  <c:v>-8.3137526527791528E-5</c:v>
                </c:pt>
                <c:pt idx="79">
                  <c:v>-7.7687932193838644E-5</c:v>
                </c:pt>
                <c:pt idx="80">
                  <c:v>-7.2650562197557162E-5</c:v>
                </c:pt>
                <c:pt idx="81">
                  <c:v>-6.799016320937637E-5</c:v>
                </c:pt>
                <c:pt idx="82">
                  <c:v>-6.3674837515405349E-5</c:v>
                </c:pt>
                <c:pt idx="83">
                  <c:v>-5.9675691860590662E-5</c:v>
                </c:pt>
                <c:pt idx="84">
                  <c:v>-5.5966526292499597E-5</c:v>
                </c:pt>
                <c:pt idx="85">
                  <c:v>-5.2523558086374618E-5</c:v>
                </c:pt>
                <c:pt idx="86">
                  <c:v>-4.9325176480799646E-5</c:v>
                </c:pt>
                <c:pt idx="87">
                  <c:v>-4.6351724510827008E-5</c:v>
                </c:pt>
                <c:pt idx="88">
                  <c:v>-4.3585304705332062E-5</c:v>
                </c:pt>
                <c:pt idx="89">
                  <c:v>-4.1009605829146676E-5</c:v>
                </c:pt>
                <c:pt idx="90">
                  <c:v>-3.8609748207836083E-5</c:v>
                </c:pt>
                <c:pt idx="91">
                  <c:v>-3.6372145482011017E-5</c:v>
                </c:pt>
                <c:pt idx="92">
                  <c:v>-3.4284380905721833E-5</c:v>
                </c:pt>
                <c:pt idx="93">
                  <c:v>-3.2335096535651158E-5</c:v>
                </c:pt>
                <c:pt idx="94">
                  <c:v>-3.0513893859492694E-5</c:v>
                </c:pt>
                <c:pt idx="95">
                  <c:v>-2.8811244587330653E-5</c:v>
                </c:pt>
                <c:pt idx="96">
                  <c:v>-2.7218410482643582E-5</c:v>
                </c:pt>
                <c:pt idx="97">
                  <c:v>-2.5727371242840322E-5</c:v>
                </c:pt>
                <c:pt idx="98">
                  <c:v>-2.433075955564608E-5</c:v>
                </c:pt>
                <c:pt idx="99">
                  <c:v>-2.3021802559460213E-5</c:v>
                </c:pt>
                <c:pt idx="100">
                  <c:v>-2.1794269024949383E-5</c:v>
                </c:pt>
                <c:pt idx="101">
                  <c:v>-2.0642421653295013E-5</c:v>
                </c:pt>
                <c:pt idx="102">
                  <c:v>-1.9560973955117185E-5</c:v>
                </c:pt>
                <c:pt idx="103">
                  <c:v>-1.8545051234391495E-5</c:v>
                </c:pt>
                <c:pt idx="104">
                  <c:v>-1.7590155254727635E-5</c:v>
                </c:pt>
                <c:pt idx="105">
                  <c:v>-1.6692132212112961E-5</c:v>
                </c:pt>
                <c:pt idx="106">
                  <c:v>-1.5847143679441716E-5</c:v>
                </c:pt>
                <c:pt idx="107">
                  <c:v>-1.5051640224540509E-5</c:v>
                </c:pt>
                <c:pt idx="108">
                  <c:v>-1.4302337435565754E-5</c:v>
                </c:pt>
                <c:pt idx="109">
                  <c:v>-1.3596194116109802E-5</c:v>
                </c:pt>
                <c:pt idx="110">
                  <c:v>-1.2930392437561475E-5</c:v>
                </c:pt>
                <c:pt idx="111">
                  <c:v>-1.2302319858620776E-5</c:v>
                </c:pt>
                <c:pt idx="112">
                  <c:v>-1.1709552641708104E-5</c:v>
                </c:pt>
                <c:pt idx="113">
                  <c:v>-1.1149840813637146E-5</c:v>
                </c:pt>
                <c:pt idx="114">
                  <c:v>-1.0621094433599329E-5</c:v>
                </c:pt>
                <c:pt idx="115">
                  <c:v>-1.0121371045465376E-5</c:v>
                </c:pt>
                <c:pt idx="116">
                  <c:v>-9.6488642038476605E-6</c:v>
                </c:pt>
                <c:pt idx="117">
                  <c:v>-9.2018929744606996E-6</c:v>
                </c:pt>
                <c:pt idx="118">
                  <c:v>-8.7788923192213218E-6</c:v>
                </c:pt>
                <c:pt idx="119">
                  <c:v>-8.3784042853804333E-6</c:v>
                </c:pt>
                <c:pt idx="120">
                  <c:v>-7.9990699258935472E-6</c:v>
                </c:pt>
                <c:pt idx="121">
                  <c:v>-7.6396218853234016E-6</c:v>
                </c:pt>
                <c:pt idx="122">
                  <c:v>-7.2988775919159918E-6</c:v>
                </c:pt>
                <c:pt idx="123">
                  <c:v>-6.9757330021846321E-6</c:v>
                </c:pt>
                <c:pt idx="124">
                  <c:v>-6.669156849445564E-6</c:v>
                </c:pt>
                <c:pt idx="125">
                  <c:v>-6.3781853523379098E-6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Met!$Q$6</c:f>
              <c:strCache>
                <c:ptCount val="1"/>
                <c:pt idx="0">
                  <c:v>Asp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Met!$Q$7:$Q$132</c:f>
              <c:numCache>
                <c:formatCode>0.00</c:formatCode>
                <c:ptCount val="126"/>
                <c:pt idx="0">
                  <c:v>335.60992240535762</c:v>
                </c:pt>
                <c:pt idx="1">
                  <c:v>96.186256304324061</c:v>
                </c:pt>
                <c:pt idx="2">
                  <c:v>27.901596551850737</c:v>
                </c:pt>
                <c:pt idx="3">
                  <c:v>7.2230820853793603</c:v>
                </c:pt>
                <c:pt idx="4">
                  <c:v>0.88383649674016673</c:v>
                </c:pt>
                <c:pt idx="5">
                  <c:v>-0.91499055523128725</c:v>
                </c:pt>
                <c:pt idx="6">
                  <c:v>-1.2585259417186685</c:v>
                </c:pt>
                <c:pt idx="7">
                  <c:v>-1.1603960256767176</c:v>
                </c:pt>
                <c:pt idx="8">
                  <c:v>-0.95764908105530111</c:v>
                </c:pt>
                <c:pt idx="9">
                  <c:v>-0.75801720738343625</c:v>
                </c:pt>
                <c:pt idx="10">
                  <c:v>-0.59058690572198824</c:v>
                </c:pt>
                <c:pt idx="11">
                  <c:v>-0.45824352288838205</c:v>
                </c:pt>
                <c:pt idx="12">
                  <c:v>-0.35613868406491861</c:v>
                </c:pt>
                <c:pt idx="13">
                  <c:v>-0.27805564591024129</c:v>
                </c:pt>
                <c:pt idx="14">
                  <c:v>-0.21841465260628817</c:v>
                </c:pt>
                <c:pt idx="15">
                  <c:v>-0.17273204909329212</c:v>
                </c:pt>
                <c:pt idx="16">
                  <c:v>-0.13756730302442802</c:v>
                </c:pt>
                <c:pt idx="17">
                  <c:v>-0.11033370002891416</c:v>
                </c:pt>
                <c:pt idx="18">
                  <c:v>-8.9102196428060915E-2</c:v>
                </c:pt>
                <c:pt idx="19">
                  <c:v>-7.2436531796723047E-2</c:v>
                </c:pt>
                <c:pt idx="20">
                  <c:v>-5.9265179238164503E-2</c:v>
                </c:pt>
                <c:pt idx="21">
                  <c:v>-4.8785428544273868E-2</c:v>
                </c:pt>
                <c:pt idx="22">
                  <c:v>-4.0392747175187642E-2</c:v>
                </c:pt>
                <c:pt idx="23">
                  <c:v>-3.3629127753414506E-2</c:v>
                </c:pt>
                <c:pt idx="24">
                  <c:v>-2.8145381611084239E-2</c:v>
                </c:pt>
                <c:pt idx="25">
                  <c:v>-2.3673570179554949E-2</c:v>
                </c:pt>
                <c:pt idx="26">
                  <c:v>-2.0006778017641936E-2</c:v>
                </c:pt>
                <c:pt idx="27">
                  <c:v>-1.6984202946260542E-2</c:v>
                </c:pt>
                <c:pt idx="28">
                  <c:v>-1.448010643385707E-2</c:v>
                </c:pt>
                <c:pt idx="29">
                  <c:v>-1.2395577477016591E-2</c:v>
                </c:pt>
                <c:pt idx="30">
                  <c:v>-1.0652356911502103E-2</c:v>
                </c:pt>
                <c:pt idx="31">
                  <c:v>-9.1881787257286143E-3</c:v>
                </c:pt>
                <c:pt idx="32">
                  <c:v>-7.9532345934922744E-3</c:v>
                </c:pt>
                <c:pt idx="33">
                  <c:v>-6.9074748912465664E-3</c:v>
                </c:pt>
                <c:pt idx="34">
                  <c:v>-6.0185363083434156E-3</c:v>
                </c:pt>
                <c:pt idx="35">
                  <c:v>-5.2601415584845133E-3</c:v>
                </c:pt>
                <c:pt idx="36">
                  <c:v>-4.6108568359779388E-3</c:v>
                </c:pt>
                <c:pt idx="37">
                  <c:v>-4.0531218887904941E-3</c:v>
                </c:pt>
                <c:pt idx="38">
                  <c:v>-3.5724889808426033E-3</c:v>
                </c:pt>
                <c:pt idx="39">
                  <c:v>-3.1570227709787394E-3</c:v>
                </c:pt>
                <c:pt idx="40">
                  <c:v>-2.7968247986657892E-3</c:v>
                </c:pt>
                <c:pt idx="41">
                  <c:v>-2.4836549469120154E-3</c:v>
                </c:pt>
                <c:pt idx="42">
                  <c:v>-2.2106287485771175E-3</c:v>
                </c:pt>
                <c:pt idx="43">
                  <c:v>-1.9719742888032058E-3</c:v>
                </c:pt>
                <c:pt idx="44">
                  <c:v>-1.7628361514295677E-3</c:v>
                </c:pt>
                <c:pt idx="45">
                  <c:v>-1.5791166656093595E-3</c:v>
                </c:pt>
                <c:pt idx="46">
                  <c:v>-1.4173468537806459E-3</c:v>
                </c:pt>
                <c:pt idx="47">
                  <c:v>-1.2745811282529203E-3</c:v>
                </c:pt>
                <c:pt idx="48">
                  <c:v>-1.1483110528643493E-3</c:v>
                </c:pt>
                <c:pt idx="49">
                  <c:v>-1.0363944691910087E-3</c:v>
                </c:pt>
                <c:pt idx="50">
                  <c:v>-9.3699705152714948E-4</c:v>
                </c:pt>
                <c:pt idx="51">
                  <c:v>-8.485439523233647E-4</c:v>
                </c:pt>
                <c:pt idx="52">
                  <c:v>-7.6967966849281048E-4</c:v>
                </c:pt>
                <c:pt idx="53">
                  <c:v>-6.9923462819847649E-4</c:v>
                </c:pt>
                <c:pt idx="54">
                  <c:v>-6.3619728968453181E-4</c:v>
                </c:pt>
                <c:pt idx="55">
                  <c:v>-5.7969077545257748E-4</c:v>
                </c:pt>
                <c:pt idx="56">
                  <c:v>-5.2895324970477788E-4</c:v>
                </c:pt>
                <c:pt idx="57">
                  <c:v>-4.8332139458590918E-4</c:v>
                </c:pt>
                <c:pt idx="58">
                  <c:v>-4.4221645918439374E-4</c:v>
                </c:pt>
                <c:pt idx="59">
                  <c:v>-4.0513245058785988E-4</c:v>
                </c:pt>
                <c:pt idx="60">
                  <c:v>-3.716261132856955E-4</c:v>
                </c:pt>
                <c:pt idx="61">
                  <c:v>-3.413084055947182E-4</c:v>
                </c:pt>
                <c:pt idx="62">
                  <c:v>-3.1383723248418866E-4</c:v>
                </c:pt>
                <c:pt idx="63">
                  <c:v>-2.8891123550477918E-4</c:v>
                </c:pt>
                <c:pt idx="64">
                  <c:v>-2.6626447431356601E-4</c:v>
                </c:pt>
                <c:pt idx="65">
                  <c:v>-2.4566186198802132E-4</c:v>
                </c:pt>
                <c:pt idx="66">
                  <c:v>-2.2689523909554278E-4</c:v>
                </c:pt>
                <c:pt idx="67">
                  <c:v>-2.0977999025812409E-4</c:v>
                </c:pt>
                <c:pt idx="68">
                  <c:v>-1.9415212246756241E-4</c:v>
                </c:pt>
                <c:pt idx="69">
                  <c:v>-1.7986573726300843E-4</c:v>
                </c:pt>
                <c:pt idx="70">
                  <c:v>-1.6679083956194725E-4</c:v>
                </c:pt>
                <c:pt idx="71">
                  <c:v>-1.5481143482799626E-4</c:v>
                </c:pt>
                <c:pt idx="72">
                  <c:v>-1.4382387368071765E-4</c:v>
                </c:pt>
                <c:pt idx="73">
                  <c:v>-1.3373540926135756E-4</c:v>
                </c:pt>
                <c:pt idx="74">
                  <c:v>-1.2446293787399175E-4</c:v>
                </c:pt>
                <c:pt idx="75">
                  <c:v>-1.159318977955844E-4</c:v>
                </c:pt>
                <c:pt idx="76">
                  <c:v>-1.0807530483164609E-4</c:v>
                </c:pt>
                <c:pt idx="77">
                  <c:v>-1.008329063020644E-4</c:v>
                </c:pt>
                <c:pt idx="78">
                  <c:v>-9.4150437769484845E-5</c:v>
                </c:pt>
                <c:pt idx="79">
                  <c:v>-8.7978969048900941E-5</c:v>
                </c:pt>
                <c:pt idx="80">
                  <c:v>-8.2274327926882987E-5</c:v>
                </c:pt>
                <c:pt idx="81">
                  <c:v>-7.699659162604879E-5</c:v>
                </c:pt>
                <c:pt idx="82">
                  <c:v>-7.2109637419731605E-5</c:v>
                </c:pt>
                <c:pt idx="83">
                  <c:v>-6.7580744970652197E-5</c:v>
                </c:pt>
                <c:pt idx="84">
                  <c:v>-6.3380243966864255E-5</c:v>
                </c:pt>
                <c:pt idx="85">
                  <c:v>-5.9481201484348515E-5</c:v>
                </c:pt>
                <c:pt idx="86">
                  <c:v>-5.5859144240184936E-5</c:v>
                </c:pt>
                <c:pt idx="87">
                  <c:v>-5.2491811531533897E-5</c:v>
                </c:pt>
                <c:pt idx="88">
                  <c:v>-4.9358935199102543E-5</c:v>
                </c:pt>
                <c:pt idx="89">
                  <c:v>-4.644204342233152E-5</c:v>
                </c:pt>
                <c:pt idx="90">
                  <c:v>-4.372428555815273E-5</c:v>
                </c:pt>
                <c:pt idx="91">
                  <c:v>-4.1190275585107032E-5</c:v>
                </c:pt>
                <c:pt idx="92">
                  <c:v>-3.8825952017701084E-5</c:v>
                </c:pt>
                <c:pt idx="93">
                  <c:v>-3.6618452418790847E-5</c:v>
                </c:pt>
                <c:pt idx="94">
                  <c:v>-3.4556000866151361E-5</c:v>
                </c:pt>
                <c:pt idx="95">
                  <c:v>-3.2627806928047403E-5</c:v>
                </c:pt>
                <c:pt idx="96">
                  <c:v>-3.0823974875661323E-5</c:v>
                </c:pt>
                <c:pt idx="97">
                  <c:v>-2.9135422011166875E-5</c:v>
                </c:pt>
                <c:pt idx="98">
                  <c:v>-2.7553805122063019E-5</c:v>
                </c:pt>
                <c:pt idx="99">
                  <c:v>-2.6071454187665384E-5</c:v>
                </c:pt>
                <c:pt idx="100">
                  <c:v>-2.4681312564599647E-5</c:v>
                </c:pt>
                <c:pt idx="101">
                  <c:v>-2.3376882966645906E-5</c:v>
                </c:pt>
                <c:pt idx="102">
                  <c:v>-2.2152178631971073E-5</c:v>
                </c:pt>
                <c:pt idx="103">
                  <c:v>-2.1001679139065668E-5</c:v>
                </c:pt>
                <c:pt idx="104">
                  <c:v>-1.992029039277889E-5</c:v>
                </c:pt>
                <c:pt idx="105">
                  <c:v>-1.8903308354770037E-5</c:v>
                </c:pt>
                <c:pt idx="106">
                  <c:v>-1.7946386139369849E-5</c:v>
                </c:pt>
                <c:pt idx="107">
                  <c:v>-1.7045504137054941E-5</c:v>
                </c:pt>
                <c:pt idx="108">
                  <c:v>-1.6196942864163483E-5</c:v>
                </c:pt>
                <c:pt idx="109">
                  <c:v>-1.5397258269710365E-5</c:v>
                </c:pt>
                <c:pt idx="110">
                  <c:v>-1.4643259258708103E-5</c:v>
                </c:pt>
                <c:pt idx="111">
                  <c:v>-1.3931987216714273E-5</c:v>
                </c:pt>
                <c:pt idx="112">
                  <c:v>-1.326069734279454E-5</c:v>
                </c:pt>
                <c:pt idx="113">
                  <c:v>-1.2626841618054091E-5</c:v>
                </c:pt>
                <c:pt idx="114">
                  <c:v>-1.2028053254645606E-5</c:v>
                </c:pt>
                <c:pt idx="115">
                  <c:v>-1.1462132485968093E-5</c:v>
                </c:pt>
                <c:pt idx="116">
                  <c:v>-1.0927033572856681E-5</c:v>
                </c:pt>
                <c:pt idx="117">
                  <c:v>-1.0420852913126175E-5</c:v>
                </c:pt>
                <c:pt idx="118">
                  <c:v>-9.9418181530474283E-6</c:v>
                </c:pt>
                <c:pt idx="119">
                  <c:v>-9.4882782093581386E-6</c:v>
                </c:pt>
                <c:pt idx="120">
                  <c:v>-9.0586941193731753E-6</c:v>
                </c:pt>
                <c:pt idx="121">
                  <c:v>-8.6516306447845245E-6</c:v>
                </c:pt>
                <c:pt idx="122">
                  <c:v>-8.2657485619295541E-6</c:v>
                </c:pt>
                <c:pt idx="123">
                  <c:v>-7.8997975777537672E-6</c:v>
                </c:pt>
                <c:pt idx="124">
                  <c:v>-7.55260981647982E-6</c:v>
                </c:pt>
                <c:pt idx="125">
                  <c:v>-7.2230938271917048E-6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Met!$R$6</c:f>
              <c:strCache>
                <c:ptCount val="1"/>
                <c:pt idx="0">
                  <c:v>His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Met!$R$7:$R$132</c:f>
              <c:numCache>
                <c:formatCode>0.00</c:formatCode>
                <c:ptCount val="126"/>
                <c:pt idx="0">
                  <c:v>35058.74266153518</c:v>
                </c:pt>
                <c:pt idx="1">
                  <c:v>11066.83374076918</c:v>
                </c:pt>
                <c:pt idx="2">
                  <c:v>3837.8784784515983</c:v>
                </c:pt>
                <c:pt idx="3">
                  <c:v>1435.3309306182036</c:v>
                </c:pt>
                <c:pt idx="4">
                  <c:v>569.68256426589357</c:v>
                </c:pt>
                <c:pt idx="5">
                  <c:v>236.34390839878364</c:v>
                </c:pt>
                <c:pt idx="6">
                  <c:v>100.85044173932522</c:v>
                </c:pt>
                <c:pt idx="7">
                  <c:v>43.380305565672195</c:v>
                </c:pt>
                <c:pt idx="8">
                  <c:v>18.238213690771353</c:v>
                </c:pt>
                <c:pt idx="9">
                  <c:v>7.0423177169399338</c:v>
                </c:pt>
                <c:pt idx="10">
                  <c:v>2.05500765820645</c:v>
                </c:pt>
                <c:pt idx="11">
                  <c:v>-0.10700942500513805</c:v>
                </c:pt>
                <c:pt idx="12">
                  <c:v>-0.96961906341372661</c:v>
                </c:pt>
                <c:pt idx="13">
                  <c:v>-1.2375194401726957</c:v>
                </c:pt>
                <c:pt idx="14">
                  <c:v>-1.2412800189497661</c:v>
                </c:pt>
                <c:pt idx="15">
                  <c:v>-1.1368330688362118</c:v>
                </c:pt>
                <c:pt idx="16">
                  <c:v>-0.99710445831779237</c:v>
                </c:pt>
                <c:pt idx="17">
                  <c:v>-0.85513183112937652</c:v>
                </c:pt>
                <c:pt idx="18">
                  <c:v>-0.72474954789286772</c:v>
                </c:pt>
                <c:pt idx="19">
                  <c:v>-0.61065051974450124</c:v>
                </c:pt>
                <c:pt idx="20">
                  <c:v>-0.51331718239704782</c:v>
                </c:pt>
                <c:pt idx="21">
                  <c:v>-0.43143565805169964</c:v>
                </c:pt>
                <c:pt idx="22">
                  <c:v>-0.3630621598679204</c:v>
                </c:pt>
                <c:pt idx="23">
                  <c:v>-0.30616786612714947</c:v>
                </c:pt>
                <c:pt idx="24">
                  <c:v>-0.25887516800671595</c:v>
                </c:pt>
                <c:pt idx="25">
                  <c:v>-0.21954290617114874</c:v>
                </c:pt>
                <c:pt idx="26">
                  <c:v>-0.18678019511420596</c:v>
                </c:pt>
                <c:pt idx="27">
                  <c:v>-0.15942884070931604</c:v>
                </c:pt>
                <c:pt idx="28">
                  <c:v>-0.13653414117312257</c:v>
                </c:pt>
                <c:pt idx="29">
                  <c:v>-0.11731353140293656</c:v>
                </c:pt>
                <c:pt idx="30">
                  <c:v>-0.10112728425367791</c:v>
                </c:pt>
                <c:pt idx="31">
                  <c:v>-8.7452861954759917E-2</c:v>
                </c:pt>
                <c:pt idx="32">
                  <c:v>-7.5863246242000013E-2</c:v>
                </c:pt>
                <c:pt idx="33">
                  <c:v>-6.6009006024607284E-2</c:v>
                </c:pt>
                <c:pt idx="34">
                  <c:v>-5.7603641680031542E-2</c:v>
                </c:pt>
                <c:pt idx="35">
                  <c:v>-5.0411695732108394E-2</c:v>
                </c:pt>
                <c:pt idx="36">
                  <c:v>-4.423914789940666E-2</c:v>
                </c:pt>
                <c:pt idx="37">
                  <c:v>-3.892567118621338E-2</c:v>
                </c:pt>
                <c:pt idx="38">
                  <c:v>-3.4338391713266629E-2</c:v>
                </c:pt>
                <c:pt idx="39">
                  <c:v>-3.036685772542989E-2</c:v>
                </c:pt>
                <c:pt idx="40">
                  <c:v>-2.6918978429467902E-2</c:v>
                </c:pt>
                <c:pt idx="41">
                  <c:v>-2.3917739921983969E-2</c:v>
                </c:pt>
                <c:pt idx="42">
                  <c:v>-2.1298543843155746E-2</c:v>
                </c:pt>
                <c:pt idx="43">
                  <c:v>-1.9007045506409054E-2</c:v>
                </c:pt>
                <c:pt idx="44">
                  <c:v>-1.6997393237579664E-2</c:v>
                </c:pt>
                <c:pt idx="45">
                  <c:v>-1.52307905967643E-2</c:v>
                </c:pt>
                <c:pt idx="46">
                  <c:v>-1.3674319013596432E-2</c:v>
                </c:pt>
                <c:pt idx="47">
                  <c:v>-1.2299970954568328E-2</c:v>
                </c:pt>
                <c:pt idx="48">
                  <c:v>-1.1083853727227035E-2</c:v>
                </c:pt>
                <c:pt idx="49">
                  <c:v>-1.0005531950427846E-2</c:v>
                </c:pt>
                <c:pt idx="50">
                  <c:v>-9.0474830138034933E-3</c:v>
                </c:pt>
                <c:pt idx="51">
                  <c:v>-8.1946448556170191E-3</c:v>
                </c:pt>
                <c:pt idx="52">
                  <c:v>-7.434039376746868E-3</c:v>
                </c:pt>
                <c:pt idx="53">
                  <c:v>-6.7544579928861892E-3</c:v>
                </c:pt>
                <c:pt idx="54">
                  <c:v>-6.1461983749003368E-3</c:v>
                </c:pt>
                <c:pt idx="55">
                  <c:v>-5.6008434706742334E-3</c:v>
                </c:pt>
                <c:pt idx="56">
                  <c:v>-5.1110755445837978E-3</c:v>
                </c:pt>
                <c:pt idx="57">
                  <c:v>-4.6705192947898606E-3</c:v>
                </c:pt>
                <c:pt idx="58">
                  <c:v>-4.2736091784424234E-3</c:v>
                </c:pt>
                <c:pt idx="59">
                  <c:v>-3.9154769416160874E-3</c:v>
                </c:pt>
                <c:pt idx="60">
                  <c:v>-3.5918560547620183E-3</c:v>
                </c:pt>
                <c:pt idx="61">
                  <c:v>-3.2990003276969541E-3</c:v>
                </c:pt>
                <c:pt idx="62">
                  <c:v>-3.0336144461283426E-3</c:v>
                </c:pt>
                <c:pt idx="63">
                  <c:v>-2.7927945547329743E-3</c:v>
                </c:pt>
                <c:pt idx="64">
                  <c:v>-2.5739773260762657E-3</c:v>
                </c:pt>
                <c:pt idx="65">
                  <c:v>-2.3748962131594446E-3</c:v>
                </c:pt>
                <c:pt idx="66">
                  <c:v>-2.1935437965283576E-3</c:v>
                </c:pt>
                <c:pt idx="67">
                  <c:v>-2.0281393130508838E-3</c:v>
                </c:pt>
                <c:pt idx="68">
                  <c:v>-1.8771005994273999E-3</c:v>
                </c:pt>
                <c:pt idx="69">
                  <c:v>-1.7390198047042298E-3</c:v>
                </c:pt>
                <c:pt idx="70">
                  <c:v>-1.6126423269405739E-3</c:v>
                </c:pt>
                <c:pt idx="71">
                  <c:v>-1.4968485133313324E-3</c:v>
                </c:pt>
                <c:pt idx="72">
                  <c:v>-1.3906377334399489E-3</c:v>
                </c:pt>
                <c:pt idx="73">
                  <c:v>-1.2931144941365489E-3</c:v>
                </c:pt>
                <c:pt idx="74">
                  <c:v>-1.2034763143223457E-3</c:v>
                </c:pt>
                <c:pt idx="75">
                  <c:v>-1.1210031191543281E-3</c:v>
                </c:pt>
                <c:pt idx="76">
                  <c:v>-1.0450479485818133E-3</c:v>
                </c:pt>
                <c:pt idx="77">
                  <c:v>-9.7502880465320948E-4</c:v>
                </c:pt>
                <c:pt idx="78">
                  <c:v>-9.1042148714263527E-4</c:v>
                </c:pt>
                <c:pt idx="79">
                  <c:v>-8.5075328832234114E-4</c:v>
                </c:pt>
                <c:pt idx="80">
                  <c:v>-7.9559743578190632E-4</c:v>
                </c:pt>
                <c:pt idx="81">
                  <c:v>-7.4456818757880647E-4</c:v>
                </c:pt>
                <c:pt idx="82">
                  <c:v>-6.9731649712127786E-4</c:v>
                </c:pt>
                <c:pt idx="83">
                  <c:v>-6.5352617638734991E-4</c:v>
                </c:pt>
                <c:pt idx="84">
                  <c:v>-6.1291049566903071E-4</c:v>
                </c:pt>
                <c:pt idx="85">
                  <c:v>-5.7520916624536136E-4</c:v>
                </c:pt>
                <c:pt idx="86">
                  <c:v>-5.4018565944000368E-4</c:v>
                </c:pt>
                <c:pt idx="87">
                  <c:v>-5.0762482158255582E-4</c:v>
                </c:pt>
                <c:pt idx="88">
                  <c:v>-4.7733074961471724E-4</c:v>
                </c:pt>
                <c:pt idx="89">
                  <c:v>-4.4912489658659801E-4</c:v>
                </c:pt>
                <c:pt idx="90">
                  <c:v>-4.2284438017940626E-4</c:v>
                </c:pt>
                <c:pt idx="91">
                  <c:v>-3.9834047075704582E-4</c:v>
                </c:pt>
                <c:pt idx="92">
                  <c:v>-3.7547723836574715E-4</c:v>
                </c:pt>
                <c:pt idx="93">
                  <c:v>-3.5413034063152074E-4</c:v>
                </c:pt>
                <c:pt idx="94">
                  <c:v>-3.3418593570407913E-4</c:v>
                </c:pt>
                <c:pt idx="95">
                  <c:v>-3.1553970630909047E-4</c:v>
                </c:pt>
                <c:pt idx="96">
                  <c:v>-2.9809598263757988E-4</c:v>
                </c:pt>
                <c:pt idx="97">
                  <c:v>-2.8176695325558371E-4</c:v>
                </c:pt>
                <c:pt idx="98">
                  <c:v>-2.6647195448761764E-4</c:v>
                </c:pt>
                <c:pt idx="99">
                  <c:v>-2.5213682983877872E-4</c:v>
                </c:pt>
                <c:pt idx="100">
                  <c:v>-2.3869335199353515E-4</c:v>
                </c:pt>
                <c:pt idx="101">
                  <c:v>-2.2607870078269113E-4</c:v>
                </c:pt>
                <c:pt idx="102">
                  <c:v>-2.142349912592632E-4</c:v>
                </c:pt>
                <c:pt idx="103">
                  <c:v>-2.0310884668260781E-4</c:v>
                </c:pt>
                <c:pt idx="104">
                  <c:v>-1.9265101178972494E-4</c:v>
                </c:pt>
                <c:pt idx="105">
                  <c:v>-1.828160022432896E-4</c:v>
                </c:pt>
                <c:pt idx="106">
                  <c:v>-1.7356178659637438E-4</c:v>
                </c:pt>
                <c:pt idx="107">
                  <c:v>-1.6484949751152528E-4</c:v>
                </c:pt>
                <c:pt idx="108">
                  <c:v>-1.5664316932342208E-4</c:v>
                </c:pt>
                <c:pt idx="109">
                  <c:v>-1.4890949934546905E-4</c:v>
                </c:pt>
                <c:pt idx="110">
                  <c:v>-1.416176305962581E-4</c:v>
                </c:pt>
                <c:pt idx="111">
                  <c:v>-1.34738953866247E-4</c:v>
                </c:pt>
                <c:pt idx="112">
                  <c:v>-1.282469272619423E-4</c:v>
                </c:pt>
                <c:pt idx="113">
                  <c:v>-1.2211691155764981E-4</c:v>
                </c:pt>
                <c:pt idx="114">
                  <c:v>-1.1632601985632046E-4</c:v>
                </c:pt>
                <c:pt idx="115">
                  <c:v>-1.1085298021367146E-4</c:v>
                </c:pt>
                <c:pt idx="116">
                  <c:v>-1.0567801001580821E-4</c:v>
                </c:pt>
                <c:pt idx="117">
                  <c:v>-1.0078270102191654E-4</c:v>
                </c:pt>
                <c:pt idx="118">
                  <c:v>-9.6149914091939854E-5</c:v>
                </c:pt>
                <c:pt idx="119">
                  <c:v>-9.176368271597358E-5</c:v>
                </c:pt>
                <c:pt idx="120">
                  <c:v>-8.7609124548705748E-5</c:v>
                </c:pt>
                <c:pt idx="121">
                  <c:v>-8.367236022976119E-5</c:v>
                </c:pt>
                <c:pt idx="122">
                  <c:v>-7.9940438840261273E-5</c:v>
                </c:pt>
                <c:pt idx="123">
                  <c:v>-7.6401269408208215E-5</c:v>
                </c:pt>
                <c:pt idx="124">
                  <c:v>-7.3043557931206279E-5</c:v>
                </c:pt>
                <c:pt idx="125">
                  <c:v>-6.985674943525019E-5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Met!$S$6</c:f>
              <c:strCache>
                <c:ptCount val="1"/>
                <c:pt idx="0">
                  <c:v>Arg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Met!$S$7:$S$132</c:f>
              <c:numCache>
                <c:formatCode>0.00</c:formatCode>
                <c:ptCount val="126"/>
                <c:pt idx="0">
                  <c:v>850.82203988320805</c:v>
                </c:pt>
                <c:pt idx="1">
                  <c:v>254.36791216839609</c:v>
                </c:pt>
                <c:pt idx="2">
                  <c:v>80.267275621982392</c:v>
                </c:pt>
                <c:pt idx="3">
                  <c:v>25.341076636599958</c:v>
                </c:pt>
                <c:pt idx="4">
                  <c:v>7.1695800351098464</c:v>
                </c:pt>
                <c:pt idx="5">
                  <c:v>1.1076630720312024</c:v>
                </c:pt>
                <c:pt idx="6">
                  <c:v>-0.7917404944730394</c:v>
                </c:pt>
                <c:pt idx="7">
                  <c:v>-1.2422195153756719</c:v>
                </c:pt>
                <c:pt idx="8">
                  <c:v>-1.2065185637088245</c:v>
                </c:pt>
                <c:pt idx="9">
                  <c:v>-1.0313534513111788</c:v>
                </c:pt>
                <c:pt idx="10">
                  <c:v>-0.83898393891162537</c:v>
                </c:pt>
                <c:pt idx="11">
                  <c:v>-0.66854676132045565</c:v>
                </c:pt>
                <c:pt idx="12">
                  <c:v>-0.52873567171351787</c:v>
                </c:pt>
                <c:pt idx="13">
                  <c:v>-0.41777220104532692</c:v>
                </c:pt>
                <c:pt idx="14">
                  <c:v>-0.33094260369916972</c:v>
                </c:pt>
                <c:pt idx="15">
                  <c:v>-0.26332641417043257</c:v>
                </c:pt>
                <c:pt idx="16">
                  <c:v>-0.21066541637661013</c:v>
                </c:pt>
                <c:pt idx="17">
                  <c:v>-0.16953313348538279</c:v>
                </c:pt>
                <c:pt idx="18">
                  <c:v>-0.13726271724688724</c:v>
                </c:pt>
                <c:pt idx="19">
                  <c:v>-0.11181067916891552</c:v>
                </c:pt>
                <c:pt idx="20">
                  <c:v>-9.1621297989226885E-2</c:v>
                </c:pt>
                <c:pt idx="21">
                  <c:v>-7.5511842083719263E-2</c:v>
                </c:pt>
                <c:pt idx="22">
                  <c:v>-6.2581725869050475E-2</c:v>
                </c:pt>
                <c:pt idx="23">
                  <c:v>-5.2142902877942349E-2</c:v>
                </c:pt>
                <c:pt idx="24">
                  <c:v>-4.3667384850382913E-2</c:v>
                </c:pt>
                <c:pt idx="25">
                  <c:v>-3.6747967551952074E-2</c:v>
                </c:pt>
                <c:pt idx="26">
                  <c:v>-3.1068912484750667E-2</c:v>
                </c:pt>
                <c:pt idx="27">
                  <c:v>-2.6384048790972472E-2</c:v>
                </c:pt>
                <c:pt idx="28">
                  <c:v>-2.2500377750241465E-2</c:v>
                </c:pt>
                <c:pt idx="29">
                  <c:v>-1.9265752926738652E-2</c:v>
                </c:pt>
                <c:pt idx="30">
                  <c:v>-1.6559582617780819E-2</c:v>
                </c:pt>
                <c:pt idx="31">
                  <c:v>-1.4285779539521377E-2</c:v>
                </c:pt>
                <c:pt idx="32">
                  <c:v>-1.2367387588552849E-2</c:v>
                </c:pt>
                <c:pt idx="33">
                  <c:v>-1.0742465553659049E-2</c:v>
                </c:pt>
                <c:pt idx="34">
                  <c:v>-9.3609173068871145E-3</c:v>
                </c:pt>
                <c:pt idx="35">
                  <c:v>-8.182038184752086E-3</c:v>
                </c:pt>
                <c:pt idx="36">
                  <c:v>-7.1726060199164606E-3</c:v>
                </c:pt>
                <c:pt idx="37">
                  <c:v>-6.3053884614486071E-3</c:v>
                </c:pt>
                <c:pt idx="38">
                  <c:v>-5.557970073740078E-3</c:v>
                </c:pt>
                <c:pt idx="39">
                  <c:v>-4.9118262994699447E-3</c:v>
                </c:pt>
                <c:pt idx="40">
                  <c:v>-4.3515889289998033E-3</c:v>
                </c:pt>
                <c:pt idx="41">
                  <c:v>-3.8644608430756754E-3</c:v>
                </c:pt>
                <c:pt idx="42">
                  <c:v>-3.4397476530582355E-3</c:v>
                </c:pt>
                <c:pt idx="43">
                  <c:v>-3.0684813015572883E-3</c:v>
                </c:pt>
                <c:pt idx="44">
                  <c:v>-2.7431163263553849E-3</c:v>
                </c:pt>
                <c:pt idx="45">
                  <c:v>-2.4572837868239231E-3</c:v>
                </c:pt>
                <c:pt idx="46">
                  <c:v>-2.2055911399160794E-3</c:v>
                </c:pt>
                <c:pt idx="47">
                  <c:v>-1.9834588803908817E-3</c:v>
                </c:pt>
                <c:pt idx="48">
                  <c:v>-1.7869867116445119E-3</c:v>
                </c:pt>
                <c:pt idx="49">
                  <c:v>-1.6128435271469785E-3</c:v>
                </c:pt>
                <c:pt idx="50">
                  <c:v>-1.4581766613281824E-3</c:v>
                </c:pt>
                <c:pt idx="51">
                  <c:v>-1.3205367906720129E-3</c:v>
                </c:pt>
                <c:pt idx="52">
                  <c:v>-1.1978155896670308E-3</c:v>
                </c:pt>
                <c:pt idx="53">
                  <c:v>-1.0881938168942112E-3</c:v>
                </c:pt>
                <c:pt idx="54">
                  <c:v>-9.9009795807181167E-4</c:v>
                </c:pt>
                <c:pt idx="55">
                  <c:v>-9.0216391150768909E-4</c:v>
                </c:pt>
                <c:pt idx="56">
                  <c:v>-8.2320648727688675E-4</c:v>
                </c:pt>
                <c:pt idx="57">
                  <c:v>-7.5219372011126051E-4</c:v>
                </c:pt>
                <c:pt idx="58">
                  <c:v>-6.8822517952811144E-4</c:v>
                </c:pt>
                <c:pt idx="59">
                  <c:v>-6.3051360853244207E-4</c:v>
                </c:pt>
                <c:pt idx="60">
                  <c:v>-5.783693416439729E-4</c:v>
                </c:pt>
                <c:pt idx="61">
                  <c:v>-5.311870497821642E-4</c:v>
                </c:pt>
                <c:pt idx="62">
                  <c:v>-4.8843443822042061E-4</c:v>
                </c:pt>
                <c:pt idx="63">
                  <c:v>-4.4964258797121478E-4</c:v>
                </c:pt>
                <c:pt idx="64">
                  <c:v>-4.1439768342103813E-4</c:v>
                </c:pt>
                <c:pt idx="65">
                  <c:v>-3.8233391205020587E-4</c:v>
                </c:pt>
                <c:pt idx="66">
                  <c:v>-3.5312735744359329E-4</c:v>
                </c:pt>
                <c:pt idx="67">
                  <c:v>-3.2649073596082925E-4</c:v>
                </c:pt>
                <c:pt idx="68">
                  <c:v>-3.0216885154066075E-4</c:v>
                </c:pt>
                <c:pt idx="69">
                  <c:v>-2.7993466309134726E-4</c:v>
                </c:pt>
                <c:pt idx="70">
                  <c:v>-2.5958587551520206E-4</c:v>
                </c:pt>
                <c:pt idx="71">
                  <c:v>-2.4094197923613163E-4</c:v>
                </c:pt>
                <c:pt idx="72">
                  <c:v>-2.2384167463547461E-4</c:v>
                </c:pt>
                <c:pt idx="73">
                  <c:v>-2.0814062745317082E-4</c:v>
                </c:pt>
                <c:pt idx="74">
                  <c:v>-1.9370950930427456E-4</c:v>
                </c:pt>
                <c:pt idx="75">
                  <c:v>-1.8043228426158057E-4</c:v>
                </c:pt>
                <c:pt idx="76">
                  <c:v>-1.68204708182159E-4</c:v>
                </c:pt>
                <c:pt idx="77">
                  <c:v>-1.5693301228841944E-4</c:v>
                </c:pt>
                <c:pt idx="78">
                  <c:v>-1.4653274660086484E-4</c:v>
                </c:pt>
                <c:pt idx="79">
                  <c:v>-1.3692776228200473E-4</c:v>
                </c:pt>
                <c:pt idx="80">
                  <c:v>-1.2804931489002915E-4</c:v>
                </c:pt>
                <c:pt idx="81">
                  <c:v>-1.1983527304056907E-4</c:v>
                </c:pt>
                <c:pt idx="82">
                  <c:v>-1.1222941910479492E-4</c:v>
                </c:pt>
                <c:pt idx="83">
                  <c:v>-1.0518083039023817E-4</c:v>
                </c:pt>
                <c:pt idx="84">
                  <c:v>-9.8643330805431561E-5</c:v>
                </c:pt>
                <c:pt idx="85">
                  <c:v>-9.2575004341221041E-5</c:v>
                </c:pt>
                <c:pt idx="86">
                  <c:v>-8.6937762844313445E-5</c:v>
                </c:pt>
                <c:pt idx="87">
                  <c:v>-8.1696961540735283E-5</c:v>
                </c:pt>
                <c:pt idx="88">
                  <c:v>-7.6821056612339195E-5</c:v>
                </c:pt>
                <c:pt idx="89">
                  <c:v>-7.2281299858467112E-5</c:v>
                </c:pt>
                <c:pt idx="90">
                  <c:v>-6.8051466104388243E-5</c:v>
                </c:pt>
                <c:pt idx="91">
                  <c:v>-6.4107609562579369E-5</c:v>
                </c:pt>
                <c:pt idx="92">
                  <c:v>-6.0427845824490305E-5</c:v>
                </c:pt>
                <c:pt idx="93">
                  <c:v>-5.6992156569497106E-5</c:v>
                </c:pt>
                <c:pt idx="94">
                  <c:v>-5.3782214433081244E-5</c:v>
                </c:pt>
                <c:pt idx="95">
                  <c:v>-5.0781225785371127E-5</c:v>
                </c:pt>
                <c:pt idx="96">
                  <c:v>-4.7973789440434874E-5</c:v>
                </c:pt>
                <c:pt idx="97">
                  <c:v>-4.5345769551566087E-5</c:v>
                </c:pt>
                <c:pt idx="98">
                  <c:v>-4.2884181152927462E-5</c:v>
                </c:pt>
                <c:pt idx="99">
                  <c:v>-4.0577086987306147E-5</c:v>
                </c:pt>
                <c:pt idx="100">
                  <c:v>-3.8413504416813914E-5</c:v>
                </c:pt>
                <c:pt idx="101">
                  <c:v>-3.638332135108657E-5</c:v>
                </c:pt>
                <c:pt idx="102">
                  <c:v>-3.4477220248428357E-5</c:v>
                </c:pt>
                <c:pt idx="103">
                  <c:v>-3.2686609351596686E-5</c:v>
                </c:pt>
                <c:pt idx="104">
                  <c:v>-3.1003560413412393E-5</c:v>
                </c:pt>
                <c:pt idx="105">
                  <c:v>-2.9420752249737842E-5</c:v>
                </c:pt>
                <c:pt idx="106">
                  <c:v>-2.7931419529999747E-5</c:v>
                </c:pt>
                <c:pt idx="107">
                  <c:v>-2.6529306279563316E-5</c:v>
                </c:pt>
                <c:pt idx="108">
                  <c:v>-2.5208623624947357E-5</c:v>
                </c:pt>
                <c:pt idx="109">
                  <c:v>-2.3964011363027123E-5</c:v>
                </c:pt>
                <c:pt idx="110">
                  <c:v>-2.279050297979741E-5</c:v>
                </c:pt>
                <c:pt idx="111">
                  <c:v>-2.168349378366375E-5</c:v>
                </c:pt>
                <c:pt idx="112">
                  <c:v>-2.0638711853194739E-5</c:v>
                </c:pt>
                <c:pt idx="113">
                  <c:v>-1.9652191530336788E-5</c:v>
                </c:pt>
                <c:pt idx="114">
                  <c:v>-1.8720249217724339E-5</c:v>
                </c:pt>
                <c:pt idx="115">
                  <c:v>-1.7839461263316317E-5</c:v>
                </c:pt>
                <c:pt idx="116">
                  <c:v>-1.7006643737511064E-5</c:v>
                </c:pt>
                <c:pt idx="117">
                  <c:v>-1.6218833927442545E-5</c:v>
                </c:pt>
                <c:pt idx="118">
                  <c:v>-1.5473273390616172E-5</c:v>
                </c:pt>
                <c:pt idx="119">
                  <c:v>-1.4767392425640055E-5</c:v>
                </c:pt>
                <c:pt idx="120">
                  <c:v>-1.4098795831757863E-5</c:v>
                </c:pt>
                <c:pt idx="121">
                  <c:v>-1.3465249841377588E-5</c:v>
                </c:pt>
                <c:pt idx="122">
                  <c:v>-1.2864670120978953E-5</c:v>
                </c:pt>
                <c:pt idx="123">
                  <c:v>-1.2295110745815711E-5</c:v>
                </c:pt>
                <c:pt idx="124">
                  <c:v>-1.1754754062833533E-5</c:v>
                </c:pt>
                <c:pt idx="125">
                  <c:v>-1.124190136431215E-5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Met!$T$6</c:f>
              <c:strCache>
                <c:ptCount val="1"/>
                <c:pt idx="0">
                  <c:v>Lys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Met!$T$7:$T$132</c:f>
              <c:numCache>
                <c:formatCode>0.00</c:formatCode>
                <c:ptCount val="126"/>
                <c:pt idx="0">
                  <c:v>58.242372969909418</c:v>
                </c:pt>
                <c:pt idx="1">
                  <c:v>13.680929486526715</c:v>
                </c:pt>
                <c:pt idx="2">
                  <c:v>2.113663483122366</c:v>
                </c:pt>
                <c:pt idx="3">
                  <c:v>-0.75849690980685758</c:v>
                </c:pt>
                <c:pt idx="4">
                  <c:v>-1.2573937709741461</c:v>
                </c:pt>
                <c:pt idx="5">
                  <c:v>-1.1397662462748901</c:v>
                </c:pt>
                <c:pt idx="6">
                  <c:v>-0.90500548297698524</c:v>
                </c:pt>
                <c:pt idx="7">
                  <c:v>-0.68783262437905957</c:v>
                </c:pt>
                <c:pt idx="8">
                  <c:v>-0.51574841756351442</c:v>
                </c:pt>
                <c:pt idx="9">
                  <c:v>-0.38638318941289429</c:v>
                </c:pt>
                <c:pt idx="10">
                  <c:v>-0.29089676034565398</c:v>
                </c:pt>
                <c:pt idx="11">
                  <c:v>-0.22068164810804894</c:v>
                </c:pt>
                <c:pt idx="12">
                  <c:v>-0.1688900075911528</c:v>
                </c:pt>
                <c:pt idx="13">
                  <c:v>-0.13044101003977904</c:v>
                </c:pt>
                <c:pt idx="14">
                  <c:v>-0.10166672996399663</c:v>
                </c:pt>
                <c:pt idx="15">
                  <c:v>-7.9943984075588392E-2</c:v>
                </c:pt>
                <c:pt idx="16">
                  <c:v>-6.3397975295560197E-2</c:v>
                </c:pt>
                <c:pt idx="17">
                  <c:v>-5.0683564721858011E-2</c:v>
                </c:pt>
                <c:pt idx="18">
                  <c:v>-4.0829542940000789E-2</c:v>
                </c:pt>
                <c:pt idx="19">
                  <c:v>-3.3129372668771147E-2</c:v>
                </c:pt>
                <c:pt idx="20">
                  <c:v>-2.7064860966321228E-2</c:v>
                </c:pt>
                <c:pt idx="21">
                  <c:v>-2.2252766420208351E-2</c:v>
                </c:pt>
                <c:pt idx="22">
                  <c:v>-1.8407284745114109E-2</c:v>
                </c:pt>
                <c:pt idx="23">
                  <c:v>-1.5313527914341424E-2</c:v>
                </c:pt>
                <c:pt idx="24">
                  <c:v>-1.2808641194933208E-2</c:v>
                </c:pt>
                <c:pt idx="25">
                  <c:v>-1.0768255677058459E-2</c:v>
                </c:pt>
                <c:pt idx="26">
                  <c:v>-9.0966925204574341E-3</c:v>
                </c:pt>
                <c:pt idx="27">
                  <c:v>-7.7198243108997488E-3</c:v>
                </c:pt>
                <c:pt idx="28">
                  <c:v>-6.5798324382624809E-3</c:v>
                </c:pt>
                <c:pt idx="29">
                  <c:v>-5.6313277175478391E-3</c:v>
                </c:pt>
                <c:pt idx="30">
                  <c:v>-4.8384586181938931E-3</c:v>
                </c:pt>
                <c:pt idx="31">
                  <c:v>-4.1727403131552789E-3</c:v>
                </c:pt>
                <c:pt idx="32">
                  <c:v>-3.6114136661790255E-3</c:v>
                </c:pt>
                <c:pt idx="33">
                  <c:v>-3.136196586011576E-3</c:v>
                </c:pt>
                <c:pt idx="34">
                  <c:v>-2.7323278849247659E-3</c:v>
                </c:pt>
                <c:pt idx="35">
                  <c:v>-2.3878306425321135E-3</c:v>
                </c:pt>
                <c:pt idx="36">
                  <c:v>-2.0929413485764668E-3</c:v>
                </c:pt>
                <c:pt idx="37">
                  <c:v>-1.8396650209598373E-3</c:v>
                </c:pt>
                <c:pt idx="38">
                  <c:v>-1.6214266209920722E-3</c:v>
                </c:pt>
                <c:pt idx="39">
                  <c:v>-1.4327965005972404E-3</c:v>
                </c:pt>
                <c:pt idx="40">
                  <c:v>-1.2692730775829119E-3</c:v>
                </c:pt>
                <c:pt idx="41">
                  <c:v>-1.1271099836662989E-3</c:v>
                </c:pt>
                <c:pt idx="42">
                  <c:v>-1.0031779492176954E-3</c:v>
                </c:pt>
                <c:pt idx="43">
                  <c:v>-8.9485395337520889E-4</c:v>
                </c:pt>
                <c:pt idx="44">
                  <c:v>-7.9993187640689371E-4</c:v>
                </c:pt>
                <c:pt idx="45">
                  <c:v>-7.1655018665707873E-4</c:v>
                </c:pt>
                <c:pt idx="46">
                  <c:v>-6.4313318198939951E-4</c:v>
                </c:pt>
                <c:pt idx="47">
                  <c:v>-5.7834306230849044E-4</c:v>
                </c:pt>
                <c:pt idx="48">
                  <c:v>-5.2104069232543522E-4</c:v>
                </c:pt>
                <c:pt idx="49">
                  <c:v>-4.7025336439808382E-4</c:v>
                </c:pt>
                <c:pt idx="50">
                  <c:v>-4.2514822148750838E-4</c:v>
                </c:pt>
                <c:pt idx="51">
                  <c:v>-3.850102736189345E-4</c:v>
                </c:pt>
                <c:pt idx="52">
                  <c:v>-3.4922415549960796E-4</c:v>
                </c:pt>
                <c:pt idx="53">
                  <c:v>-3.1725894159116485E-4</c:v>
                </c:pt>
                <c:pt idx="54">
                  <c:v>-2.8865546820334515E-4</c:v>
                </c:pt>
                <c:pt idx="55">
                  <c:v>-2.6301571789746241E-4</c:v>
                </c:pt>
                <c:pt idx="56">
                  <c:v>-2.3999390567044018E-4</c:v>
                </c:pt>
                <c:pt idx="57">
                  <c:v>-2.1928897366525264E-4</c:v>
                </c:pt>
                <c:pt idx="58">
                  <c:v>-2.0063825510613663E-4</c:v>
                </c:pt>
                <c:pt idx="59">
                  <c:v>-1.8381211157300498E-4</c:v>
                </c:pt>
                <c:pt idx="60">
                  <c:v>-1.6860938278242586E-4</c:v>
                </c:pt>
                <c:pt idx="61">
                  <c:v>-1.5485351643427139E-4</c:v>
                </c:pt>
                <c:pt idx="62">
                  <c:v>-1.4238926875129475E-4</c:v>
                </c:pt>
                <c:pt idx="63">
                  <c:v>-1.3107988513843754E-4</c:v>
                </c:pt>
                <c:pt idx="64">
                  <c:v>-1.2080468575460611E-4</c:v>
                </c:pt>
                <c:pt idx="65">
                  <c:v>-1.1145699338504985E-4</c:v>
                </c:pt>
                <c:pt idx="66">
                  <c:v>-1.029423513555871E-4</c:v>
                </c:pt>
                <c:pt idx="67">
                  <c:v>-9.5176987762976025E-5</c:v>
                </c:pt>
                <c:pt idx="68">
                  <c:v>-8.8086489347196834E-5</c:v>
                </c:pt>
                <c:pt idx="69">
                  <c:v>-8.1604654173480278E-5</c:v>
                </c:pt>
                <c:pt idx="70">
                  <c:v>-7.5672497144092945E-5</c:v>
                </c:pt>
                <c:pt idx="71">
                  <c:v>-7.0237386399689804E-5</c:v>
                </c:pt>
                <c:pt idx="72">
                  <c:v>-6.5252292041455558E-5</c:v>
                </c:pt>
                <c:pt idx="73">
                  <c:v>-6.0675131425351665E-5</c:v>
                </c:pt>
                <c:pt idx="74">
                  <c:v>-5.6468197644030769E-5</c:v>
                </c:pt>
                <c:pt idx="75">
                  <c:v>-5.2597659798409516E-5</c:v>
                </c:pt>
                <c:pt idx="76">
                  <c:v>-4.9033125333455761E-5</c:v>
                </c:pt>
                <c:pt idx="77">
                  <c:v>-4.5747256123973431E-5</c:v>
                </c:pt>
                <c:pt idx="78">
                  <c:v>-4.2715431189330843E-5</c:v>
                </c:pt>
                <c:pt idx="79">
                  <c:v>-3.9915449926869084E-5</c:v>
                </c:pt>
                <c:pt idx="80">
                  <c:v>-3.7327270611692082E-5</c:v>
                </c:pt>
                <c:pt idx="81">
                  <c:v>-3.4932779640168563E-5</c:v>
                </c:pt>
                <c:pt idx="82">
                  <c:v>-3.2715587616113212E-5</c:v>
                </c:pt>
                <c:pt idx="83">
                  <c:v>-3.0660848909207911E-5</c:v>
                </c:pt>
                <c:pt idx="84">
                  <c:v>-2.8755101768909165E-5</c:v>
                </c:pt>
                <c:pt idx="85">
                  <c:v>-2.6986126465685701E-5</c:v>
                </c:pt>
                <c:pt idx="86">
                  <c:v>-2.5342819264843234E-5</c:v>
                </c:pt>
                <c:pt idx="87">
                  <c:v>-2.3815080324732432E-5</c:v>
                </c:pt>
                <c:pt idx="88">
                  <c:v>-2.2393713857791124E-5</c:v>
                </c:pt>
                <c:pt idx="89">
                  <c:v>-2.1070339105533472E-5</c:v>
                </c:pt>
                <c:pt idx="90">
                  <c:v>-1.9837310862233446E-5</c:v>
                </c:pt>
                <c:pt idx="91">
                  <c:v>-1.868764844086701E-5</c:v>
                </c:pt>
                <c:pt idx="92">
                  <c:v>-1.7614972112429292E-5</c:v>
                </c:pt>
                <c:pt idx="93">
                  <c:v>-1.6613446169057475E-5</c:v>
                </c:pt>
                <c:pt idx="94">
                  <c:v>-1.5677727865028584E-5</c:v>
                </c:pt>
                <c:pt idx="95">
                  <c:v>-1.4802921579853088E-5</c:v>
                </c:pt>
                <c:pt idx="96">
                  <c:v>-1.3984537626211533E-5</c:v>
                </c:pt>
                <c:pt idx="97">
                  <c:v>-1.3218455193974232E-5</c:v>
                </c:pt>
                <c:pt idx="98">
                  <c:v>-1.2500888981364517E-5</c:v>
                </c:pt>
                <c:pt idx="99">
                  <c:v>-1.1828359116640209E-5</c:v>
                </c:pt>
                <c:pt idx="100">
                  <c:v>-1.1197664019475086E-5</c:v>
                </c:pt>
                <c:pt idx="101">
                  <c:v>-1.0605855891383504E-5</c:v>
                </c:pt>
                <c:pt idx="102">
                  <c:v>-1.0050218559783558E-5</c:v>
                </c:pt>
                <c:pt idx="103">
                  <c:v>-9.5282474312768776E-6</c:v>
                </c:pt>
                <c:pt idx="104">
                  <c:v>-9.0376313369840903E-6</c:v>
                </c:pt>
                <c:pt idx="105">
                  <c:v>-8.5762360767895636E-6</c:v>
                </c:pt>
                <c:pt idx="106">
                  <c:v>-8.1420894905282565E-6</c:v>
                </c:pt>
                <c:pt idx="107">
                  <c:v>-7.7333679028463818E-6</c:v>
                </c:pt>
                <c:pt idx="108">
                  <c:v>-7.3483838049951561E-6</c:v>
                </c:pt>
                <c:pt idx="109">
                  <c:v>-6.9855746514412916E-6</c:v>
                </c:pt>
                <c:pt idx="110">
                  <c:v>-6.6434926621311714E-6</c:v>
                </c:pt>
                <c:pt idx="111">
                  <c:v>-6.3207955327318543E-6</c:v>
                </c:pt>
                <c:pt idx="112">
                  <c:v>-6.0162379653667048E-6</c:v>
                </c:pt>
                <c:pt idx="113">
                  <c:v>-5.7286639414216634E-6</c:v>
                </c:pt>
                <c:pt idx="114">
                  <c:v>-5.4569996660543853E-6</c:v>
                </c:pt>
                <c:pt idx="115">
                  <c:v>-5.2002471212100505E-6</c:v>
                </c:pt>
                <c:pt idx="116">
                  <c:v>-4.9574781703389248E-6</c:v>
                </c:pt>
                <c:pt idx="117">
                  <c:v>-4.7278291637106393E-6</c:v>
                </c:pt>
                <c:pt idx="118">
                  <c:v>-4.5104959983093326E-6</c:v>
                </c:pt>
                <c:pt idx="119">
                  <c:v>-4.3047295908411109E-6</c:v>
                </c:pt>
                <c:pt idx="120">
                  <c:v>-4.1098317264524326E-6</c:v>
                </c:pt>
                <c:pt idx="121">
                  <c:v>-3.9251512493988405E-6</c:v>
                </c:pt>
                <c:pt idx="122">
                  <c:v>-3.75008056516529E-6</c:v>
                </c:pt>
                <c:pt idx="123">
                  <c:v>-3.5840524264645117E-6</c:v>
                </c:pt>
                <c:pt idx="124">
                  <c:v>-3.426536978164918E-6</c:v>
                </c:pt>
                <c:pt idx="125">
                  <c:v>-3.2770390385575328E-6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Met!$U$6</c:f>
              <c:strCache>
                <c:ptCount val="1"/>
                <c:pt idx="0">
                  <c:v>Pro</c:v>
                </c:pt>
              </c:strCache>
            </c:strRef>
          </c:tx>
          <c:marker>
            <c:symbol val="none"/>
          </c:marker>
          <c:xVal>
            <c:numRef>
              <c:f>Met!$A$7:$A$132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Met!$U$7:$U$132</c:f>
              <c:numCache>
                <c:formatCode>0.00</c:formatCode>
                <c:ptCount val="126"/>
                <c:pt idx="0">
                  <c:v>33085.680209018268</c:v>
                </c:pt>
                <c:pt idx="1">
                  <c:v>10441.105234494458</c:v>
                </c:pt>
                <c:pt idx="2">
                  <c:v>3619.2591803439504</c:v>
                </c:pt>
                <c:pt idx="3">
                  <c:v>1352.6141486326228</c:v>
                </c:pt>
                <c:pt idx="4">
                  <c:v>536.26255223222961</c:v>
                </c:pt>
                <c:pt idx="5">
                  <c:v>222.0978025280603</c:v>
                </c:pt>
                <c:pt idx="6">
                  <c:v>94.513311364146489</c:v>
                </c:pt>
                <c:pt idx="7">
                  <c:v>40.470318780773688</c:v>
                </c:pt>
                <c:pt idx="8">
                  <c:v>16.875066013643092</c:v>
                </c:pt>
                <c:pt idx="9">
                  <c:v>6.4005046029189865</c:v>
                </c:pt>
                <c:pt idx="10">
                  <c:v>1.7578657011901604</c:v>
                </c:pt>
                <c:pt idx="11">
                  <c:v>-0.23696227041304391</c:v>
                </c:pt>
                <c:pt idx="12">
                  <c:v>-1.0182039549609474</c:v>
                </c:pt>
                <c:pt idx="13">
                  <c:v>-1.2470429501075107</c:v>
                </c:pt>
                <c:pt idx="14">
                  <c:v>-1.2328441817233282</c:v>
                </c:pt>
                <c:pt idx="15">
                  <c:v>-1.1209868978337463</c:v>
                </c:pt>
                <c:pt idx="16">
                  <c:v>-0.97906197531390793</c:v>
                </c:pt>
                <c:pt idx="17">
                  <c:v>-0.83738440634095113</c:v>
                </c:pt>
                <c:pt idx="18">
                  <c:v>-0.70839689561832453</c:v>
                </c:pt>
                <c:pt idx="19">
                  <c:v>-0.596087744493076</c:v>
                </c:pt>
                <c:pt idx="20">
                  <c:v>-0.50059219639536578</c:v>
                </c:pt>
                <c:pt idx="21">
                  <c:v>-0.42043533452040255</c:v>
                </c:pt>
                <c:pt idx="22">
                  <c:v>-0.3536085140849437</c:v>
                </c:pt>
                <c:pt idx="23">
                  <c:v>-0.2980666591874333</c:v>
                </c:pt>
                <c:pt idx="24">
                  <c:v>-0.25193932852169043</c:v>
                </c:pt>
                <c:pt idx="25">
                  <c:v>-0.21360271349994073</c:v>
                </c:pt>
                <c:pt idx="26">
                  <c:v>-0.1816866297983335</c:v>
                </c:pt>
                <c:pt idx="27">
                  <c:v>-0.15505354034522456</c:v>
                </c:pt>
                <c:pt idx="28">
                  <c:v>-0.13276779658464763</c:v>
                </c:pt>
                <c:pt idx="29">
                  <c:v>-0.11406368734821724</c:v>
                </c:pt>
                <c:pt idx="30">
                  <c:v>-9.8316035812633498E-2</c:v>
                </c:pt>
                <c:pt idx="31">
                  <c:v>-8.5014681930819694E-2</c:v>
                </c:pt>
                <c:pt idx="32">
                  <c:v>-7.3743042374963277E-2</c:v>
                </c:pt>
                <c:pt idx="33">
                  <c:v>-6.416043579764355E-2</c:v>
                </c:pt>
                <c:pt idx="34">
                  <c:v>-5.598767733433499E-2</c:v>
                </c:pt>
                <c:pt idx="35">
                  <c:v>-4.8995416326019982E-2</c:v>
                </c:pt>
                <c:pt idx="36">
                  <c:v>-4.2994729739012028E-2</c:v>
                </c:pt>
                <c:pt idx="37">
                  <c:v>-3.7829547667208321E-2</c:v>
                </c:pt>
                <c:pt idx="38">
                  <c:v>-3.3370555787326582E-2</c:v>
                </c:pt>
                <c:pt idx="39">
                  <c:v>-2.9510283353686134E-2</c:v>
                </c:pt>
                <c:pt idx="40">
                  <c:v>-2.6159140738797316E-2</c:v>
                </c:pt>
                <c:pt idx="41">
                  <c:v>-2.3242216958787993E-2</c:v>
                </c:pt>
                <c:pt idx="42">
                  <c:v>-2.0696685661081238E-2</c:v>
                </c:pt>
                <c:pt idx="43">
                  <c:v>-1.8469698779818491E-2</c:v>
                </c:pt>
                <c:pt idx="44">
                  <c:v>-1.651667166969081E-2</c:v>
                </c:pt>
                <c:pt idx="45">
                  <c:v>-1.4799883124740516E-2</c:v>
                </c:pt>
                <c:pt idx="46">
                  <c:v>-1.3287329246538008E-2</c:v>
                </c:pt>
                <c:pt idx="47">
                  <c:v>-1.1951782459303376E-2</c:v>
                </c:pt>
                <c:pt idx="48">
                  <c:v>-1.0770016742761198E-2</c:v>
                </c:pt>
                <c:pt idx="49">
                  <c:v>-9.722167901687959E-3</c:v>
                </c:pt>
                <c:pt idx="50">
                  <c:v>-8.7912038403807902E-3</c:v>
                </c:pt>
                <c:pt idx="51">
                  <c:v>-7.9624846979870108E-3</c:v>
                </c:pt>
                <c:pt idx="52">
                  <c:v>-7.2233965927834118E-3</c:v>
                </c:pt>
                <c:pt idx="53">
                  <c:v>-6.5630458293514616E-3</c:v>
                </c:pt>
                <c:pt idx="54">
                  <c:v>-5.9720029066372381E-3</c:v>
                </c:pt>
                <c:pt idx="55">
                  <c:v>-5.4420876563739803E-3</c:v>
                </c:pt>
                <c:pt idx="56">
                  <c:v>-4.9661884419213717E-3</c:v>
                </c:pt>
                <c:pt idx="57">
                  <c:v>-4.5381096372524915E-3</c:v>
                </c:pt>
                <c:pt idx="58">
                  <c:v>-4.1524426476707687E-3</c:v>
                </c:pt>
                <c:pt idx="59">
                  <c:v>-3.8044565776786752E-3</c:v>
                </c:pt>
                <c:pt idx="60">
                  <c:v>-3.4900053366604573E-3</c:v>
                </c:pt>
                <c:pt idx="61">
                  <c:v>-3.2054485309362005E-3</c:v>
                </c:pt>
                <c:pt idx="62">
                  <c:v>-2.9475839461315552E-3</c:v>
                </c:pt>
                <c:pt idx="63">
                  <c:v>-2.7135897964703994E-3</c:v>
                </c:pt>
                <c:pt idx="64">
                  <c:v>-2.5009752233343765E-3</c:v>
                </c:pt>
                <c:pt idx="65">
                  <c:v>-2.3075377768874586E-3</c:v>
                </c:pt>
                <c:pt idx="66">
                  <c:v>-2.1313268218805435E-3</c:v>
                </c:pt>
                <c:pt idx="67">
                  <c:v>-1.9706119800910033E-3</c:v>
                </c:pt>
                <c:pt idx="68">
                  <c:v>-1.8238558637940607E-3</c:v>
                </c:pt>
                <c:pt idx="69">
                  <c:v>-1.6896904725254716E-3</c:v>
                </c:pt>
                <c:pt idx="70">
                  <c:v>-1.5668967234868955E-3</c:v>
                </c:pt>
                <c:pt idx="71">
                  <c:v>-1.4543866677662308E-3</c:v>
                </c:pt>
                <c:pt idx="72">
                  <c:v>-1.3511880129445618E-3</c:v>
                </c:pt>
                <c:pt idx="73">
                  <c:v>-1.256430629963995E-3</c:v>
                </c:pt>
                <c:pt idx="74">
                  <c:v>-1.1693347702386328E-3</c:v>
                </c:pt>
                <c:pt idx="75">
                  <c:v>-1.0892007594631673E-3</c:v>
                </c:pt>
                <c:pt idx="76">
                  <c:v>-1.0153999686914022E-3</c:v>
                </c:pt>
                <c:pt idx="77">
                  <c:v>-9.4736689207509971E-4</c:v>
                </c:pt>
                <c:pt idx="78">
                  <c:v>-8.8459218504285421E-4</c:v>
                </c:pt>
                <c:pt idx="79">
                  <c:v>-8.2661653737908574E-4</c:v>
                </c:pt>
                <c:pt idx="80">
                  <c:v>-7.7302527323158687E-4</c:v>
                </c:pt>
                <c:pt idx="81">
                  <c:v>-7.2344358502809025E-4</c:v>
                </c:pt>
                <c:pt idx="82">
                  <c:v>-6.7753232103036397E-4</c:v>
                </c:pt>
                <c:pt idx="83">
                  <c:v>-6.3498425714254261E-4</c:v>
                </c:pt>
                <c:pt idx="84">
                  <c:v>-5.9552079290599931E-4</c:v>
                </c:pt>
                <c:pt idx="85">
                  <c:v>-5.5888901959671273E-4</c:v>
                </c:pt>
                <c:pt idx="86">
                  <c:v>-5.2485911519453482E-4</c:v>
                </c:pt>
                <c:pt idx="87">
                  <c:v>-4.9322202688651751E-4</c:v>
                </c:pt>
                <c:pt idx="88">
                  <c:v>-4.637874068412682E-4</c:v>
                </c:pt>
                <c:pt idx="89">
                  <c:v>-4.3638177136850082E-4</c:v>
                </c:pt>
                <c:pt idx="90">
                  <c:v>-4.1084685735917311E-4</c:v>
                </c:pt>
                <c:pt idx="91">
                  <c:v>-3.8703815317292891E-4</c:v>
                </c:pt>
                <c:pt idx="92">
                  <c:v>-3.6482358397385046E-4</c:v>
                </c:pt>
                <c:pt idx="93">
                  <c:v>-3.4408233397475226E-4</c:v>
                </c:pt>
                <c:pt idx="94">
                  <c:v>-3.2470379018701182E-4</c:v>
                </c:pt>
                <c:pt idx="95">
                  <c:v>-3.0658659413211202E-4</c:v>
                </c:pt>
                <c:pt idx="96">
                  <c:v>-2.896377895909178E-4</c:v>
                </c:pt>
                <c:pt idx="97">
                  <c:v>-2.737720558799094E-4</c:v>
                </c:pt>
                <c:pt idx="98">
                  <c:v>-2.5891101737813118E-4</c:v>
                </c:pt>
                <c:pt idx="99">
                  <c:v>-2.449826211084555E-4</c:v>
                </c:pt>
                <c:pt idx="100">
                  <c:v>-2.3192057512247773E-4</c:v>
                </c:pt>
                <c:pt idx="101">
                  <c:v>-2.1966384126764679E-4</c:v>
                </c:pt>
                <c:pt idx="102">
                  <c:v>-2.0815617664329448E-4</c:v>
                </c:pt>
                <c:pt idx="103">
                  <c:v>-1.9734571869219221E-4</c:v>
                </c:pt>
                <c:pt idx="104">
                  <c:v>-1.871846094374476E-4</c:v>
                </c:pt>
                <c:pt idx="105">
                  <c:v>-1.7762865487073301E-4</c:v>
                </c:pt>
                <c:pt idx="106">
                  <c:v>-1.6863701593549158E-4</c:v>
                </c:pt>
                <c:pt idx="107">
                  <c:v>-1.6017192793521523E-4</c:v>
                </c:pt>
                <c:pt idx="108">
                  <c:v>-1.5219844553849803E-4</c:v>
                </c:pt>
                <c:pt idx="109">
                  <c:v>-1.4468421085487703E-4</c:v>
                </c:pt>
                <c:pt idx="110">
                  <c:v>-1.3759924232326022E-4</c:v>
                </c:pt>
                <c:pt idx="111">
                  <c:v>-1.3091574239222439E-4</c:v>
                </c:pt>
                <c:pt idx="112">
                  <c:v>-1.246079221822643E-4</c:v>
                </c:pt>
                <c:pt idx="113">
                  <c:v>-1.1865184150738758E-4</c:v>
                </c:pt>
                <c:pt idx="114">
                  <c:v>-1.1302526280005872E-4</c:v>
                </c:pt>
                <c:pt idx="115">
                  <c:v>-1.0770751763182093E-4</c:v>
                </c:pt>
                <c:pt idx="116">
                  <c:v>-1.0267938465411594E-4</c:v>
                </c:pt>
                <c:pt idx="117">
                  <c:v>-9.7922977901728265E-5</c:v>
                </c:pt>
                <c:pt idx="118">
                  <c:v>-9.3421644506553513E-5</c:v>
                </c:pt>
                <c:pt idx="119">
                  <c:v>-8.9159870963466839E-5</c:v>
                </c:pt>
                <c:pt idx="120">
                  <c:v>-8.5123197174206803E-5</c:v>
                </c:pt>
                <c:pt idx="121">
                  <c:v>-8.1298137570523258E-5</c:v>
                </c:pt>
                <c:pt idx="122">
                  <c:v>-7.7672108685323624E-5</c:v>
                </c:pt>
                <c:pt idx="123">
                  <c:v>-7.4233362601081843E-5</c:v>
                </c:pt>
                <c:pt idx="124">
                  <c:v>-7.0970925759093455E-5</c:v>
                </c:pt>
                <c:pt idx="125">
                  <c:v>-6.7874542661955879E-5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154304"/>
        <c:axId val="197155840"/>
      </c:scatterChart>
      <c:valAx>
        <c:axId val="197154304"/>
        <c:scaling>
          <c:orientation val="minMax"/>
          <c:max val="25"/>
        </c:scaling>
        <c:delete val="0"/>
        <c:axPos val="b"/>
        <c:numFmt formatCode="General" sourceLinked="1"/>
        <c:majorTickMark val="out"/>
        <c:minorTickMark val="none"/>
        <c:tickLblPos val="nextTo"/>
        <c:crossAx val="197155840"/>
        <c:crosses val="autoZero"/>
        <c:crossBetween val="midCat"/>
      </c:valAx>
      <c:valAx>
        <c:axId val="197155840"/>
        <c:scaling>
          <c:orientation val="minMax"/>
          <c:max val="5"/>
          <c:min val="-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71543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Phe!$B$6</c:f>
              <c:strCache>
                <c:ptCount val="1"/>
                <c:pt idx="0">
                  <c:v>Cys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Phe!$B$7:$B$132</c:f>
              <c:numCache>
                <c:formatCode>0.00</c:formatCode>
                <c:ptCount val="126"/>
                <c:pt idx="0">
                  <c:v>185270904.43815649</c:v>
                </c:pt>
                <c:pt idx="1">
                  <c:v>59025718.483350411</c:v>
                </c:pt>
                <c:pt idx="2">
                  <c:v>20772749.675167054</c:v>
                </c:pt>
                <c:pt idx="3">
                  <c:v>7947316.3157738335</c:v>
                </c:pt>
                <c:pt idx="4">
                  <c:v>3264494.8278310318</c:v>
                </c:pt>
                <c:pt idx="5">
                  <c:v>1425568.661326909</c:v>
                </c:pt>
                <c:pt idx="6">
                  <c:v>656549.78992344136</c:v>
                </c:pt>
                <c:pt idx="7">
                  <c:v>316815.47643695411</c:v>
                </c:pt>
                <c:pt idx="8">
                  <c:v>159306.25431300976</c:v>
                </c:pt>
                <c:pt idx="9">
                  <c:v>83089.57122357795</c:v>
                </c:pt>
                <c:pt idx="10">
                  <c:v>44775.358190994069</c:v>
                </c:pt>
                <c:pt idx="11">
                  <c:v>24844.714580431137</c:v>
                </c:pt>
                <c:pt idx="12">
                  <c:v>14152.72624809656</c:v>
                </c:pt>
                <c:pt idx="13">
                  <c:v>8254.9479896455741</c:v>
                </c:pt>
                <c:pt idx="14">
                  <c:v>4918.4919612241911</c:v>
                </c:pt>
                <c:pt idx="15">
                  <c:v>2987.1811261744701</c:v>
                </c:pt>
                <c:pt idx="16">
                  <c:v>1845.6254638126682</c:v>
                </c:pt>
                <c:pt idx="17">
                  <c:v>1157.9001489687389</c:v>
                </c:pt>
                <c:pt idx="18">
                  <c:v>736.32856156599189</c:v>
                </c:pt>
                <c:pt idx="19">
                  <c:v>473.7929302893769</c:v>
                </c:pt>
                <c:pt idx="20">
                  <c:v>307.93640142922794</c:v>
                </c:pt>
                <c:pt idx="21">
                  <c:v>201.79019605476518</c:v>
                </c:pt>
                <c:pt idx="22">
                  <c:v>133.06330005369728</c:v>
                </c:pt>
                <c:pt idx="23">
                  <c:v>88.102532579842645</c:v>
                </c:pt>
                <c:pt idx="24">
                  <c:v>58.422830051080354</c:v>
                </c:pt>
                <c:pt idx="25">
                  <c:v>38.679317888623928</c:v>
                </c:pt>
                <c:pt idx="26">
                  <c:v>25.462774370742501</c:v>
                </c:pt>
                <c:pt idx="27">
                  <c:v>16.573276396718825</c:v>
                </c:pt>
                <c:pt idx="28">
                  <c:v>10.575949910001853</c:v>
                </c:pt>
                <c:pt idx="29">
                  <c:v>6.5256261494190611</c:v>
                </c:pt>
                <c:pt idx="30">
                  <c:v>3.7940431075242134</c:v>
                </c:pt>
                <c:pt idx="31">
                  <c:v>1.9601238681361912</c:v>
                </c:pt>
                <c:pt idx="32">
                  <c:v>0.73953590880043185</c:v>
                </c:pt>
                <c:pt idx="33">
                  <c:v>-6.1001230065846283E-2</c:v>
                </c:pt>
                <c:pt idx="34">
                  <c:v>-0.57364384181487427</c:v>
                </c:pt>
                <c:pt idx="35">
                  <c:v>-0.8892055958606816</c:v>
                </c:pt>
                <c:pt idx="36">
                  <c:v>-1.0703444716548547</c:v>
                </c:pt>
                <c:pt idx="37">
                  <c:v>-1.1604237957499113</c:v>
                </c:pt>
                <c:pt idx="38">
                  <c:v>-1.1895107897736212</c:v>
                </c:pt>
                <c:pt idx="39">
                  <c:v>-1.1784653786447303</c:v>
                </c:pt>
                <c:pt idx="40">
                  <c:v>-1.1417450207123234</c:v>
                </c:pt>
                <c:pt idx="41">
                  <c:v>-1.0893399946834756</c:v>
                </c:pt>
                <c:pt idx="42">
                  <c:v>-1.0281157925153119</c:v>
                </c:pt>
                <c:pt idx="43">
                  <c:v>-0.9627486746753432</c:v>
                </c:pt>
                <c:pt idx="44">
                  <c:v>-0.89638040350868875</c:v>
                </c:pt>
                <c:pt idx="45">
                  <c:v>-0.83107807543738066</c:v>
                </c:pt>
                <c:pt idx="46">
                  <c:v>-0.76815800367929388</c:v>
                </c:pt>
                <c:pt idx="47">
                  <c:v>-0.70841433841149204</c:v>
                </c:pt>
                <c:pt idx="48">
                  <c:v>-0.65228066086838088</c:v>
                </c:pt>
                <c:pt idx="49">
                  <c:v>-0.59994424842346938</c:v>
                </c:pt>
                <c:pt idx="50">
                  <c:v>-0.55142681648758163</c:v>
                </c:pt>
                <c:pt idx="51">
                  <c:v>-0.50664145638771796</c:v>
                </c:pt>
                <c:pt idx="52">
                  <c:v>-0.46543263879664071</c:v>
                </c:pt>
                <c:pt idx="53">
                  <c:v>-0.42760415561265275</c:v>
                </c:pt>
                <c:pt idx="54">
                  <c:v>-0.39293846778892771</c:v>
                </c:pt>
                <c:pt idx="55">
                  <c:v>-0.36120993321581801</c:v>
                </c:pt>
                <c:pt idx="56">
                  <c:v>-0.33219368385637327</c:v>
                </c:pt>
                <c:pt idx="57">
                  <c:v>-0.3056714193713056</c:v>
                </c:pt>
                <c:pt idx="58">
                  <c:v>-0.28143502588066049</c:v>
                </c:pt>
                <c:pt idx="59">
                  <c:v>-0.25928867162420394</c:v>
                </c:pt>
                <c:pt idx="60">
                  <c:v>-0.23904984681282579</c:v>
                </c:pt>
                <c:pt idx="61">
                  <c:v>-0.22054968223422036</c:v>
                </c:pt>
                <c:pt idx="62">
                  <c:v>-0.20363278553284039</c:v>
                </c:pt>
                <c:pt idx="63">
                  <c:v>-0.18815676509836737</c:v>
                </c:pt>
                <c:pt idx="64">
                  <c:v>-0.17399156172114097</c:v>
                </c:pt>
                <c:pt idx="65">
                  <c:v>-0.16101867227023486</c:v>
                </c:pt>
                <c:pt idx="66">
                  <c:v>-0.14913032378376098</c:v>
                </c:pt>
                <c:pt idx="67">
                  <c:v>-0.13822863776593119</c:v>
                </c:pt>
                <c:pt idx="68">
                  <c:v>-0.1282248111624906</c:v>
                </c:pt>
                <c:pt idx="69">
                  <c:v>-0.11903833098738945</c:v>
                </c:pt>
                <c:pt idx="70">
                  <c:v>-0.11059623284794942</c:v>
                </c:pt>
                <c:pt idx="71">
                  <c:v>-0.1028324088992163</c:v>
                </c:pt>
                <c:pt idx="72">
                  <c:v>-9.5686967494481509E-2</c:v>
                </c:pt>
                <c:pt idx="73">
                  <c:v>-8.9105644582877397E-2</c:v>
                </c:pt>
                <c:pt idx="74">
                  <c:v>-8.3039265441212221E-2</c:v>
                </c:pt>
                <c:pt idx="75">
                  <c:v>-7.7443254400613726E-2</c:v>
                </c:pt>
                <c:pt idx="76">
                  <c:v>-7.2277189682441775E-2</c:v>
                </c:pt>
                <c:pt idx="77">
                  <c:v>-6.7504400178392834E-2</c:v>
                </c:pt>
                <c:pt idx="78">
                  <c:v>-6.3091600914178328E-2</c:v>
                </c:pt>
                <c:pt idx="79">
                  <c:v>-5.9008563964902581E-2</c:v>
                </c:pt>
                <c:pt idx="80">
                  <c:v>-5.5227821700375358E-2</c:v>
                </c:pt>
                <c:pt idx="81">
                  <c:v>-5.1724399399399691E-2</c:v>
                </c:pt>
                <c:pt idx="82">
                  <c:v>-4.8475574461859662E-2</c:v>
                </c:pt>
                <c:pt idx="83">
                  <c:v>-4.5460659651014021E-2</c:v>
                </c:pt>
                <c:pt idx="84">
                  <c:v>-4.2660808005336018E-2</c:v>
                </c:pt>
                <c:pt idx="85">
                  <c:v>-4.0058837262518653E-2</c:v>
                </c:pt>
                <c:pt idx="86">
                  <c:v>-3.7639071833352869E-2</c:v>
                </c:pt>
                <c:pt idx="87">
                  <c:v>-3.5387200547307887E-2</c:v>
                </c:pt>
                <c:pt idx="88">
                  <c:v>-3.3290148563277104E-2</c:v>
                </c:pt>
                <c:pt idx="89">
                  <c:v>-3.1335961997445164E-2</c:v>
                </c:pt>
                <c:pt idx="90">
                  <c:v>-2.9513703965521755E-2</c:v>
                </c:pt>
                <c:pt idx="91">
                  <c:v>-2.7813360869019504E-2</c:v>
                </c:pt>
                <c:pt idx="92">
                  <c:v>-2.6225757875411673E-2</c:v>
                </c:pt>
                <c:pt idx="93">
                  <c:v>-2.4742482650641315E-2</c:v>
                </c:pt>
                <c:pt idx="94">
                  <c:v>-2.3355816500382862E-2</c:v>
                </c:pt>
                <c:pt idx="95">
                  <c:v>-2.2058672164535057E-2</c:v>
                </c:pt>
                <c:pt idx="96">
                  <c:v>-2.0844537588494267E-2</c:v>
                </c:pt>
                <c:pt idx="97">
                  <c:v>-1.9707425065637479E-2</c:v>
                </c:pt>
                <c:pt idx="98">
                  <c:v>-1.8641825208911455E-2</c:v>
                </c:pt>
                <c:pt idx="99">
                  <c:v>-1.7642665266203516E-2</c:v>
                </c:pt>
                <c:pt idx="100">
                  <c:v>-1.67052713449313E-2</c:v>
                </c:pt>
                <c:pt idx="101">
                  <c:v>-1.5825334156651827E-2</c:v>
                </c:pt>
                <c:pt idx="102">
                  <c:v>-1.4998877933013362E-2</c:v>
                </c:pt>
                <c:pt idx="103">
                  <c:v>-1.4222232200568815E-2</c:v>
                </c:pt>
                <c:pt idx="104">
                  <c:v>-1.349200613429688E-2</c:v>
                </c:pt>
                <c:pt idx="105">
                  <c:v>-1.2805065238549393E-2</c:v>
                </c:pt>
                <c:pt idx="106">
                  <c:v>-1.2158510129935613E-2</c:v>
                </c:pt>
                <c:pt idx="107">
                  <c:v>-1.1549657219697055E-2</c:v>
                </c:pt>
                <c:pt idx="108">
                  <c:v>-1.0976021113719476E-2</c:v>
                </c:pt>
                <c:pt idx="109">
                  <c:v>-1.0435298566738247E-2</c:v>
                </c:pt>
                <c:pt idx="110">
                  <c:v>-9.9253538437559796E-3</c:v>
                </c:pt>
                <c:pt idx="111">
                  <c:v>-9.4442053564194606E-3</c:v>
                </c:pt>
                <c:pt idx="112">
                  <c:v>-8.9900134552852607E-3</c:v>
                </c:pt>
                <c:pt idx="113">
                  <c:v>-8.5610692707065693E-3</c:v>
                </c:pt>
                <c:pt idx="114">
                  <c:v>-8.1557845056487669E-3</c:v>
                </c:pt>
                <c:pt idx="115">
                  <c:v>-7.7726820932191775E-3</c:v>
                </c:pt>
                <c:pt idx="116">
                  <c:v>-7.410387640196997E-3</c:v>
                </c:pt>
                <c:pt idx="117">
                  <c:v>-7.0676215854765046E-3</c:v>
                </c:pt>
                <c:pt idx="118">
                  <c:v>-6.7431920091844044E-3</c:v>
                </c:pt>
                <c:pt idx="119">
                  <c:v>-6.4359880343838761E-3</c:v>
                </c:pt>
                <c:pt idx="120">
                  <c:v>-6.1449737688069059E-3</c:v>
                </c:pt>
                <c:pt idx="121">
                  <c:v>-5.869182739029661E-3</c:v>
                </c:pt>
                <c:pt idx="122">
                  <c:v>-5.6077127739805428E-3</c:v>
                </c:pt>
                <c:pt idx="123">
                  <c:v>-5.3597212987004641E-3</c:v>
                </c:pt>
                <c:pt idx="124">
                  <c:v>-5.1244210029055643E-3</c:v>
                </c:pt>
                <c:pt idx="125">
                  <c:v>-4.901075852175904E-3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Phe!$C$6</c:f>
              <c:strCache>
                <c:ptCount val="1"/>
                <c:pt idx="0">
                  <c:v>Met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Phe!$C$7:$C$132</c:f>
              <c:numCache>
                <c:formatCode>0.00</c:formatCode>
                <c:ptCount val="126"/>
                <c:pt idx="0">
                  <c:v>24940995.49723959</c:v>
                </c:pt>
                <c:pt idx="1">
                  <c:v>7944290.5395598868</c:v>
                </c:pt>
                <c:pt idx="2">
                  <c:v>2794871.1399311484</c:v>
                </c:pt>
                <c:pt idx="3">
                  <c:v>1068726.8928953407</c:v>
                </c:pt>
                <c:pt idx="4">
                  <c:v>438668.53055117786</c:v>
                </c:pt>
                <c:pt idx="5">
                  <c:v>191356.12358653342</c:v>
                </c:pt>
                <c:pt idx="6">
                  <c:v>87997.350065472274</c:v>
                </c:pt>
                <c:pt idx="7">
                  <c:v>42375.377730014661</c:v>
                </c:pt>
                <c:pt idx="8">
                  <c:v>21248.750416385792</c:v>
                </c:pt>
                <c:pt idx="9">
                  <c:v>11041.88904007473</c:v>
                </c:pt>
                <c:pt idx="10">
                  <c:v>5921.4863701884442</c:v>
                </c:pt>
                <c:pt idx="11">
                  <c:v>3265.0570373987898</c:v>
                </c:pt>
                <c:pt idx="12">
                  <c:v>1844.9047592581869</c:v>
                </c:pt>
                <c:pt idx="13">
                  <c:v>1064.9768309823851</c:v>
                </c:pt>
                <c:pt idx="14">
                  <c:v>626.20469579876897</c:v>
                </c:pt>
                <c:pt idx="15">
                  <c:v>373.98423602757526</c:v>
                </c:pt>
                <c:pt idx="16">
                  <c:v>226.19197567611945</c:v>
                </c:pt>
                <c:pt idx="17">
                  <c:v>138.11088741725604</c:v>
                </c:pt>
                <c:pt idx="18">
                  <c:v>84.834632818234297</c:v>
                </c:pt>
                <c:pt idx="19">
                  <c:v>52.200711286852588</c:v>
                </c:pt>
                <c:pt idx="20">
                  <c:v>32.001854429872495</c:v>
                </c:pt>
                <c:pt idx="21">
                  <c:v>19.39877215777501</c:v>
                </c:pt>
                <c:pt idx="22">
                  <c:v>11.492567493817722</c:v>
                </c:pt>
                <c:pt idx="23">
                  <c:v>6.5215366667963721</c:v>
                </c:pt>
                <c:pt idx="24">
                  <c:v>3.4010300453421389</c:v>
                </c:pt>
                <c:pt idx="25">
                  <c:v>1.4553907060895663</c:v>
                </c:pt>
                <c:pt idx="26">
                  <c:v>0.25934160177155174</c:v>
                </c:pt>
                <c:pt idx="27">
                  <c:v>-0.45723185635176661</c:v>
                </c:pt>
                <c:pt idx="28">
                  <c:v>-0.86721322829789249</c:v>
                </c:pt>
                <c:pt idx="29">
                  <c:v>-1.081941417274777</c:v>
                </c:pt>
                <c:pt idx="30">
                  <c:v>-1.1734474077440886</c:v>
                </c:pt>
                <c:pt idx="31">
                  <c:v>-1.1884573988112528</c:v>
                </c:pt>
                <c:pt idx="32">
                  <c:v>-1.1572966866227163</c:v>
                </c:pt>
                <c:pt idx="33">
                  <c:v>-1.0996011959018033</c:v>
                </c:pt>
                <c:pt idx="34">
                  <c:v>-1.028010334189712</c:v>
                </c:pt>
                <c:pt idx="35">
                  <c:v>-0.95057145117726027</c:v>
                </c:pt>
                <c:pt idx="36">
                  <c:v>-0.8723149505429203</c:v>
                </c:pt>
                <c:pt idx="37">
                  <c:v>-0.79629136621474683</c:v>
                </c:pt>
                <c:pt idx="38">
                  <c:v>-0.72425691760356437</c:v>
                </c:pt>
                <c:pt idx="39">
                  <c:v>-0.65712794949250353</c:v>
                </c:pt>
                <c:pt idx="40">
                  <c:v>-0.5952825798238065</c:v>
                </c:pt>
                <c:pt idx="41">
                  <c:v>-0.53876086203284335</c:v>
                </c:pt>
                <c:pt idx="42">
                  <c:v>-0.48739728577683905</c:v>
                </c:pt>
                <c:pt idx="43">
                  <c:v>-0.44090804241544762</c:v>
                </c:pt>
                <c:pt idx="44">
                  <c:v>-0.39894800001162389</c:v>
                </c:pt>
                <c:pt idx="45">
                  <c:v>-0.36114739027456666</c:v>
                </c:pt>
                <c:pt idx="46">
                  <c:v>-0.32713492594651489</c:v>
                </c:pt>
                <c:pt idx="47">
                  <c:v>-0.29655187366891739</c:v>
                </c:pt>
                <c:pt idx="48">
                  <c:v>-0.26906013539859758</c:v>
                </c:pt>
                <c:pt idx="49">
                  <c:v>-0.24434639963881416</c:v>
                </c:pt>
                <c:pt idx="50">
                  <c:v>-0.22212375319772276</c:v>
                </c:pt>
                <c:pt idx="51">
                  <c:v>-0.20213168961505221</c:v>
                </c:pt>
                <c:pt idx="52">
                  <c:v>-0.18413514166374742</c:v>
                </c:pt>
                <c:pt idx="53">
                  <c:v>-0.16792295545030242</c:v>
                </c:pt>
                <c:pt idx="54">
                  <c:v>-0.15330608097530571</c:v>
                </c:pt>
                <c:pt idx="55">
                  <c:v>-0.14011565718545033</c:v>
                </c:pt>
                <c:pt idx="56">
                  <c:v>-0.12820110402743565</c:v>
                </c:pt>
                <c:pt idx="57">
                  <c:v>-0.11742828990687702</c:v>
                </c:pt>
                <c:pt idx="58">
                  <c:v>-0.10767781349712892</c:v>
                </c:pt>
                <c:pt idx="59">
                  <c:v>-9.8843419398161159E-2</c:v>
                </c:pt>
                <c:pt idx="60">
                  <c:v>-9.0830554531086294E-2</c:v>
                </c:pt>
                <c:pt idx="61">
                  <c:v>-8.3555064180917613E-2</c:v>
                </c:pt>
                <c:pt idx="62">
                  <c:v>-7.6942021762909457E-2</c:v>
                </c:pt>
                <c:pt idx="63">
                  <c:v>-7.0924683650816958E-2</c:v>
                </c:pt>
                <c:pt idx="64">
                  <c:v>-6.5443559057433515E-2</c:v>
                </c:pt>
                <c:pt idx="65">
                  <c:v>-6.0445584511688022E-2</c:v>
                </c:pt>
                <c:pt idx="66">
                  <c:v>-5.5883392600227212E-2</c:v>
                </c:pt>
                <c:pt idx="67">
                  <c:v>-5.1714665109693657E-2</c:v>
                </c:pt>
                <c:pt idx="68">
                  <c:v>-4.7901561367759735E-2</c:v>
                </c:pt>
                <c:pt idx="69">
                  <c:v>-4.4410213336343075E-2</c:v>
                </c:pt>
                <c:pt idx="70">
                  <c:v>-4.1210279794326184E-2</c:v>
                </c:pt>
                <c:pt idx="71">
                  <c:v>-3.8274552718529212E-2</c:v>
                </c:pt>
                <c:pt idx="72">
                  <c:v>-3.5578609705934627E-2</c:v>
                </c:pt>
                <c:pt idx="73">
                  <c:v>-3.3100506963471443E-2</c:v>
                </c:pt>
                <c:pt idx="74">
                  <c:v>-3.0820508017537308E-2</c:v>
                </c:pt>
                <c:pt idx="75">
                  <c:v>-2.872084386207625E-2</c:v>
                </c:pt>
                <c:pt idx="76">
                  <c:v>-2.6785500772626328E-2</c:v>
                </c:pt>
                <c:pt idx="77">
                  <c:v>-2.5000032467257741E-2</c:v>
                </c:pt>
                <c:pt idx="78">
                  <c:v>-2.3351393697690591E-2</c:v>
                </c:pt>
                <c:pt idx="79">
                  <c:v>-2.1827792709503659E-2</c:v>
                </c:pt>
                <c:pt idx="80">
                  <c:v>-2.0418560323727089E-2</c:v>
                </c:pt>
                <c:pt idx="81">
                  <c:v>-1.9114033667653435E-2</c:v>
                </c:pt>
                <c:pt idx="82">
                  <c:v>-1.7905452824558077E-2</c:v>
                </c:pt>
                <c:pt idx="83">
                  <c:v>-1.678486888405056E-2</c:v>
                </c:pt>
                <c:pt idx="84">
                  <c:v>-1.5745062060495491E-2</c:v>
                </c:pt>
                <c:pt idx="85">
                  <c:v>-1.4779468709516424E-2</c:v>
                </c:pt>
                <c:pt idx="86">
                  <c:v>-1.3882116214865157E-2</c:v>
                </c:pt>
                <c:pt idx="87">
                  <c:v>-1.3047564842420737E-2</c:v>
                </c:pt>
                <c:pt idx="88">
                  <c:v>-1.2270855767004618E-2</c:v>
                </c:pt>
                <c:pt idx="89">
                  <c:v>-1.1547464573023324E-2</c:v>
                </c:pt>
                <c:pt idx="90">
                  <c:v>-1.0873259613398018E-2</c:v>
                </c:pt>
                <c:pt idx="91">
                  <c:v>-1.0244464684321771E-2</c:v>
                </c:pt>
                <c:pt idx="92">
                  <c:v>-9.6576255374158718E-3</c:v>
                </c:pt>
                <c:pt idx="93">
                  <c:v>-9.1095798069905226E-3</c:v>
                </c:pt>
                <c:pt idx="94">
                  <c:v>-8.59742997935398E-3</c:v>
                </c:pt>
                <c:pt idx="95">
                  <c:v>-8.1185190743341146E-3</c:v>
                </c:pt>
                <c:pt idx="96">
                  <c:v>-7.6704087471394086E-3</c:v>
                </c:pt>
                <c:pt idx="97">
                  <c:v>-7.2508595520558421E-3</c:v>
                </c:pt>
                <c:pt idx="98">
                  <c:v>-6.8578131388306101E-3</c:v>
                </c:pt>
                <c:pt idx="99">
                  <c:v>-6.4893761784363055E-3</c:v>
                </c:pt>
                <c:pt idx="100">
                  <c:v>-6.1438058376780151E-3</c:v>
                </c:pt>
                <c:pt idx="101">
                  <c:v>-5.8194966421836226E-3</c:v>
                </c:pt>
                <c:pt idx="102">
                  <c:v>-5.5149685850362255E-3</c:v>
                </c:pt>
                <c:pt idx="103">
                  <c:v>-5.2288563539581645E-3</c:v>
                </c:pt>
                <c:pt idx="104">
                  <c:v>-4.9598995637912102E-3</c:v>
                </c:pt>
                <c:pt idx="105">
                  <c:v>-4.7069338932582633E-3</c:v>
                </c:pt>
                <c:pt idx="106">
                  <c:v>-4.4688830358315217E-3</c:v>
                </c:pt>
                <c:pt idx="107">
                  <c:v>-4.2447513841387353E-3</c:v>
                </c:pt>
                <c:pt idx="108">
                  <c:v>-4.0336173758608084E-3</c:v>
                </c:pt>
                <c:pt idx="109">
                  <c:v>-3.8346274366394873E-3</c:v>
                </c:pt>
                <c:pt idx="110">
                  <c:v>-3.64699046223602E-3</c:v>
                </c:pt>
                <c:pt idx="111">
                  <c:v>-3.4699727881599657E-3</c:v>
                </c:pt>
                <c:pt idx="112">
                  <c:v>-3.302893600308218E-3</c:v>
                </c:pt>
                <c:pt idx="113">
                  <c:v>-3.1451207448941806E-3</c:v>
                </c:pt>
                <c:pt idx="114">
                  <c:v>-2.9960669001730506E-3</c:v>
                </c:pt>
                <c:pt idx="115">
                  <c:v>-2.8551860762397576E-3</c:v>
                </c:pt>
                <c:pt idx="116">
                  <c:v>-2.721970412543644E-3</c:v>
                </c:pt>
                <c:pt idx="117">
                  <c:v>-2.5959472457734653E-3</c:v>
                </c:pt>
                <c:pt idx="118">
                  <c:v>-2.4766764234584408E-3</c:v>
                </c:pt>
                <c:pt idx="119">
                  <c:v>-2.3637478410409476E-3</c:v>
                </c:pt>
                <c:pt idx="120">
                  <c:v>-2.2567791823355937E-3</c:v>
                </c:pt>
                <c:pt idx="121">
                  <c:v>-2.1554138452253109E-3</c:v>
                </c:pt>
                <c:pt idx="122">
                  <c:v>-2.0593190361821319E-3</c:v>
                </c:pt>
                <c:pt idx="123">
                  <c:v>-1.9681840187603873E-3</c:v>
                </c:pt>
                <c:pt idx="124">
                  <c:v>-1.8817185026118791E-3</c:v>
                </c:pt>
                <c:pt idx="125">
                  <c:v>-1.7996511608335155E-3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Phe!$D$6</c:f>
              <c:strCache>
                <c:ptCount val="1"/>
                <c:pt idx="0">
                  <c:v>Phe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Phe!$D$7:$D$132</c:f>
              <c:numCache>
                <c:formatCode>0.00</c:formatCode>
                <c:ptCount val="126"/>
                <c:pt idx="0">
                  <c:v>311695886.07173115</c:v>
                </c:pt>
                <c:pt idx="1">
                  <c:v>99306444.970679611</c:v>
                </c:pt>
                <c:pt idx="2">
                  <c:v>34950187.707193933</c:v>
                </c:pt>
                <c:pt idx="3">
                  <c:v>13372278.129458588</c:v>
                </c:pt>
                <c:pt idx="4">
                  <c:v>5493435.7103876751</c:v>
                </c:pt>
                <c:pt idx="5">
                  <c:v>2399263.327506444</c:v>
                </c:pt>
                <c:pt idx="6">
                  <c:v>1105207.0701213151</c:v>
                </c:pt>
                <c:pt idx="7">
                  <c:v>533458.19541165128</c:v>
                </c:pt>
                <c:pt idx="8">
                  <c:v>268340.08151330129</c:v>
                </c:pt>
                <c:pt idx="9">
                  <c:v>140026.237112156</c:v>
                </c:pt>
                <c:pt idx="10">
                  <c:v>75505.144680143669</c:v>
                </c:pt>
                <c:pt idx="11">
                  <c:v>41930.105440992658</c:v>
                </c:pt>
                <c:pt idx="12">
                  <c:v>23910.295907801406</c:v>
                </c:pt>
                <c:pt idx="13">
                  <c:v>13964.735731701354</c:v>
                </c:pt>
                <c:pt idx="14">
                  <c:v>8334.3390598230962</c:v>
                </c:pt>
                <c:pt idx="15">
                  <c:v>5072.254083664634</c:v>
                </c:pt>
                <c:pt idx="16">
                  <c:v>3141.9678006704075</c:v>
                </c:pt>
                <c:pt idx="17">
                  <c:v>1977.4900037654679</c:v>
                </c:pt>
                <c:pt idx="18">
                  <c:v>1262.4828773267764</c:v>
                </c:pt>
                <c:pt idx="19">
                  <c:v>816.30650141609351</c:v>
                </c:pt>
                <c:pt idx="20">
                  <c:v>533.74261355485692</c:v>
                </c:pt>
                <c:pt idx="21">
                  <c:v>352.3678123482515</c:v>
                </c:pt>
                <c:pt idx="22">
                  <c:v>234.51116108175142</c:v>
                </c:pt>
                <c:pt idx="23">
                  <c:v>157.07633057507033</c:v>
                </c:pt>
                <c:pt idx="24">
                  <c:v>105.69269350411179</c:v>
                </c:pt>
                <c:pt idx="25">
                  <c:v>71.295393276908783</c:v>
                </c:pt>
                <c:pt idx="26">
                  <c:v>48.092985314405752</c:v>
                </c:pt>
                <c:pt idx="27">
                  <c:v>32.341181916379554</c:v>
                </c:pt>
                <c:pt idx="28">
                  <c:v>21.592349602519807</c:v>
                </c:pt>
                <c:pt idx="29">
                  <c:v>14.229987545856083</c:v>
                </c:pt>
                <c:pt idx="30">
                  <c:v>9.1763145357759477</c:v>
                </c:pt>
                <c:pt idx="31">
                  <c:v>5.7064026398315617</c:v>
                </c:pt>
                <c:pt idx="32">
                  <c:v>3.3287093285237686</c:v>
                </c:pt>
                <c:pt idx="33">
                  <c:v>1.7074766857593244</c:v>
                </c:pt>
                <c:pt idx="34">
                  <c:v>0.61182405767149883</c:v>
                </c:pt>
                <c:pt idx="35">
                  <c:v>-0.11796075211028681</c:v>
                </c:pt>
                <c:pt idx="36">
                  <c:v>-0.59293877740484535</c:v>
                </c:pt>
                <c:pt idx="37">
                  <c:v>-0.89068589225738615</c:v>
                </c:pt>
                <c:pt idx="38">
                  <c:v>-1.0655869229501953</c:v>
                </c:pt>
                <c:pt idx="39">
                  <c:v>-1.1558737784307949</c:v>
                </c:pt>
                <c:pt idx="40">
                  <c:v>-1.1884701797180015</c:v>
                </c:pt>
                <c:pt idx="41">
                  <c:v>-1.1823476619755058</c:v>
                </c:pt>
                <c:pt idx="42">
                  <c:v>-1.1508639475619942</c:v>
                </c:pt>
                <c:pt idx="43">
                  <c:v>-1.1034010534379735</c:v>
                </c:pt>
                <c:pt idx="44">
                  <c:v>-1.0465184883263507</c:v>
                </c:pt>
                <c:pt idx="45">
                  <c:v>-0.98476868503933401</c:v>
                </c:pt>
                <c:pt idx="46">
                  <c:v>-0.92127586634935177</c:v>
                </c:pt>
                <c:pt idx="47">
                  <c:v>-0.85814837448769243</c:v>
                </c:pt>
                <c:pt idx="48">
                  <c:v>-0.79677320949686925</c:v>
                </c:pt>
                <c:pt idx="49">
                  <c:v>-0.7380268934253954</c:v>
                </c:pt>
                <c:pt idx="50">
                  <c:v>-0.68242666289611609</c:v>
                </c:pt>
                <c:pt idx="51">
                  <c:v>-0.63023895874468583</c:v>
                </c:pt>
                <c:pt idx="52">
                  <c:v>-0.58155726314375378</c:v>
                </c:pt>
                <c:pt idx="53">
                  <c:v>-0.53635787777265465</c:v>
                </c:pt>
                <c:pt idx="54">
                  <c:v>-0.49453979500285822</c:v>
                </c:pt>
                <c:pt idx="55">
                  <c:v>-0.4559530816014975</c:v>
                </c:pt>
                <c:pt idx="56">
                  <c:v>-0.42041895982557775</c:v>
                </c:pt>
                <c:pt idx="57">
                  <c:v>-0.38774388736564119</c:v>
                </c:pt>
                <c:pt idx="58">
                  <c:v>-0.35772930311029932</c:v>
                </c:pt>
                <c:pt idx="59">
                  <c:v>-0.33017824841968335</c:v>
                </c:pt>
                <c:pt idx="60">
                  <c:v>-0.30489974298295269</c:v>
                </c:pt>
                <c:pt idx="61">
                  <c:v>-0.28171155462353953</c:v>
                </c:pt>
                <c:pt idx="62">
                  <c:v>-0.26044182817601513</c:v>
                </c:pt>
                <c:pt idx="63">
                  <c:v>-0.2409299116352418</c:v>
                </c:pt>
                <c:pt idx="64">
                  <c:v>-0.22302662515894867</c:v>
                </c:pt>
                <c:pt idx="65">
                  <c:v>-0.20659415082663785</c:v>
                </c:pt>
                <c:pt idx="66">
                  <c:v>-0.19150567156094978</c:v>
                </c:pt>
                <c:pt idx="67">
                  <c:v>-0.17764485140530129</c:v>
                </c:pt>
                <c:pt idx="68">
                  <c:v>-0.16490522286511528</c:v>
                </c:pt>
                <c:pt idx="69">
                  <c:v>-0.15318952766587868</c:v>
                </c:pt>
                <c:pt idx="70">
                  <c:v>-0.14240904316450045</c:v>
                </c:pt>
                <c:pt idx="71">
                  <c:v>-0.13248291638288517</c:v>
                </c:pt>
                <c:pt idx="72">
                  <c:v>-0.12333752019537729</c:v>
                </c:pt>
                <c:pt idx="73">
                  <c:v>-0.11490584084537686</c:v>
                </c:pt>
                <c:pt idx="74">
                  <c:v>-0.10712690213902823</c:v>
                </c:pt>
                <c:pt idx="75">
                  <c:v>-9.9945228958323043E-2</c:v>
                </c:pt>
                <c:pt idx="76">
                  <c:v>-9.3310350851745869E-2</c:v>
                </c:pt>
                <c:pt idx="77">
                  <c:v>-8.7176345175735734E-2</c:v>
                </c:pt>
                <c:pt idx="78">
                  <c:v>-8.1501418410826948E-2</c:v>
                </c:pt>
                <c:pt idx="79">
                  <c:v>-7.6247523741299242E-2</c:v>
                </c:pt>
                <c:pt idx="80">
                  <c:v>-7.138001267724095E-2</c:v>
                </c:pt>
                <c:pt idx="81">
                  <c:v>-6.6867318347377788E-2</c:v>
                </c:pt>
                <c:pt idx="82">
                  <c:v>-6.2680668051549635E-2</c:v>
                </c:pt>
                <c:pt idx="83">
                  <c:v>-5.8793822698017209E-2</c:v>
                </c:pt>
                <c:pt idx="84">
                  <c:v>-5.5182840837104105E-2</c:v>
                </c:pt>
                <c:pt idx="85">
                  <c:v>-5.1825865120424329E-2</c:v>
                </c:pt>
                <c:pt idx="86">
                  <c:v>-4.8702929150756379E-2</c:v>
                </c:pt>
                <c:pt idx="87">
                  <c:v>-4.579578283204E-2</c:v>
                </c:pt>
                <c:pt idx="88">
                  <c:v>-4.3087734475394768E-2</c:v>
                </c:pt>
                <c:pt idx="89">
                  <c:v>-4.0563508060991099E-2</c:v>
                </c:pt>
                <c:pt idx="90">
                  <c:v>-3.8209114194074703E-2</c:v>
                </c:pt>
                <c:pt idx="91">
                  <c:v>-3.6011733424606104E-2</c:v>
                </c:pt>
                <c:pt idx="92">
                  <c:v>-3.3959610722759929E-2</c:v>
                </c:pt>
                <c:pt idx="93">
                  <c:v>-3.2041960016450093E-2</c:v>
                </c:pt>
                <c:pt idx="94">
                  <c:v>-3.0248877802003114E-2</c:v>
                </c:pt>
                <c:pt idx="95">
                  <c:v>-2.8571264935264361E-2</c:v>
                </c:pt>
                <c:pt idx="96">
                  <c:v>-2.700075579814017E-2</c:v>
                </c:pt>
                <c:pt idx="97">
                  <c:v>-2.5529654115306798E-2</c:v>
                </c:pt>
                <c:pt idx="98">
                  <c:v>-2.4150874768078184E-2</c:v>
                </c:pt>
                <c:pt idx="99">
                  <c:v>-2.285789101776451E-2</c:v>
                </c:pt>
                <c:pt idx="100">
                  <c:v>-2.1644686609824739E-2</c:v>
                </c:pt>
                <c:pt idx="101">
                  <c:v>-2.0505712283262912E-2</c:v>
                </c:pt>
                <c:pt idx="102">
                  <c:v>-1.9435846257553402E-2</c:v>
                </c:pt>
                <c:pt idx="103">
                  <c:v>-1.8430358312399888E-2</c:v>
                </c:pt>
                <c:pt idx="104">
                  <c:v>-1.7484877114290101E-2</c:v>
                </c:pt>
                <c:pt idx="105">
                  <c:v>-1.6595360478528609E-2</c:v>
                </c:pt>
                <c:pt idx="106">
                  <c:v>-1.5758068286602287E-2</c:v>
                </c:pt>
                <c:pt idx="107">
                  <c:v>-1.4969537806711609E-2</c:v>
                </c:pt>
                <c:pt idx="108">
                  <c:v>-1.4226561190411222E-2</c:v>
                </c:pt>
                <c:pt idx="109">
                  <c:v>-1.3526164940837415E-2</c:v>
                </c:pt>
                <c:pt idx="110">
                  <c:v>-1.2865591168223188E-2</c:v>
                </c:pt>
                <c:pt idx="111">
                  <c:v>-1.2242280466553769E-2</c:v>
                </c:pt>
                <c:pt idx="112">
                  <c:v>-1.1653856261510595E-2</c:v>
                </c:pt>
                <c:pt idx="113">
                  <c:v>-1.1098110494483983E-2</c:v>
                </c:pt>
                <c:pt idx="114">
                  <c:v>-1.0572990520577495E-2</c:v>
                </c:pt>
                <c:pt idx="115">
                  <c:v>-1.0076587110335067E-2</c:v>
                </c:pt>
                <c:pt idx="116">
                  <c:v>-9.6071234555360017E-3</c:v>
                </c:pt>
                <c:pt idx="117">
                  <c:v>-9.1629450889458581E-3</c:v>
                </c:pt>
                <c:pt idx="118">
                  <c:v>-8.7425106364961303E-3</c:v>
                </c:pt>
                <c:pt idx="119">
                  <c:v>-8.344383328091242E-3</c:v>
                </c:pt>
                <c:pt idx="120">
                  <c:v>-7.9672232001972015E-3</c:v>
                </c:pt>
                <c:pt idx="121">
                  <c:v>-7.6097799296323699E-3</c:v>
                </c:pt>
                <c:pt idx="122">
                  <c:v>-7.2708862436274479E-3</c:v>
                </c:pt>
                <c:pt idx="123">
                  <c:v>-6.9494518563141287E-3</c:v>
                </c:pt>
                <c:pt idx="124">
                  <c:v>-6.6444578863954357E-3</c:v>
                </c:pt>
                <c:pt idx="125">
                  <c:v>-6.3549517148974513E-3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Phe!$E$6</c:f>
              <c:strCache>
                <c:ptCount val="1"/>
                <c:pt idx="0">
                  <c:v>Ile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Phe!$E$7:$E$132</c:f>
              <c:numCache>
                <c:formatCode>0.00</c:formatCode>
                <c:ptCount val="126"/>
                <c:pt idx="0">
                  <c:v>55722768.858158074</c:v>
                </c:pt>
                <c:pt idx="1">
                  <c:v>17750986.970591247</c:v>
                </c:pt>
                <c:pt idx="2">
                  <c:v>6246051.2101135328</c:v>
                </c:pt>
                <c:pt idx="3">
                  <c:v>2389056.2366903806</c:v>
                </c:pt>
                <c:pt idx="4">
                  <c:v>980994.42503567995</c:v>
                </c:pt>
                <c:pt idx="5">
                  <c:v>428170.23748681892</c:v>
                </c:pt>
                <c:pt idx="6">
                  <c:v>197054.03665015061</c:v>
                </c:pt>
                <c:pt idx="7">
                  <c:v>94994.470043549023</c:v>
                </c:pt>
                <c:pt idx="8">
                  <c:v>47703.621648403576</c:v>
                </c:pt>
                <c:pt idx="9">
                  <c:v>24837.291007374966</c:v>
                </c:pt>
                <c:pt idx="10">
                  <c:v>13353.659221952503</c:v>
                </c:pt>
                <c:pt idx="11">
                  <c:v>7387.6187058068499</c:v>
                </c:pt>
                <c:pt idx="12">
                  <c:v>4192.3180484280001</c:v>
                </c:pt>
                <c:pt idx="13">
                  <c:v>2433.4326533509029</c:v>
                </c:pt>
                <c:pt idx="14">
                  <c:v>1441.0120544396816</c:v>
                </c:pt>
                <c:pt idx="15">
                  <c:v>868.42817320506663</c:v>
                </c:pt>
                <c:pt idx="16">
                  <c:v>531.36133069541313</c:v>
                </c:pt>
                <c:pt idx="17">
                  <c:v>329.31574684202582</c:v>
                </c:pt>
                <c:pt idx="18">
                  <c:v>206.22730750619732</c:v>
                </c:pt>
                <c:pt idx="19">
                  <c:v>130.15348992447898</c:v>
                </c:pt>
                <c:pt idx="20">
                  <c:v>82.539135938200218</c:v>
                </c:pt>
                <c:pt idx="21">
                  <c:v>52.41187160118546</c:v>
                </c:pt>
                <c:pt idx="22">
                  <c:v>33.176001328842055</c:v>
                </c:pt>
                <c:pt idx="23">
                  <c:v>20.806459196240837</c:v>
                </c:pt>
                <c:pt idx="24">
                  <c:v>12.812654440404115</c:v>
                </c:pt>
                <c:pt idx="25">
                  <c:v>7.6338068062681028</c:v>
                </c:pt>
                <c:pt idx="26">
                  <c:v>4.2804404623253314</c:v>
                </c:pt>
                <c:pt idx="27">
                  <c:v>2.118656136347365</c:v>
                </c:pt>
                <c:pt idx="28">
                  <c:v>0.73851377686722319</c:v>
                </c:pt>
                <c:pt idx="29">
                  <c:v>-0.12730949973363342</c:v>
                </c:pt>
                <c:pt idx="30">
                  <c:v>-0.6543979447771926</c:v>
                </c:pt>
                <c:pt idx="31">
                  <c:v>-0.95877925557020027</c:v>
                </c:pt>
                <c:pt idx="32">
                  <c:v>-1.1174935521575942</c:v>
                </c:pt>
                <c:pt idx="33">
                  <c:v>-1.1818673972508478</c:v>
                </c:pt>
                <c:pt idx="34">
                  <c:v>-1.1861568036299421</c:v>
                </c:pt>
                <c:pt idx="35">
                  <c:v>-1.1532212058555049</c:v>
                </c:pt>
                <c:pt idx="36">
                  <c:v>-1.0982762860108548</c:v>
                </c:pt>
                <c:pt idx="37">
                  <c:v>-1.031392967822518</c:v>
                </c:pt>
                <c:pt idx="38">
                  <c:v>-0.95917153795034726</c:v>
                </c:pt>
                <c:pt idx="39">
                  <c:v>-0.88586907537267168</c:v>
                </c:pt>
                <c:pt idx="40">
                  <c:v>-0.8141620880667334</c:v>
                </c:pt>
                <c:pt idx="41">
                  <c:v>-0.74566422341354277</c:v>
                </c:pt>
                <c:pt idx="42">
                  <c:v>-0.68127861403450907</c:v>
                </c:pt>
                <c:pt idx="43">
                  <c:v>-0.62143802451285923</c:v>
                </c:pt>
                <c:pt idx="44">
                  <c:v>-0.56626854715034647</c:v>
                </c:pt>
                <c:pt idx="45">
                  <c:v>-0.51570102107540861</c:v>
                </c:pt>
                <c:pt idx="46">
                  <c:v>-0.46954660724601383</c:v>
                </c:pt>
                <c:pt idx="47">
                  <c:v>-0.42754774136642199</c:v>
                </c:pt>
                <c:pt idx="48">
                  <c:v>-0.38941215968813453</c:v>
                </c:pt>
                <c:pt idx="49">
                  <c:v>-0.35483529250380591</c:v>
                </c:pt>
                <c:pt idx="50">
                  <c:v>-0.32351467889368418</c:v>
                </c:pt>
                <c:pt idx="51">
                  <c:v>-0.2951589290507004</c:v>
                </c:pt>
                <c:pt idx="52">
                  <c:v>-0.26949298327999466</c:v>
                </c:pt>
                <c:pt idx="53">
                  <c:v>-0.24626087904269284</c:v>
                </c:pt>
                <c:pt idx="54">
                  <c:v>-0.22522686432711647</c:v>
                </c:pt>
                <c:pt idx="55">
                  <c:v>-0.20617543619165346</c:v>
                </c:pt>
                <c:pt idx="56">
                  <c:v>-0.18891070262804513</c:v>
                </c:pt>
                <c:pt idx="57">
                  <c:v>-0.17325533993883133</c:v>
                </c:pt>
                <c:pt idx="58">
                  <c:v>-0.15904933003031882</c:v>
                </c:pt>
                <c:pt idx="59">
                  <c:v>-0.1461486008979746</c:v>
                </c:pt>
                <c:pt idx="60">
                  <c:v>-0.13442365112548407</c:v>
                </c:pt>
                <c:pt idx="61">
                  <c:v>-0.12375820984743489</c:v>
                </c:pt>
                <c:pt idx="62">
                  <c:v>-0.11404796342899397</c:v>
                </c:pt>
                <c:pt idx="63">
                  <c:v>-0.10519936635019703</c:v>
                </c:pt>
                <c:pt idx="64">
                  <c:v>-9.7128544518280208E-2</c:v>
                </c:pt>
                <c:pt idx="65">
                  <c:v>-8.9760293110304631E-2</c:v>
                </c:pt>
                <c:pt idx="66">
                  <c:v>-8.3027167112759856E-2</c:v>
                </c:pt>
                <c:pt idx="67">
                  <c:v>-7.6868660300037833E-2</c:v>
                </c:pt>
                <c:pt idx="68">
                  <c:v>-7.1230467004268813E-2</c:v>
                </c:pt>
                <c:pt idx="69">
                  <c:v>-6.6063820340641385E-2</c:v>
                </c:pt>
                <c:pt idx="70">
                  <c:v>-6.1324900330450176E-2</c:v>
                </c:pt>
                <c:pt idx="71">
                  <c:v>-5.6974305444857709E-2</c:v>
                </c:pt>
                <c:pt idx="72">
                  <c:v>-5.2976581361922709E-2</c:v>
                </c:pt>
                <c:pt idx="73">
                  <c:v>-4.929980110944477E-2</c:v>
                </c:pt>
                <c:pt idx="74">
                  <c:v>-4.591519120324105E-2</c:v>
                </c:pt>
                <c:pt idx="75">
                  <c:v>-4.2796798848854338E-2</c:v>
                </c:pt>
                <c:pt idx="76">
                  <c:v>-3.9921195731028807E-2</c:v>
                </c:pt>
                <c:pt idx="77">
                  <c:v>-3.7267214354810979E-2</c:v>
                </c:pt>
                <c:pt idx="78">
                  <c:v>-3.4815713316072701E-2</c:v>
                </c:pt>
                <c:pt idx="79">
                  <c:v>-3.2549368262897449E-2</c:v>
                </c:pt>
                <c:pt idx="80">
                  <c:v>-3.0452485660679835E-2</c:v>
                </c:pt>
                <c:pt idx="81">
                  <c:v>-2.8510836792826299E-2</c:v>
                </c:pt>
                <c:pt idx="82">
                  <c:v>-2.6711509716629306E-2</c:v>
                </c:pt>
                <c:pt idx="83">
                  <c:v>-2.50427771519443E-2</c:v>
                </c:pt>
                <c:pt idx="84">
                  <c:v>-2.3493978510829069E-2</c:v>
                </c:pt>
                <c:pt idx="85">
                  <c:v>-2.2055414481590992E-2</c:v>
                </c:pt>
                <c:pt idx="86">
                  <c:v>-2.0718252763035364E-2</c:v>
                </c:pt>
                <c:pt idx="87">
                  <c:v>-1.947444370637056E-2</c:v>
                </c:pt>
                <c:pt idx="88">
                  <c:v>-1.8316644765335295E-2</c:v>
                </c:pt>
                <c:pt idx="89">
                  <c:v>-1.7238152781660937E-2</c:v>
                </c:pt>
                <c:pt idx="90">
                  <c:v>-1.6232843244791708E-2</c:v>
                </c:pt>
                <c:pt idx="91">
                  <c:v>-1.5295115763521265E-2</c:v>
                </c:pt>
                <c:pt idx="92">
                  <c:v>-1.4419845074361492E-2</c:v>
                </c:pt>
                <c:pt idx="93">
                  <c:v>-1.3602336988385772E-2</c:v>
                </c:pt>
                <c:pt idx="94">
                  <c:v>-1.2838288746181375E-2</c:v>
                </c:pt>
                <c:pt idx="95">
                  <c:v>-1.2123753310471736E-2</c:v>
                </c:pt>
                <c:pt idx="96">
                  <c:v>-1.1455107178875176E-2</c:v>
                </c:pt>
                <c:pt idx="97">
                  <c:v>-1.0829021345987308E-2</c:v>
                </c:pt>
                <c:pt idx="98">
                  <c:v>-1.0242435085248821E-2</c:v>
                </c:pt>
                <c:pt idx="99">
                  <c:v>-9.6925322575394483E-3</c:v>
                </c:pt>
                <c:pt idx="100">
                  <c:v>-9.1767198856947396E-3</c:v>
                </c:pt>
                <c:pt idx="101">
                  <c:v>-8.6926087626802706E-3</c:v>
                </c:pt>
                <c:pt idx="102">
                  <c:v>-8.2379958864197342E-3</c:v>
                </c:pt>
                <c:pt idx="103">
                  <c:v>-7.8108485366499714E-3</c:v>
                </c:pt>
                <c:pt idx="104">
                  <c:v>-7.4092898290087743E-3</c:v>
                </c:pt>
                <c:pt idx="105">
                  <c:v>-7.0315855991512684E-3</c:v>
                </c:pt>
                <c:pt idx="106">
                  <c:v>-6.6761324853024237E-3</c:v>
                </c:pt>
                <c:pt idx="107">
                  <c:v>-6.3414470915182115E-3</c:v>
                </c:pt>
                <c:pt idx="108">
                  <c:v>-6.026156126251089E-3</c:v>
                </c:pt>
                <c:pt idx="109">
                  <c:v>-5.7289874217757303E-3</c:v>
                </c:pt>
                <c:pt idx="110">
                  <c:v>-5.4487617497860968E-3</c:v>
                </c:pt>
                <c:pt idx="111">
                  <c:v>-5.184385357164375E-3</c:v>
                </c:pt>
                <c:pt idx="112">
                  <c:v>-4.9348431536676129E-3</c:v>
                </c:pt>
                <c:pt idx="113">
                  <c:v>-4.699192490187183E-3</c:v>
                </c:pt>
                <c:pt idx="114">
                  <c:v>-4.4765574724043395E-3</c:v>
                </c:pt>
                <c:pt idx="115">
                  <c:v>-4.266123760175284E-3</c:v>
                </c:pt>
                <c:pt idx="116">
                  <c:v>-4.0671338079060239E-3</c:v>
                </c:pt>
                <c:pt idx="117">
                  <c:v>-3.8788825055850024E-3</c:v>
                </c:pt>
                <c:pt idx="118">
                  <c:v>-3.7007131840883123E-3</c:v>
                </c:pt>
                <c:pt idx="119">
                  <c:v>-3.5320139519088964E-3</c:v>
                </c:pt>
                <c:pt idx="120">
                  <c:v>-3.3722143336322417E-3</c:v>
                </c:pt>
                <c:pt idx="121">
                  <c:v>-3.2207821833271141E-3</c:v>
                </c:pt>
                <c:pt idx="122">
                  <c:v>-3.0772208485752434E-3</c:v>
                </c:pt>
                <c:pt idx="123">
                  <c:v>-2.9410665631607793E-3</c:v>
                </c:pt>
                <c:pt idx="124">
                  <c:v>-2.8118860485057719E-3</c:v>
                </c:pt>
                <c:pt idx="125">
                  <c:v>-2.6892743057968316E-3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Phe!$F$6</c:f>
              <c:strCache>
                <c:ptCount val="1"/>
                <c:pt idx="0">
                  <c:v>Leu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Phe!$F$7:$F$132</c:f>
              <c:numCache>
                <c:formatCode>0.00</c:formatCode>
                <c:ptCount val="126"/>
                <c:pt idx="0">
                  <c:v>20738452.28148371</c:v>
                </c:pt>
                <c:pt idx="1">
                  <c:v>6605466.8382811211</c:v>
                </c:pt>
                <c:pt idx="2">
                  <c:v>2323741.8469286659</c:v>
                </c:pt>
                <c:pt idx="3">
                  <c:v>888503.13812890905</c:v>
                </c:pt>
                <c:pt idx="4">
                  <c:v>364652.24186347442</c:v>
                </c:pt>
                <c:pt idx="5">
                  <c:v>159042.57008973852</c:v>
                </c:pt>
                <c:pt idx="6">
                  <c:v>73120.743255150068</c:v>
                </c:pt>
                <c:pt idx="7">
                  <c:v>35200.360652440977</c:v>
                </c:pt>
                <c:pt idx="8">
                  <c:v>17643.348572182378</c:v>
                </c:pt>
                <c:pt idx="9">
                  <c:v>9163.1116890498161</c:v>
                </c:pt>
                <c:pt idx="10">
                  <c:v>4910.2448869545397</c:v>
                </c:pt>
                <c:pt idx="11">
                  <c:v>2704.8014605521294</c:v>
                </c:pt>
                <c:pt idx="12">
                  <c:v>1526.3808088752862</c:v>
                </c:pt>
                <c:pt idx="13">
                  <c:v>879.65097562643996</c:v>
                </c:pt>
                <c:pt idx="14">
                  <c:v>516.1293536172426</c:v>
                </c:pt>
                <c:pt idx="15">
                  <c:v>307.39448661515502</c:v>
                </c:pt>
                <c:pt idx="16">
                  <c:v>185.25203731071684</c:v>
                </c:pt>
                <c:pt idx="17">
                  <c:v>112.58386896734149</c:v>
                </c:pt>
                <c:pt idx="18">
                  <c:v>68.725863946628607</c:v>
                </c:pt>
                <c:pt idx="19">
                  <c:v>41.934599214727847</c:v>
                </c:pt>
                <c:pt idx="20">
                  <c:v>25.40948753451891</c:v>
                </c:pt>
                <c:pt idx="21">
                  <c:v>15.144102455197407</c:v>
                </c:pt>
                <c:pt idx="22">
                  <c:v>8.7409466381982543</c:v>
                </c:pt>
                <c:pt idx="23">
                  <c:v>4.7448463185154495</c:v>
                </c:pt>
                <c:pt idx="24">
                  <c:v>2.2612278943673196</c:v>
                </c:pt>
                <c:pt idx="25">
                  <c:v>0.73385141971338852</c:v>
                </c:pt>
                <c:pt idx="26">
                  <c:v>-0.18662652568640775</c:v>
                </c:pt>
                <c:pt idx="27">
                  <c:v>-0.72150068196474337</c:v>
                </c:pt>
                <c:pt idx="28">
                  <c:v>-1.0119493237292971</c:v>
                </c:pt>
                <c:pt idx="29">
                  <c:v>-1.1485322736731014</c:v>
                </c:pt>
                <c:pt idx="30">
                  <c:v>-1.1895505972016267</c:v>
                </c:pt>
                <c:pt idx="31">
                  <c:v>-1.1725927737720396</c:v>
                </c:pt>
                <c:pt idx="32">
                  <c:v>-1.1218647976998004</c:v>
                </c:pt>
                <c:pt idx="33">
                  <c:v>-1.0528835168969091</c:v>
                </c:pt>
                <c:pt idx="34">
                  <c:v>-0.97550458282443675</c:v>
                </c:pt>
                <c:pt idx="35">
                  <c:v>-0.89588893856946084</c:v>
                </c:pt>
                <c:pt idx="36">
                  <c:v>-0.81778712013956856</c:v>
                </c:pt>
                <c:pt idx="37">
                  <c:v>-0.74338180686068056</c:v>
                </c:pt>
                <c:pt idx="38">
                  <c:v>-0.67384237625478982</c:v>
                </c:pt>
                <c:pt idx="39">
                  <c:v>-0.60969058382458563</c:v>
                </c:pt>
                <c:pt idx="40">
                  <c:v>-0.55104174243413551</c:v>
                </c:pt>
                <c:pt idx="41">
                  <c:v>-0.49776349347606563</c:v>
                </c:pt>
                <c:pt idx="42">
                  <c:v>-0.44957986036806802</c:v>
                </c:pt>
                <c:pt idx="43">
                  <c:v>-0.40613889922003399</c:v>
                </c:pt>
                <c:pt idx="44">
                  <c:v>-0.36705611687538114</c:v>
                </c:pt>
                <c:pt idx="45">
                  <c:v>-0.33194177475973174</c:v>
                </c:pt>
                <c:pt idx="46">
                  <c:v>-0.30041751039695525</c:v>
                </c:pt>
                <c:pt idx="47">
                  <c:v>-0.27212591826943333</c:v>
                </c:pt>
                <c:pt idx="48">
                  <c:v>-0.24673553367269818</c:v>
                </c:pt>
                <c:pt idx="49">
                  <c:v>-0.22394285855777052</c:v>
                </c:pt>
                <c:pt idx="50">
                  <c:v>-0.20347252634483287</c:v>
                </c:pt>
                <c:pt idx="51">
                  <c:v>-0.18507633684920075</c:v>
                </c:pt>
                <c:pt idx="52">
                  <c:v>-0.16853164525431924</c:v>
                </c:pt>
                <c:pt idx="53">
                  <c:v>-0.15363942202757441</c:v>
                </c:pt>
                <c:pt idx="54">
                  <c:v>-0.14022218795869953</c:v>
                </c:pt>
                <c:pt idx="55">
                  <c:v>-0.12812195267098972</c:v>
                </c:pt>
                <c:pt idx="56">
                  <c:v>-0.1171982342041186</c:v>
                </c:pt>
                <c:pt idx="57">
                  <c:v>-0.10732620357145357</c:v>
                </c:pt>
                <c:pt idx="58">
                  <c:v>-9.8394976088992794E-2</c:v>
                </c:pt>
                <c:pt idx="59">
                  <c:v>-9.0306057026513703E-2</c:v>
                </c:pt>
                <c:pt idx="60">
                  <c:v>-8.2971940193817678E-2</c:v>
                </c:pt>
                <c:pt idx="61">
                  <c:v>-7.6314852701648381E-2</c:v>
                </c:pt>
                <c:pt idx="62">
                  <c:v>-7.0265636135245654E-2</c:v>
                </c:pt>
                <c:pt idx="63">
                  <c:v>-6.4762752934236612E-2</c:v>
                </c:pt>
                <c:pt idx="64">
                  <c:v>-5.9751406331319319E-2</c:v>
                </c:pt>
                <c:pt idx="65">
                  <c:v>-5.5182762388278621E-2</c:v>
                </c:pt>
                <c:pt idx="66">
                  <c:v>-5.1013263228468671E-2</c:v>
                </c:pt>
                <c:pt idx="67">
                  <c:v>-4.7204021331547698E-2</c:v>
                </c:pt>
                <c:pt idx="68">
                  <c:v>-4.3720285618315584E-2</c:v>
                </c:pt>
                <c:pt idx="69">
                  <c:v>-4.053097093984228E-2</c:v>
                </c:pt>
                <c:pt idx="70">
                  <c:v>-3.7608243451359963E-2</c:v>
                </c:pt>
                <c:pt idx="71">
                  <c:v>-3.492715517138828E-2</c:v>
                </c:pt>
                <c:pt idx="72">
                  <c:v>-3.2465321786094306E-2</c:v>
                </c:pt>
                <c:pt idx="73">
                  <c:v>-3.0202638451690168E-2</c:v>
                </c:pt>
                <c:pt idx="74">
                  <c:v>-2.8121028972562065E-2</c:v>
                </c:pt>
                <c:pt idx="75">
                  <c:v>-2.6204224291763986E-2</c:v>
                </c:pt>
                <c:pt idx="76">
                  <c:v>-2.4437566727313516E-2</c:v>
                </c:pt>
                <c:pt idx="77">
                  <c:v>-2.280783682717364E-2</c:v>
                </c:pt>
                <c:pt idx="78">
                  <c:v>-2.130310010309203E-2</c:v>
                </c:pt>
                <c:pt idx="79">
                  <c:v>-1.9912571243828905E-2</c:v>
                </c:pt>
                <c:pt idx="80">
                  <c:v>-1.8626493706786842E-2</c:v>
                </c:pt>
                <c:pt idx="81">
                  <c:v>-1.743603284840357E-2</c:v>
                </c:pt>
                <c:pt idx="82">
                  <c:v>-1.6333180982235195E-2</c:v>
                </c:pt>
                <c:pt idx="83">
                  <c:v>-1.5310672953401891E-2</c:v>
                </c:pt>
                <c:pt idx="84">
                  <c:v>-1.4361910992532954E-2</c:v>
                </c:pt>
                <c:pt idx="85">
                  <c:v>-1.3480897764696537E-2</c:v>
                </c:pt>
                <c:pt idx="86">
                  <c:v>-1.2662176661823971E-2</c:v>
                </c:pt>
                <c:pt idx="87">
                  <c:v>-1.1900778503302879E-2</c:v>
                </c:pt>
                <c:pt idx="88">
                  <c:v>-1.1192173910877712E-2</c:v>
                </c:pt>
                <c:pt idx="89">
                  <c:v>-1.0532230712652793E-2</c:v>
                </c:pt>
                <c:pt idx="90">
                  <c:v>-9.9171758084913592E-3</c:v>
                </c:pt>
                <c:pt idx="91">
                  <c:v>-9.3435609968864995E-3</c:v>
                </c:pt>
                <c:pt idx="92">
                  <c:v>-8.8082323226971355E-3</c:v>
                </c:pt>
                <c:pt idx="93">
                  <c:v>-8.3083025570876313E-3</c:v>
                </c:pt>
                <c:pt idx="94">
                  <c:v>-7.8411264665293884E-3</c:v>
                </c:pt>
                <c:pt idx="95">
                  <c:v>-7.4042785676419805E-3</c:v>
                </c:pt>
                <c:pt idx="96">
                  <c:v>-6.9955330996862427E-3</c:v>
                </c:pt>
                <c:pt idx="97">
                  <c:v>-6.6128459772934085E-3</c:v>
                </c:pt>
                <c:pt idx="98">
                  <c:v>-6.25433851306506E-3</c:v>
                </c:pt>
                <c:pt idx="99">
                  <c:v>-5.9182827234772395E-3</c:v>
                </c:pt>
                <c:pt idx="100">
                  <c:v>-5.6030880524776481E-3</c:v>
                </c:pt>
                <c:pt idx="101">
                  <c:v>-5.3072893656333723E-3</c:v>
                </c:pt>
                <c:pt idx="102">
                  <c:v>-5.029536083976602E-3</c:v>
                </c:pt>
                <c:pt idx="103">
                  <c:v>-4.7685823410776006E-3</c:v>
                </c:pt>
                <c:pt idx="104">
                  <c:v>-4.5232780595821781E-3</c:v>
                </c:pt>
                <c:pt idx="105">
                  <c:v>-4.2925608546896662E-3</c:v>
                </c:pt>
                <c:pt idx="106">
                  <c:v>-4.0754486819959733E-3</c:v>
                </c:pt>
                <c:pt idx="107">
                  <c:v>-3.8710331559400871E-3</c:v>
                </c:pt>
                <c:pt idx="108">
                  <c:v>-3.6784734729081001E-3</c:v>
                </c:pt>
                <c:pt idx="109">
                  <c:v>-3.4969908799853677E-3</c:v>
                </c:pt>
                <c:pt idx="110">
                  <c:v>-3.3258636365090318E-3</c:v>
                </c:pt>
                <c:pt idx="111">
                  <c:v>-3.1644224210513202E-3</c:v>
                </c:pt>
                <c:pt idx="112">
                  <c:v>-3.0120461413386339E-3</c:v>
                </c:pt>
                <c:pt idx="113">
                  <c:v>-2.8681581089526698E-3</c:v>
                </c:pt>
                <c:pt idx="114">
                  <c:v>-2.7322225445295923E-3</c:v>
                </c:pt>
                <c:pt idx="115">
                  <c:v>-2.6037413826251886E-3</c:v>
                </c:pt>
                <c:pt idx="116">
                  <c:v>-2.4822513484963845E-3</c:v>
                </c:pt>
                <c:pt idx="117">
                  <c:v>-2.3673212818035722E-3</c:v>
                </c:pt>
                <c:pt idx="118">
                  <c:v>-2.2585496847014933E-3</c:v>
                </c:pt>
                <c:pt idx="119">
                  <c:v>-2.1555624739910944E-3</c:v>
                </c:pt>
                <c:pt idx="120">
                  <c:v>-2.0580109189796401E-3</c:v>
                </c:pt>
                <c:pt idx="121">
                  <c:v>-1.9655697484669363E-3</c:v>
                </c:pt>
                <c:pt idx="122">
                  <c:v>-1.8779354118638944E-3</c:v>
                </c:pt>
                <c:pt idx="123">
                  <c:v>-1.7948244808759992E-3</c:v>
                </c:pt>
                <c:pt idx="124">
                  <c:v>-1.7159721794658765E-3</c:v>
                </c:pt>
                <c:pt idx="125">
                  <c:v>-1.6411310309616871E-3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Phe!$G$6</c:f>
              <c:strCache>
                <c:ptCount val="1"/>
                <c:pt idx="0">
                  <c:v>Val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Phe!$G$7:$G$132</c:f>
              <c:numCache>
                <c:formatCode>0.00</c:formatCode>
                <c:ptCount val="126"/>
                <c:pt idx="0">
                  <c:v>30171825.832917929</c:v>
                </c:pt>
                <c:pt idx="1">
                  <c:v>9610726.7511640526</c:v>
                </c:pt>
                <c:pt idx="2">
                  <c:v>3381301.1767913834</c:v>
                </c:pt>
                <c:pt idx="3">
                  <c:v>1293065.7530751158</c:v>
                </c:pt>
                <c:pt idx="4">
                  <c:v>530807.60570971912</c:v>
                </c:pt>
                <c:pt idx="5">
                  <c:v>231584.7956133862</c:v>
                </c:pt>
                <c:pt idx="6">
                  <c:v>106519.99476834688</c:v>
                </c:pt>
                <c:pt idx="7">
                  <c:v>51310.242974879358</c:v>
                </c:pt>
                <c:pt idx="8">
                  <c:v>25739.383448426859</c:v>
                </c:pt>
                <c:pt idx="9">
                  <c:v>13382.595941857817</c:v>
                </c:pt>
                <c:pt idx="10">
                  <c:v>7181.8065382150926</c:v>
                </c:pt>
                <c:pt idx="11">
                  <c:v>3963.6303390828798</c:v>
                </c:pt>
                <c:pt idx="12">
                  <c:v>2242.3013618927494</c:v>
                </c:pt>
                <c:pt idx="13">
                  <c:v>1296.3666257277337</c:v>
                </c:pt>
                <c:pt idx="14">
                  <c:v>763.77056268763727</c:v>
                </c:pt>
                <c:pt idx="15">
                  <c:v>457.30384549424275</c:v>
                </c:pt>
                <c:pt idx="16">
                  <c:v>277.49448577378149</c:v>
                </c:pt>
                <c:pt idx="17">
                  <c:v>170.15942315806117</c:v>
                </c:pt>
                <c:pt idx="18">
                  <c:v>105.10654269268301</c:v>
                </c:pt>
                <c:pt idx="19">
                  <c:v>65.158366188415656</c:v>
                </c:pt>
                <c:pt idx="20">
                  <c:v>40.353851812088806</c:v>
                </c:pt>
                <c:pt idx="21">
                  <c:v>24.814927862042726</c:v>
                </c:pt>
                <c:pt idx="22">
                  <c:v>15.017033847958576</c:v>
                </c:pt>
                <c:pt idx="23">
                  <c:v>8.8157506318640362</c:v>
                </c:pt>
                <c:pt idx="24">
                  <c:v>4.8889509977941801</c:v>
                </c:pt>
                <c:pt idx="25">
                  <c:v>2.4116615383144495</c:v>
                </c:pt>
                <c:pt idx="26">
                  <c:v>0.86356979958453084</c:v>
                </c:pt>
                <c:pt idx="27">
                  <c:v>-8.6607810294304144E-2</c:v>
                </c:pt>
                <c:pt idx="28">
                  <c:v>-0.65153234443296615</c:v>
                </c:pt>
                <c:pt idx="29">
                  <c:v>-0.96865263276377389</c:v>
                </c:pt>
                <c:pt idx="30">
                  <c:v>-1.127283607266035</c:v>
                </c:pt>
                <c:pt idx="31">
                  <c:v>-1.1856794752186048</c:v>
                </c:pt>
                <c:pt idx="32">
                  <c:v>-1.1819054357290275</c:v>
                </c:pt>
                <c:pt idx="33">
                  <c:v>-1.1408233543096693</c:v>
                </c:pt>
                <c:pt idx="34">
                  <c:v>-1.0786174228294902</c:v>
                </c:pt>
                <c:pt idx="35">
                  <c:v>-1.0057477631468725</c:v>
                </c:pt>
                <c:pt idx="36">
                  <c:v>-0.92889060901773002</c:v>
                </c:pt>
                <c:pt idx="37">
                  <c:v>-0.85221992135988989</c:v>
                </c:pt>
                <c:pt idx="38">
                  <c:v>-0.77825788883518809</c:v>
                </c:pt>
                <c:pt idx="39">
                  <c:v>-0.7084413346002677</c:v>
                </c:pt>
                <c:pt idx="40">
                  <c:v>-0.64349980573504384</c:v>
                </c:pt>
                <c:pt idx="41">
                  <c:v>-0.58370819061741408</c:v>
                </c:pt>
                <c:pt idx="42">
                  <c:v>-0.52905537512277523</c:v>
                </c:pt>
                <c:pt idx="43">
                  <c:v>-0.47935652217552521</c:v>
                </c:pt>
                <c:pt idx="44">
                  <c:v>-0.4343274041906468</c:v>
                </c:pt>
                <c:pt idx="45">
                  <c:v>-0.39363316005261695</c:v>
                </c:pt>
                <c:pt idx="46">
                  <c:v>-0.35691981547606588</c:v>
                </c:pt>
                <c:pt idx="47">
                  <c:v>-0.32383420605222929</c:v>
                </c:pt>
                <c:pt idx="48">
                  <c:v>-0.29403612618893576</c:v>
                </c:pt>
                <c:pt idx="49">
                  <c:v>-0.26720529995846531</c:v>
                </c:pt>
                <c:pt idx="50">
                  <c:v>-0.24304493742026059</c:v>
                </c:pt>
                <c:pt idx="51">
                  <c:v>-0.22128307349214091</c:v>
                </c:pt>
                <c:pt idx="52">
                  <c:v>-0.2016724999657484</c:v>
                </c:pt>
                <c:pt idx="53">
                  <c:v>-0.18398983713807648</c:v>
                </c:pt>
                <c:pt idx="54">
                  <c:v>-0.16803411087356263</c:v>
                </c:pt>
                <c:pt idx="55">
                  <c:v>-0.15362507736948808</c:v>
                </c:pt>
                <c:pt idx="56">
                  <c:v>-0.1406014535378361</c:v>
                </c:pt>
                <c:pt idx="57">
                  <c:v>-0.12881915348660214</c:v>
                </c:pt>
                <c:pt idx="58">
                  <c:v>-0.11814959268209675</c:v>
                </c:pt>
                <c:pt idx="59">
                  <c:v>-0.10847809522410547</c:v>
                </c:pt>
                <c:pt idx="60">
                  <c:v>-9.9702422285236958E-2</c:v>
                </c:pt>
                <c:pt idx="61">
                  <c:v>-9.1731428403496434E-2</c:v>
                </c:pt>
                <c:pt idx="62">
                  <c:v>-8.4483845070477334E-2</c:v>
                </c:pt>
                <c:pt idx="63">
                  <c:v>-7.7887186609898004E-2</c:v>
                </c:pt>
                <c:pt idx="64">
                  <c:v>-7.1876770781618998E-2</c:v>
                </c:pt>
                <c:pt idx="65">
                  <c:v>-6.639484524532567E-2</c:v>
                </c:pt>
                <c:pt idx="66">
                  <c:v>-6.1389810541911907E-2</c:v>
                </c:pt>
                <c:pt idx="67">
                  <c:v>-5.6815530301432417E-2</c:v>
                </c:pt>
                <c:pt idx="68">
                  <c:v>-5.2630719761054198E-2</c:v>
                </c:pt>
                <c:pt idx="69">
                  <c:v>-4.8798404237239079E-2</c:v>
                </c:pt>
                <c:pt idx="70">
                  <c:v>-4.5285439851538753E-2</c:v>
                </c:pt>
                <c:pt idx="71">
                  <c:v>-4.2062089498544591E-2</c:v>
                </c:pt>
                <c:pt idx="72">
                  <c:v>-3.9101647729115147E-2</c:v>
                </c:pt>
                <c:pt idx="73">
                  <c:v>-3.6380108878272054E-2</c:v>
                </c:pt>
                <c:pt idx="74">
                  <c:v>-3.3875873381483609E-2</c:v>
                </c:pt>
                <c:pt idx="75">
                  <c:v>-3.1569487788555825E-2</c:v>
                </c:pt>
                <c:pt idx="76">
                  <c:v>-2.9443414498597116E-2</c:v>
                </c:pt>
                <c:pt idx="77">
                  <c:v>-2.7481827702911559E-2</c:v>
                </c:pt>
                <c:pt idx="78">
                  <c:v>-2.5670432437375795E-2</c:v>
                </c:pt>
                <c:pt idx="79">
                  <c:v>-2.3996304015018215E-2</c:v>
                </c:pt>
                <c:pt idx="80">
                  <c:v>-2.2447745436815641E-2</c:v>
                </c:pt>
                <c:pt idx="81">
                  <c:v>-2.101416066799312E-2</c:v>
                </c:pt>
                <c:pt idx="82">
                  <c:v>-1.968594192215541E-2</c:v>
                </c:pt>
                <c:pt idx="83">
                  <c:v>-1.8454369320040215E-2</c:v>
                </c:pt>
                <c:pt idx="84">
                  <c:v>-1.731152148695483E-2</c:v>
                </c:pt>
                <c:pt idx="85">
                  <c:v>-1.6250195826166342E-2</c:v>
                </c:pt>
                <c:pt idx="86">
                  <c:v>-1.5263837357490677E-2</c:v>
                </c:pt>
                <c:pt idx="87">
                  <c:v>-1.4346475143614316E-2</c:v>
                </c:pt>
                <c:pt idx="88">
                  <c:v>-1.3492665443556442E-2</c:v>
                </c:pt>
                <c:pt idx="89">
                  <c:v>-1.2697440835156705E-2</c:v>
                </c:pt>
                <c:pt idx="90">
                  <c:v>-1.1956264638336279E-2</c:v>
                </c:pt>
                <c:pt idx="91">
                  <c:v>-1.1264990049699877E-2</c:v>
                </c:pt>
                <c:pt idx="92">
                  <c:v>-1.0619823468201599E-2</c:v>
                </c:pt>
                <c:pt idx="93">
                  <c:v>-1.0017291552300784E-2</c:v>
                </c:pt>
                <c:pt idx="94">
                  <c:v>-9.4542116023427058E-3</c:v>
                </c:pt>
                <c:pt idx="95">
                  <c:v>-8.9276649087406262E-3</c:v>
                </c:pt>
                <c:pt idx="96">
                  <c:v>-8.4349727477199439E-3</c:v>
                </c:pt>
                <c:pt idx="97">
                  <c:v>-7.9736747426181545E-3</c:v>
                </c:pt>
                <c:pt idx="98">
                  <c:v>-7.5415093406339716E-3</c:v>
                </c:pt>
                <c:pt idx="99">
                  <c:v>-7.1363961830232699E-3</c:v>
                </c:pt>
                <c:pt idx="100">
                  <c:v>-6.7564201715183281E-3</c:v>
                </c:pt>
                <c:pt idx="101">
                  <c:v>-6.3998170556111142E-3</c:v>
                </c:pt>
                <c:pt idx="102">
                  <c:v>-6.0649603846478157E-3</c:v>
                </c:pt>
                <c:pt idx="103">
                  <c:v>-5.7503496857444847E-3</c:v>
                </c:pt>
                <c:pt idx="104">
                  <c:v>-5.4545997436246533E-3</c:v>
                </c:pt>
                <c:pt idx="105">
                  <c:v>-5.1764308718380463E-3</c:v>
                </c:pt>
                <c:pt idx="106">
                  <c:v>-4.9146600766540082E-3</c:v>
                </c:pt>
                <c:pt idx="107">
                  <c:v>-4.6681930254158788E-3</c:v>
                </c:pt>
                <c:pt idx="108">
                  <c:v>-4.4360167404537791E-3</c:v>
                </c:pt>
                <c:pt idx="109">
                  <c:v>-4.2171929479225259E-3</c:v>
                </c:pt>
                <c:pt idx="110">
                  <c:v>-4.0108520182814515E-3</c:v>
                </c:pt>
                <c:pt idx="111">
                  <c:v>-3.8161874416717126E-3</c:v>
                </c:pt>
                <c:pt idx="112">
                  <c:v>-3.6324507872679541E-3</c:v>
                </c:pt>
                <c:pt idx="113">
                  <c:v>-3.4589471008684377E-3</c:v>
                </c:pt>
                <c:pt idx="114">
                  <c:v>-3.2950306996137849E-3</c:v>
                </c:pt>
                <c:pt idx="115">
                  <c:v>-3.1401013268528397E-3</c:v>
                </c:pt>
                <c:pt idx="116">
                  <c:v>-2.9936006338622859E-3</c:v>
                </c:pt>
                <c:pt idx="117">
                  <c:v>-2.8550089584231629E-3</c:v>
                </c:pt>
                <c:pt idx="118">
                  <c:v>-2.7238423732070124E-3</c:v>
                </c:pt>
                <c:pt idx="119">
                  <c:v>-2.5996499795651975E-3</c:v>
                </c:pt>
                <c:pt idx="120">
                  <c:v>-2.4820114246813293E-3</c:v>
                </c:pt>
                <c:pt idx="121">
                  <c:v>-2.3705346221689701E-3</c:v>
                </c:pt>
                <c:pt idx="122">
                  <c:v>-2.2648536581011285E-3</c:v>
                </c:pt>
                <c:pt idx="123">
                  <c:v>-2.1646268661687962E-3</c:v>
                </c:pt>
                <c:pt idx="124">
                  <c:v>-2.0695350572031254E-3</c:v>
                </c:pt>
                <c:pt idx="125">
                  <c:v>-1.979279889678884E-3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Phe!$H$6</c:f>
              <c:strCache>
                <c:ptCount val="1"/>
                <c:pt idx="0">
                  <c:v>Trp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Phe!$H$7:$H$132</c:f>
              <c:numCache>
                <c:formatCode>0.00</c:formatCode>
                <c:ptCount val="126"/>
                <c:pt idx="0">
                  <c:v>4754025583.0254383</c:v>
                </c:pt>
                <c:pt idx="1">
                  <c:v>1514742076.1897452</c:v>
                </c:pt>
                <c:pt idx="2">
                  <c:v>533162098.66255188</c:v>
                </c:pt>
                <c:pt idx="3">
                  <c:v>204027493.34738597</c:v>
                </c:pt>
                <c:pt idx="4">
                  <c:v>83836925.884083554</c:v>
                </c:pt>
                <c:pt idx="5">
                  <c:v>36628875.809826225</c:v>
                </c:pt>
                <c:pt idx="6">
                  <c:v>16881259.697090756</c:v>
                </c:pt>
                <c:pt idx="7">
                  <c:v>8153730.9111631485</c:v>
                </c:pt>
                <c:pt idx="8">
                  <c:v>4105230.5066984063</c:v>
                </c:pt>
                <c:pt idx="9">
                  <c:v>2144791.3960199701</c:v>
                </c:pt>
                <c:pt idx="10">
                  <c:v>1158336.9990055126</c:v>
                </c:pt>
                <c:pt idx="11">
                  <c:v>644560.25007035432</c:v>
                </c:pt>
                <c:pt idx="12">
                  <c:v>368504.00977720914</c:v>
                </c:pt>
                <c:pt idx="13">
                  <c:v>215924.60551970653</c:v>
                </c:pt>
                <c:pt idx="14">
                  <c:v>129391.64838950681</c:v>
                </c:pt>
                <c:pt idx="15">
                  <c:v>79145.667197458155</c:v>
                </c:pt>
                <c:pt idx="16">
                  <c:v>49332.039963021365</c:v>
                </c:pt>
                <c:pt idx="17">
                  <c:v>31286.231180656985</c:v>
                </c:pt>
                <c:pt idx="18">
                  <c:v>20160.705899815908</c:v>
                </c:pt>
                <c:pt idx="19">
                  <c:v>13184.003593401221</c:v>
                </c:pt>
                <c:pt idx="20">
                  <c:v>8739.4665942739084</c:v>
                </c:pt>
                <c:pt idx="21">
                  <c:v>5866.3007668219761</c:v>
                </c:pt>
                <c:pt idx="22">
                  <c:v>3983.4893714771565</c:v>
                </c:pt>
                <c:pt idx="23">
                  <c:v>2733.9325977042527</c:v>
                </c:pt>
                <c:pt idx="24">
                  <c:v>1894.7990017023026</c:v>
                </c:pt>
                <c:pt idx="25">
                  <c:v>1325.0515830118179</c:v>
                </c:pt>
                <c:pt idx="26">
                  <c:v>934.22570261551607</c:v>
                </c:pt>
                <c:pt idx="27">
                  <c:v>663.56368366016852</c:v>
                </c:pt>
                <c:pt idx="28">
                  <c:v>474.44940101294736</c:v>
                </c:pt>
                <c:pt idx="29">
                  <c:v>341.22066097564039</c:v>
                </c:pt>
                <c:pt idx="30">
                  <c:v>246.64433608052536</c:v>
                </c:pt>
                <c:pt idx="31">
                  <c:v>179.03289076052033</c:v>
                </c:pt>
                <c:pt idx="32">
                  <c:v>130.38557913280084</c:v>
                </c:pt>
                <c:pt idx="33">
                  <c:v>95.177025835777073</c:v>
                </c:pt>
                <c:pt idx="34">
                  <c:v>69.559495862750637</c:v>
                </c:pt>
                <c:pt idx="35">
                  <c:v>50.83238795017909</c:v>
                </c:pt>
                <c:pt idx="36">
                  <c:v>37.086122463542765</c:v>
                </c:pt>
                <c:pt idx="37">
                  <c:v>26.960959128390233</c:v>
                </c:pt>
                <c:pt idx="38">
                  <c:v>19.482264090714757</c:v>
                </c:pt>
                <c:pt idx="39">
                  <c:v>13.947082831532551</c:v>
                </c:pt>
                <c:pt idx="40">
                  <c:v>9.8454375567709818</c:v>
                </c:pt>
                <c:pt idx="41">
                  <c:v>6.8053172371918684</c:v>
                </c:pt>
                <c:pt idx="42">
                  <c:v>4.5539585067096056</c:v>
                </c:pt>
                <c:pt idx="43">
                  <c:v>2.8904109633380783</c:v>
                </c:pt>
                <c:pt idx="44">
                  <c:v>1.6659743282089905</c:v>
                </c:pt>
                <c:pt idx="45">
                  <c:v>0.77016410071155239</c:v>
                </c:pt>
                <c:pt idx="46">
                  <c:v>0.12058509502652751</c:v>
                </c:pt>
                <c:pt idx="47">
                  <c:v>-0.34441556715040439</c:v>
                </c:pt>
                <c:pt idx="48">
                  <c:v>-0.67110686469341208</c:v>
                </c:pt>
                <c:pt idx="49">
                  <c:v>-0.89430143745990287</c:v>
                </c:pt>
                <c:pt idx="50">
                  <c:v>-1.0402480226393624</c:v>
                </c:pt>
                <c:pt idx="51">
                  <c:v>-1.1287711556743336</c:v>
                </c:pt>
                <c:pt idx="52">
                  <c:v>-1.1748607671196314</c:v>
                </c:pt>
                <c:pt idx="53">
                  <c:v>-1.1898578509239353</c:v>
                </c:pt>
                <c:pt idx="54">
                  <c:v>-1.1823421926337574</c:v>
                </c:pt>
                <c:pt idx="55">
                  <c:v>-1.1587993847706999</c:v>
                </c:pt>
                <c:pt idx="56">
                  <c:v>-1.1241236652875</c:v>
                </c:pt>
                <c:pt idx="57">
                  <c:v>-1.0819981545682447</c:v>
                </c:pt>
                <c:pt idx="58">
                  <c:v>-1.035183197332654</c:v>
                </c:pt>
                <c:pt idx="59">
                  <c:v>-0.98573558240959647</c:v>
                </c:pt>
                <c:pt idx="60">
                  <c:v>-0.93517559680383888</c:v>
                </c:pt>
                <c:pt idx="61">
                  <c:v>-0.88461458757855282</c:v>
                </c:pt>
                <c:pt idx="62">
                  <c:v>-0.83485253836768814</c:v>
                </c:pt>
                <c:pt idx="63">
                  <c:v>-0.78645281658512411</c:v>
                </c:pt>
                <c:pt idx="64">
                  <c:v>-0.73979949567853664</c:v>
                </c:pt>
                <c:pt idx="65">
                  <c:v>-0.69514134663532112</c:v>
                </c:pt>
                <c:pt idx="66">
                  <c:v>-0.6526256096119275</c:v>
                </c:pt>
                <c:pt idx="67">
                  <c:v>-0.61232391601020852</c:v>
                </c:pt>
                <c:pt idx="68">
                  <c:v>-0.57425217181312393</c:v>
                </c:pt>
                <c:pt idx="69">
                  <c:v>-0.53838578895184663</c:v>
                </c:pt>
                <c:pt idx="70">
                  <c:v>-0.50467132915691149</c:v>
                </c:pt>
                <c:pt idx="71">
                  <c:v>-0.47303537905736698</c:v>
                </c:pt>
                <c:pt idx="72">
                  <c:v>-0.4433912875152487</c:v>
                </c:pt>
                <c:pt idx="73">
                  <c:v>-0.4156442523049923</c:v>
                </c:pt>
                <c:pt idx="74">
                  <c:v>-0.38969513274343409</c:v>
                </c:pt>
                <c:pt idx="75">
                  <c:v>-0.36544327981500585</c:v>
                </c:pt>
                <c:pt idx="76">
                  <c:v>-0.3427886097243365</c:v>
                </c:pt>
                <c:pt idx="77">
                  <c:v>-0.32163309610049229</c:v>
                </c:pt>
                <c:pt idx="78">
                  <c:v>-0.30188181681885701</c:v>
                </c:pt>
                <c:pt idx="79">
                  <c:v>-0.2834436609644182</c:v>
                </c:pt>
                <c:pt idx="80">
                  <c:v>-0.266231777820853</c:v>
                </c:pt>
                <c:pt idx="81">
                  <c:v>-0.25016383139063109</c:v>
                </c:pt>
                <c:pt idx="82">
                  <c:v>-0.2351621096472396</c:v>
                </c:pt>
                <c:pt idx="83">
                  <c:v>-0.22115352657915557</c:v>
                </c:pt>
                <c:pt idx="84">
                  <c:v>-0.20806954640217989</c:v>
                </c:pt>
                <c:pt idx="85">
                  <c:v>-0.19584605254767654</c:v>
                </c:pt>
                <c:pt idx="86">
                  <c:v>-0.18442317875721734</c:v>
                </c:pt>
                <c:pt idx="87">
                  <c:v>-0.17374511550154134</c:v>
                </c:pt>
                <c:pt idx="88">
                  <c:v>-0.16375990173887853</c:v>
                </c:pt>
                <c:pt idx="89">
                  <c:v>-0.15441920953611324</c:v>
                </c:pt>
                <c:pt idx="90">
                  <c:v>-0.14567812714115472</c:v>
                </c:pt>
                <c:pt idx="91">
                  <c:v>-0.13749494459530401</c:v>
                </c:pt>
                <c:pt idx="92">
                  <c:v>-0.12983094481571419</c:v>
                </c:pt>
                <c:pt idx="93">
                  <c:v>-0.12265020218617009</c:v>
                </c:pt>
                <c:pt idx="94">
                  <c:v>-0.11591939001125108</c:v>
                </c:pt>
                <c:pt idx="95">
                  <c:v>-0.10960759766893938</c:v>
                </c:pt>
                <c:pt idx="96">
                  <c:v>-0.1036861579041089</c:v>
                </c:pt>
                <c:pt idx="97">
                  <c:v>-9.8128484411989569E-2</c:v>
                </c:pt>
                <c:pt idx="98">
                  <c:v>-9.2909919644575442E-2</c:v>
                </c:pt>
                <c:pt idx="99">
                  <c:v>-8.8007592616695801E-2</c:v>
                </c:pt>
                <c:pt idx="100">
                  <c:v>-8.3400286378478308E-2</c:v>
                </c:pt>
                <c:pt idx="101">
                  <c:v>-7.9068314746518722E-2</c:v>
                </c:pt>
                <c:pt idx="102">
                  <c:v>-7.4993407838842605E-2</c:v>
                </c:pt>
                <c:pt idx="103">
                  <c:v>-7.1158605932145111E-2</c:v>
                </c:pt>
                <c:pt idx="104">
                  <c:v>-6.7548161148683422E-2</c:v>
                </c:pt>
                <c:pt idx="105">
                  <c:v>-6.4147446480569997E-2</c:v>
                </c:pt>
                <c:pt idx="106">
                  <c:v>-6.0942871667960419E-2</c:v>
                </c:pt>
                <c:pt idx="107">
                  <c:v>-5.7921805462324394E-2</c:v>
                </c:pt>
                <c:pt idx="108">
                  <c:v>-5.5072503824774577E-2</c:v>
                </c:pt>
                <c:pt idx="109">
                  <c:v>-5.2384043630872137E-2</c:v>
                </c:pt>
                <c:pt idx="110">
                  <c:v>-4.9846261476339929E-2</c:v>
                </c:pt>
                <c:pt idx="111">
                  <c:v>-4.7449697201873947E-2</c:v>
                </c:pt>
                <c:pt idx="112">
                  <c:v>-4.5185541779136092E-2</c:v>
                </c:pt>
                <c:pt idx="113">
                  <c:v>-4.3045589223585867E-2</c:v>
                </c:pt>
                <c:pt idx="114">
                  <c:v>-4.1022192222746445E-2</c:v>
                </c:pt>
                <c:pt idx="115">
                  <c:v>-3.9108221190568955E-2</c:v>
                </c:pt>
                <c:pt idx="116">
                  <c:v>-3.7297026479618689E-2</c:v>
                </c:pt>
                <c:pt idx="117">
                  <c:v>-3.5582403502757549E-2</c:v>
                </c:pt>
                <c:pt idx="118">
                  <c:v>-3.3958560534796095E-2</c:v>
                </c:pt>
                <c:pt idx="119">
                  <c:v>-3.2420088982222282E-2</c:v>
                </c:pt>
                <c:pt idx="120">
                  <c:v>-3.0961935925586364E-2</c:v>
                </c:pt>
                <c:pt idx="121">
                  <c:v>-2.9579378754468057E-2</c:v>
                </c:pt>
                <c:pt idx="122">
                  <c:v>-2.8268001729203237E-2</c:v>
                </c:pt>
                <c:pt idx="123">
                  <c:v>-2.7023674316760199E-2</c:v>
                </c:pt>
                <c:pt idx="124">
                  <c:v>-2.5842531160375791E-2</c:v>
                </c:pt>
                <c:pt idx="125">
                  <c:v>-2.4720953553850192E-2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Phe!$I$6</c:f>
              <c:strCache>
                <c:ptCount val="1"/>
                <c:pt idx="0">
                  <c:v>Tyr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Phe!$I$7:$I$132</c:f>
              <c:numCache>
                <c:formatCode>0.00</c:formatCode>
                <c:ptCount val="126"/>
                <c:pt idx="0">
                  <c:v>78208499.519319296</c:v>
                </c:pt>
                <c:pt idx="1">
                  <c:v>24914894.182257365</c:v>
                </c:pt>
                <c:pt idx="2">
                  <c:v>8767305.4996526372</c:v>
                </c:pt>
                <c:pt idx="3">
                  <c:v>3353694.2695851936</c:v>
                </c:pt>
                <c:pt idx="4">
                  <c:v>1377264.2858193647</c:v>
                </c:pt>
                <c:pt idx="5">
                  <c:v>601234.65187521023</c:v>
                </c:pt>
                <c:pt idx="6">
                  <c:v>276770.78630296182</c:v>
                </c:pt>
                <c:pt idx="7">
                  <c:v>133469.02128993627</c:v>
                </c:pt>
                <c:pt idx="8">
                  <c:v>67055.123456593326</c:v>
                </c:pt>
                <c:pt idx="9">
                  <c:v>34934.009298798497</c:v>
                </c:pt>
                <c:pt idx="10">
                  <c:v>18797.071454588095</c:v>
                </c:pt>
                <c:pt idx="11">
                  <c:v>10409.813077488221</c:v>
                </c:pt>
                <c:pt idx="12">
                  <c:v>5915.201693707937</c:v>
                </c:pt>
                <c:pt idx="13">
                  <c:v>3439.309941900498</c:v>
                </c:pt>
                <c:pt idx="14">
                  <c:v>2041.0575578690482</c:v>
                </c:pt>
                <c:pt idx="15">
                  <c:v>1233.4051736757983</c:v>
                </c:pt>
                <c:pt idx="16">
                  <c:v>757.28301235029494</c:v>
                </c:pt>
                <c:pt idx="17">
                  <c:v>471.38155414330788</c:v>
                </c:pt>
                <c:pt idx="18">
                  <c:v>296.82799773999267</c:v>
                </c:pt>
                <c:pt idx="19">
                  <c:v>188.65702161209825</c:v>
                </c:pt>
                <c:pt idx="20">
                  <c:v>120.72924415272631</c:v>
                </c:pt>
                <c:pt idx="21">
                  <c:v>77.573635090051141</c:v>
                </c:pt>
                <c:pt idx="22">
                  <c:v>49.880304475200894</c:v>
                </c:pt>
                <c:pt idx="23">
                  <c:v>31.960552321796918</c:v>
                </c:pt>
                <c:pt idx="24">
                  <c:v>20.289005203566308</c:v>
                </c:pt>
                <c:pt idx="25">
                  <c:v>12.652401903423895</c:v>
                </c:pt>
                <c:pt idx="26">
                  <c:v>7.6445906850510932</c:v>
                </c:pt>
                <c:pt idx="27">
                  <c:v>4.3624246079947104</c:v>
                </c:pt>
                <c:pt idx="28">
                  <c:v>2.2200651871491224</c:v>
                </c:pt>
                <c:pt idx="29">
                  <c:v>0.83410348727628314</c:v>
                </c:pt>
                <c:pt idx="30">
                  <c:v>-4.8379013949735823E-2</c:v>
                </c:pt>
                <c:pt idx="31">
                  <c:v>-0.59537539438672915</c:v>
                </c:pt>
                <c:pt idx="32">
                  <c:v>-0.9191214418422271</c:v>
                </c:pt>
                <c:pt idx="33">
                  <c:v>-1.0949531883568639</c:v>
                </c:pt>
                <c:pt idx="34">
                  <c:v>-1.1736112077039591</c:v>
                </c:pt>
                <c:pt idx="35">
                  <c:v>-1.1893377496258091</c:v>
                </c:pt>
                <c:pt idx="36">
                  <c:v>-1.1652473138089015</c:v>
                </c:pt>
                <c:pt idx="37">
                  <c:v>-1.1169145426250362</c:v>
                </c:pt>
                <c:pt idx="38">
                  <c:v>-1.0547869068809306</c:v>
                </c:pt>
                <c:pt idx="39">
                  <c:v>-0.98581667622286839</c:v>
                </c:pt>
                <c:pt idx="40">
                  <c:v>-0.9145705313470246</c:v>
                </c:pt>
                <c:pt idx="41">
                  <c:v>-0.84398737058675388</c:v>
                </c:pt>
                <c:pt idx="42">
                  <c:v>-0.77589774401842848</c:v>
                </c:pt>
                <c:pt idx="43">
                  <c:v>-0.711380888056097</c:v>
                </c:pt>
                <c:pt idx="44">
                  <c:v>-0.65101057732039691</c:v>
                </c:pt>
                <c:pt idx="45">
                  <c:v>-0.59502453119179555</c:v>
                </c:pt>
                <c:pt idx="46">
                  <c:v>-0.54344106758497346</c:v>
                </c:pt>
                <c:pt idx="47">
                  <c:v>-0.49613924629311318</c:v>
                </c:pt>
                <c:pt idx="48">
                  <c:v>-0.45291368849456548</c:v>
                </c:pt>
                <c:pt idx="49">
                  <c:v>-0.41351180881432842</c:v>
                </c:pt>
                <c:pt idx="50">
                  <c:v>-0.37765882949779045</c:v>
                </c:pt>
                <c:pt idx="51">
                  <c:v>-0.34507431477566664</c:v>
                </c:pt>
                <c:pt idx="52">
                  <c:v>-0.31548283395196608</c:v>
                </c:pt>
                <c:pt idx="53">
                  <c:v>-0.28862057660066287</c:v>
                </c:pt>
                <c:pt idx="54">
                  <c:v>-0.26423919558000974</c:v>
                </c:pt>
                <c:pt idx="55">
                  <c:v>-0.24210777038034736</c:v>
                </c:pt>
                <c:pt idx="56">
                  <c:v>-0.22201351453559864</c:v>
                </c:pt>
                <c:pt idx="57">
                  <c:v>-0.203761661923889</c:v>
                </c:pt>
                <c:pt idx="58">
                  <c:v>-0.1871748338436143</c:v>
                </c:pt>
                <c:pt idx="59">
                  <c:v>-0.17209209514134804</c:v>
                </c:pt>
                <c:pt idx="60">
                  <c:v>-0.15836784176790164</c:v>
                </c:pt>
                <c:pt idx="61">
                  <c:v>-0.14587061580356256</c:v>
                </c:pt>
                <c:pt idx="62">
                  <c:v>-0.13448191149437247</c:v>
                </c:pt>
                <c:pt idx="63">
                  <c:v>-0.12409501313694882</c:v>
                </c:pt>
                <c:pt idx="64">
                  <c:v>-0.11461388988144713</c:v>
                </c:pt>
                <c:pt idx="65">
                  <c:v>-0.10595216166455017</c:v>
                </c:pt>
                <c:pt idx="66">
                  <c:v>-9.80321430979086E-2</c:v>
                </c:pt>
                <c:pt idx="67">
                  <c:v>-9.0783967199049354E-2</c:v>
                </c:pt>
                <c:pt idx="68">
                  <c:v>-8.4144787633209497E-2</c:v>
                </c:pt>
                <c:pt idx="69">
                  <c:v>-7.8058056117571439E-2</c:v>
                </c:pt>
                <c:pt idx="70">
                  <c:v>-7.2472870455241548E-2</c:v>
                </c:pt>
                <c:pt idx="71">
                  <c:v>-6.7343388053082973E-2</c:v>
                </c:pt>
                <c:pt idx="72">
                  <c:v>-6.262829954955422E-2</c:v>
                </c:pt>
                <c:pt idx="73">
                  <c:v>-5.8290357204908265E-2</c:v>
                </c:pt>
                <c:pt idx="74">
                  <c:v>-5.4295952894408576E-2</c:v>
                </c:pt>
                <c:pt idx="75">
                  <c:v>-5.0614740831395715E-2</c:v>
                </c:pt>
                <c:pt idx="76">
                  <c:v>-4.7219300486788018E-2</c:v>
                </c:pt>
                <c:pt idx="77">
                  <c:v>-4.4084835534752252E-2</c:v>
                </c:pt>
                <c:pt idx="78">
                  <c:v>-4.1188905020738222E-2</c:v>
                </c:pt>
                <c:pt idx="79">
                  <c:v>-3.8511183304807205E-2</c:v>
                </c:pt>
                <c:pt idx="80">
                  <c:v>-3.6033245672153796E-2</c:v>
                </c:pt>
                <c:pt idx="81">
                  <c:v>-3.3738376819334677E-2</c:v>
                </c:pt>
                <c:pt idx="82">
                  <c:v>-3.1611399716741699E-2</c:v>
                </c:pt>
                <c:pt idx="83">
                  <c:v>-2.9638522614666575E-2</c:v>
                </c:pt>
                <c:pt idx="84">
                  <c:v>-2.7807202202308017E-2</c:v>
                </c:pt>
                <c:pt idx="85">
                  <c:v>-2.6106021147343481E-2</c:v>
                </c:pt>
                <c:pt idx="86">
                  <c:v>-2.4524578439688624E-2</c:v>
                </c:pt>
                <c:pt idx="87">
                  <c:v>-2.3053391138459705E-2</c:v>
                </c:pt>
                <c:pt idx="88">
                  <c:v>-2.1683806277678581E-2</c:v>
                </c:pt>
                <c:pt idx="89">
                  <c:v>-2.0407921825649111E-2</c:v>
                </c:pt>
                <c:pt idx="90">
                  <c:v>-1.9218515716855702E-2</c:v>
                </c:pt>
                <c:pt idx="91">
                  <c:v>-1.8108982085268194E-2</c:v>
                </c:pt>
                <c:pt idx="92">
                  <c:v>-1.7073273925542271E-2</c:v>
                </c:pt>
                <c:pt idx="93">
                  <c:v>-1.6105851495128609E-2</c:v>
                </c:pt>
                <c:pt idx="94">
                  <c:v>-1.5201635846965628E-2</c:v>
                </c:pt>
                <c:pt idx="95">
                  <c:v>-1.4355966950336302E-2</c:v>
                </c:pt>
                <c:pt idx="96">
                  <c:v>-1.3564565917611095E-2</c:v>
                </c:pt>
                <c:pt idx="97">
                  <c:v>-1.2823500907862532E-2</c:v>
                </c:pt>
                <c:pt idx="98">
                  <c:v>-1.2129156325516354E-2</c:v>
                </c:pt>
                <c:pt idx="99">
                  <c:v>-1.1478204974001271E-2</c:v>
                </c:pt>
                <c:pt idx="100">
                  <c:v>-1.0867582861398852E-2</c:v>
                </c:pt>
                <c:pt idx="101">
                  <c:v>-1.0294466387931408E-2</c:v>
                </c:pt>
                <c:pt idx="102">
                  <c:v>-9.7562516742457674E-3</c:v>
                </c:pt>
                <c:pt idx="103">
                  <c:v>-9.2505358152889846E-3</c:v>
                </c:pt>
                <c:pt idx="104">
                  <c:v>-8.7750998675087902E-3</c:v>
                </c:pt>
                <c:pt idx="105">
                  <c:v>-8.3278933974835854E-3</c:v>
                </c:pt>
                <c:pt idx="106">
                  <c:v>-7.9070204381923321E-3</c:v>
                </c:pt>
                <c:pt idx="107">
                  <c:v>-7.510726715234067E-3</c:v>
                </c:pt>
                <c:pt idx="108">
                  <c:v>-7.1373880196323901E-3</c:v>
                </c:pt>
                <c:pt idx="109">
                  <c:v>-6.7854996166151942E-3</c:v>
                </c:pt>
                <c:pt idx="110">
                  <c:v>-6.4536665911237136E-3</c:v>
                </c:pt>
                <c:pt idx="111">
                  <c:v>-6.1405950409365861E-3</c:v>
                </c:pt>
                <c:pt idx="112">
                  <c:v>-5.8450840373333772E-3</c:v>
                </c:pt>
                <c:pt idx="113">
                  <c:v>-5.5660182812915055E-3</c:v>
                </c:pt>
                <c:pt idx="114">
                  <c:v>-5.302361390419885E-3</c:v>
                </c:pt>
                <c:pt idx="115">
                  <c:v>-5.0531497582775526E-3</c:v>
                </c:pt>
                <c:pt idx="116">
                  <c:v>-4.8174869334918829E-3</c:v>
                </c:pt>
                <c:pt idx="117">
                  <c:v>-4.5945384712530127E-3</c:v>
                </c:pt>
                <c:pt idx="118">
                  <c:v>-4.3835272143861442E-3</c:v>
                </c:pt>
                <c:pt idx="119">
                  <c:v>-4.1837289653497657E-3</c:v>
                </c:pt>
                <c:pt idx="120">
                  <c:v>-3.9944685142277933E-3</c:v>
                </c:pt>
                <c:pt idx="121">
                  <c:v>-3.8151159911237746E-3</c:v>
                </c:pt>
                <c:pt idx="122">
                  <c:v>-3.6450835143657201E-3</c:v>
                </c:pt>
                <c:pt idx="123">
                  <c:v>-3.4838221086281895E-3</c:v>
                </c:pt>
                <c:pt idx="124">
                  <c:v>-3.3308188695054422E-3</c:v>
                </c:pt>
                <c:pt idx="125">
                  <c:v>-3.1855943532547058E-3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Phe!$J$6</c:f>
              <c:strCache>
                <c:ptCount val="1"/>
                <c:pt idx="0">
                  <c:v>Ala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Phe!$J$7:$J$132</c:f>
              <c:numCache>
                <c:formatCode>0.00</c:formatCode>
                <c:ptCount val="126"/>
                <c:pt idx="0">
                  <c:v>9398954.2687677816</c:v>
                </c:pt>
                <c:pt idx="1">
                  <c:v>2993151.522461399</c:v>
                </c:pt>
                <c:pt idx="2">
                  <c:v>1052664.883921399</c:v>
                </c:pt>
                <c:pt idx="3">
                  <c:v>402322.70775484032</c:v>
                </c:pt>
                <c:pt idx="4">
                  <c:v>165013.56270430313</c:v>
                </c:pt>
                <c:pt idx="5">
                  <c:v>71905.147139691646</c:v>
                </c:pt>
                <c:pt idx="6">
                  <c:v>33016.744099906522</c:v>
                </c:pt>
                <c:pt idx="7">
                  <c:v>15866.435914903634</c:v>
                </c:pt>
                <c:pt idx="8">
                  <c:v>7933.7976078103457</c:v>
                </c:pt>
                <c:pt idx="9">
                  <c:v>4107.3488524136483</c:v>
                </c:pt>
                <c:pt idx="10">
                  <c:v>2191.7516407148087</c:v>
                </c:pt>
                <c:pt idx="11">
                  <c:v>1200.6501414902266</c:v>
                </c:pt>
                <c:pt idx="12">
                  <c:v>672.65708908764611</c:v>
                </c:pt>
                <c:pt idx="13">
                  <c:v>383.99571383221547</c:v>
                </c:pt>
                <c:pt idx="14">
                  <c:v>222.53226124792508</c:v>
                </c:pt>
                <c:pt idx="15">
                  <c:v>130.39378228742888</c:v>
                </c:pt>
                <c:pt idx="16">
                  <c:v>76.901792313667102</c:v>
                </c:pt>
                <c:pt idx="17">
                  <c:v>45.393858333028433</c:v>
                </c:pt>
                <c:pt idx="18">
                  <c:v>26.618350874413345</c:v>
                </c:pt>
                <c:pt idx="19">
                  <c:v>15.334635413224275</c:v>
                </c:pt>
                <c:pt idx="20">
                  <c:v>8.5199120850078121</c:v>
                </c:pt>
                <c:pt idx="21">
                  <c:v>4.4019675232023499</c:v>
                </c:pt>
                <c:pt idx="22">
                  <c:v>1.9265207662964798</c:v>
                </c:pt>
                <c:pt idx="23">
                  <c:v>0.4582431548435637</c:v>
                </c:pt>
                <c:pt idx="24">
                  <c:v>-0.39004084757085045</c:v>
                </c:pt>
                <c:pt idx="25">
                  <c:v>-0.85652326974305049</c:v>
                </c:pt>
                <c:pt idx="26">
                  <c:v>-1.0888594923146697</c:v>
                </c:pt>
                <c:pt idx="27">
                  <c:v>-1.1790905830625844</c:v>
                </c:pt>
                <c:pt idx="28">
                  <c:v>-1.1847731587183432</c:v>
                </c:pt>
                <c:pt idx="29">
                  <c:v>-1.1419108381770102</c:v>
                </c:pt>
                <c:pt idx="30">
                  <c:v>-1.0729501472251013</c:v>
                </c:pt>
                <c:pt idx="31">
                  <c:v>-0.99177013597306951</c:v>
                </c:pt>
                <c:pt idx="32">
                  <c:v>-0.90682103062400798</c:v>
                </c:pt>
                <c:pt idx="33">
                  <c:v>-0.82311200560267184</c:v>
                </c:pt>
                <c:pt idx="34">
                  <c:v>-0.74347698919979199</c:v>
                </c:pt>
                <c:pt idx="35">
                  <c:v>-0.66938396394597588</c:v>
                </c:pt>
                <c:pt idx="36">
                  <c:v>-0.60145360510299828</c:v>
                </c:pt>
                <c:pt idx="37">
                  <c:v>-0.53979175700205906</c:v>
                </c:pt>
                <c:pt idx="38">
                  <c:v>-0.48420210697185551</c:v>
                </c:pt>
                <c:pt idx="39">
                  <c:v>-0.43432149064129177</c:v>
                </c:pt>
                <c:pt idx="40">
                  <c:v>-0.38970512889615899</c:v>
                </c:pt>
                <c:pt idx="41">
                  <c:v>-0.34987945193194148</c:v>
                </c:pt>
                <c:pt idx="42">
                  <c:v>-0.31437397663110822</c:v>
                </c:pt>
                <c:pt idx="43">
                  <c:v>-0.28273970723966374</c:v>
                </c:pt>
                <c:pt idx="44">
                  <c:v>-0.25455893498706661</c:v>
                </c:pt>
                <c:pt idx="45">
                  <c:v>-0.22944962025890586</c:v>
                </c:pt>
                <c:pt idx="46">
                  <c:v>-0.20706643320748747</c:v>
                </c:pt>
                <c:pt idx="47">
                  <c:v>-0.18709980144608324</c:v>
                </c:pt>
                <c:pt idx="48">
                  <c:v>-0.169273835202818</c:v>
                </c:pt>
                <c:pt idx="49">
                  <c:v>-0.1533436856345653</c:v>
                </c:pt>
                <c:pt idx="50">
                  <c:v>-0.13909268518851908</c:v>
                </c:pt>
                <c:pt idx="51">
                  <c:v>-0.12632948338691133</c:v>
                </c:pt>
                <c:pt idx="52">
                  <c:v>-0.11488530310588943</c:v>
                </c:pt>
                <c:pt idx="53">
                  <c:v>-0.1046113853865477</c:v>
                </c:pt>
                <c:pt idx="54">
                  <c:v>-9.537665448041216E-2</c:v>
                </c:pt>
                <c:pt idx="55">
                  <c:v>-8.7065612160549005E-2</c:v>
                </c:pt>
                <c:pt idx="56">
                  <c:v>-7.9576456638253829E-2</c:v>
                </c:pt>
                <c:pt idx="57">
                  <c:v>-7.281941359189241E-2</c:v>
                </c:pt>
                <c:pt idx="58">
                  <c:v>-6.6715262759393198E-2</c:v>
                </c:pt>
                <c:pt idx="59">
                  <c:v>-6.1194041887007292E-2</c:v>
                </c:pt>
                <c:pt idx="60">
                  <c:v>-5.6193909649108122E-2</c:v>
                </c:pt>
                <c:pt idx="61">
                  <c:v>-5.1660149854850686E-2</c:v>
                </c:pt>
                <c:pt idx="62">
                  <c:v>-4.7544300444943885E-2</c:v>
                </c:pt>
                <c:pt idx="63">
                  <c:v>-4.380339220327558E-2</c:v>
                </c:pt>
                <c:pt idx="64">
                  <c:v>-4.0399283604788082E-2</c:v>
                </c:pt>
                <c:pt idx="65">
                  <c:v>-3.729807969589749E-2</c:v>
                </c:pt>
                <c:pt idx="66">
                  <c:v>-3.4469624300697159E-2</c:v>
                </c:pt>
                <c:pt idx="67">
                  <c:v>-3.1887056135511654E-2</c:v>
                </c:pt>
                <c:pt idx="68">
                  <c:v>-2.9526420583328987E-2</c:v>
                </c:pt>
                <c:pt idx="69">
                  <c:v>-2.7366329926067905E-2</c:v>
                </c:pt>
                <c:pt idx="70">
                  <c:v>-2.538766576069354E-2</c:v>
                </c:pt>
                <c:pt idx="71">
                  <c:v>-2.3573318142594758E-2</c:v>
                </c:pt>
                <c:pt idx="72">
                  <c:v>-2.1907956715858466E-2</c:v>
                </c:pt>
                <c:pt idx="73">
                  <c:v>-2.0377829715205222E-2</c:v>
                </c:pt>
                <c:pt idx="74">
                  <c:v>-1.8970587268394908E-2</c:v>
                </c:pt>
                <c:pt idx="75">
                  <c:v>-1.7675125900371749E-2</c:v>
                </c:pt>
                <c:pt idx="76">
                  <c:v>-1.6481451550084916E-2</c:v>
                </c:pt>
                <c:pt idx="77">
                  <c:v>-1.5380558765756915E-2</c:v>
                </c:pt>
                <c:pt idx="78">
                  <c:v>-1.4364324051509074E-2</c:v>
                </c:pt>
                <c:pt idx="79">
                  <c:v>-1.3425411604001498E-2</c:v>
                </c:pt>
                <c:pt idx="80">
                  <c:v>-1.2557189907653988E-2</c:v>
                </c:pt>
                <c:pt idx="81">
                  <c:v>-1.1753657855935344E-2</c:v>
                </c:pt>
                <c:pt idx="82">
                  <c:v>-1.1009379238360224E-2</c:v>
                </c:pt>
                <c:pt idx="83">
                  <c:v>-1.0319424581878624E-2</c:v>
                </c:pt>
                <c:pt idx="84">
                  <c:v>-9.6793194644489416E-3</c:v>
                </c:pt>
                <c:pt idx="85">
                  <c:v>-9.0849985304884591E-3</c:v>
                </c:pt>
                <c:pt idx="86">
                  <c:v>-8.532764534953519E-3</c:v>
                </c:pt>
                <c:pt idx="87">
                  <c:v>-8.0192518270485735E-3</c:v>
                </c:pt>
                <c:pt idx="88">
                  <c:v>-7.5413937577495658E-3</c:v>
                </c:pt>
                <c:pt idx="89">
                  <c:v>-7.096393558958889E-3</c:v>
                </c:pt>
                <c:pt idx="90">
                  <c:v>-6.6816982974832548E-3</c:v>
                </c:pt>
                <c:pt idx="91">
                  <c:v>-6.2949755552589685E-3</c:v>
                </c:pt>
                <c:pt idx="92">
                  <c:v>-5.934092529300967E-3</c:v>
                </c:pt>
                <c:pt idx="93">
                  <c:v>-5.5970972815511458E-3</c:v>
                </c:pt>
                <c:pt idx="94">
                  <c:v>-5.2822019008601272E-3</c:v>
                </c:pt>
                <c:pt idx="95">
                  <c:v>-4.9877673673695338E-3</c:v>
                </c:pt>
                <c:pt idx="96">
                  <c:v>-4.7122899340988848E-3</c:v>
                </c:pt>
                <c:pt idx="97">
                  <c:v>-4.4543888620402206E-3</c:v>
                </c:pt>
                <c:pt idx="98">
                  <c:v>-4.2127953639191648E-3</c:v>
                </c:pt>
                <c:pt idx="99">
                  <c:v>-3.9863426283356989E-3</c:v>
                </c:pt>
                <c:pt idx="100">
                  <c:v>-3.7739568105460311E-3</c:v>
                </c:pt>
                <c:pt idx="101">
                  <c:v>-3.5746488889455709E-3</c:v>
                </c:pt>
                <c:pt idx="102">
                  <c:v>-3.3875072975828599E-3</c:v>
                </c:pt>
                <c:pt idx="103">
                  <c:v>-3.2116912549686526E-3</c:v>
                </c:pt>
                <c:pt idx="104">
                  <c:v>-3.0464247182095338E-3</c:v>
                </c:pt>
                <c:pt idx="105">
                  <c:v>-2.8909908992369743E-3</c:v>
                </c:pt>
                <c:pt idx="106">
                  <c:v>-2.7447272867467771E-3</c:v>
                </c:pt>
                <c:pt idx="107">
                  <c:v>-2.6070211235201396E-3</c:v>
                </c:pt>
                <c:pt idx="108">
                  <c:v>-2.4773052941620796E-3</c:v>
                </c:pt>
                <c:pt idx="109">
                  <c:v>-2.3550545830492032E-3</c:v>
                </c:pt>
                <c:pt idx="110">
                  <c:v>-2.2397822664995087E-3</c:v>
                </c:pt>
                <c:pt idx="111">
                  <c:v>-2.1310370069261985E-3</c:v>
                </c:pt>
                <c:pt idx="112">
                  <c:v>-2.028400020070716E-3</c:v>
                </c:pt>
                <c:pt idx="113">
                  <c:v>-1.9314824893765371E-3</c:v>
                </c:pt>
                <c:pt idx="114">
                  <c:v>-1.8399232042072386E-3</c:v>
                </c:pt>
                <c:pt idx="115">
                  <c:v>-1.7533864009676571E-3</c:v>
                </c:pt>
                <c:pt idx="116">
                  <c:v>-1.6715597882885418E-3</c:v>
                </c:pt>
                <c:pt idx="117">
                  <c:v>-1.5941527393118233E-3</c:v>
                </c:pt>
                <c:pt idx="118">
                  <c:v>-1.5208946357910579E-3</c:v>
                </c:pt>
                <c:pt idx="119">
                  <c:v>-1.4515333502222397E-3</c:v>
                </c:pt>
                <c:pt idx="120">
                  <c:v>-1.3858338535635711E-3</c:v>
                </c:pt>
                <c:pt idx="121">
                  <c:v>-1.3235769373067046E-3</c:v>
                </c:pt>
                <c:pt idx="122">
                  <c:v>-1.264558039741438E-3</c:v>
                </c:pt>
                <c:pt idx="123">
                  <c:v>-1.2085861672248279E-3</c:v>
                </c:pt>
                <c:pt idx="124">
                  <c:v>-1.1554829021359402E-3</c:v>
                </c:pt>
                <c:pt idx="125">
                  <c:v>-1.1050814899798026E-3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Phe!$K$6</c:f>
              <c:strCache>
                <c:ptCount val="1"/>
                <c:pt idx="0">
                  <c:v>Gly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Phe!$K$7:$K$132</c:f>
              <c:numCache>
                <c:formatCode>0.00</c:formatCode>
                <c:ptCount val="126"/>
                <c:pt idx="0">
                  <c:v>11744567.11579236</c:v>
                </c:pt>
                <c:pt idx="1">
                  <c:v>3740342.2924522986</c:v>
                </c:pt>
                <c:pt idx="2">
                  <c:v>1315565.4132254333</c:v>
                </c:pt>
                <c:pt idx="3">
                  <c:v>502871.59865895682</c:v>
                </c:pt>
                <c:pt idx="4">
                  <c:v>206296.06158874498</c:v>
                </c:pt>
                <c:pt idx="5">
                  <c:v>89920.477404025718</c:v>
                </c:pt>
                <c:pt idx="6">
                  <c:v>41305.855738618346</c:v>
                </c:pt>
                <c:pt idx="7">
                  <c:v>19861.093255180087</c:v>
                </c:pt>
                <c:pt idx="8">
                  <c:v>9938.9240190680594</c:v>
                </c:pt>
                <c:pt idx="9">
                  <c:v>5150.7251125141374</c:v>
                </c:pt>
                <c:pt idx="10">
                  <c:v>2752.2880873872173</c:v>
                </c:pt>
                <c:pt idx="11">
                  <c:v>1510.4455498629382</c:v>
                </c:pt>
                <c:pt idx="12">
                  <c:v>848.2336271901147</c:v>
                </c:pt>
                <c:pt idx="13">
                  <c:v>485.74154069300187</c:v>
                </c:pt>
                <c:pt idx="14">
                  <c:v>282.65701277185804</c:v>
                </c:pt>
                <c:pt idx="15">
                  <c:v>166.53145952136578</c:v>
                </c:pt>
                <c:pt idx="16">
                  <c:v>98.938276646010564</c:v>
                </c:pt>
                <c:pt idx="17">
                  <c:v>58.992229678148291</c:v>
                </c:pt>
                <c:pt idx="18">
                  <c:v>35.08703457619378</c:v>
                </c:pt>
                <c:pt idx="19">
                  <c:v>20.64128506050864</c:v>
                </c:pt>
                <c:pt idx="20">
                  <c:v>11.853895063355449</c:v>
                </c:pt>
                <c:pt idx="21">
                  <c:v>6.4928181936124716</c:v>
                </c:pt>
                <c:pt idx="22">
                  <c:v>3.2276461415650712</c:v>
                </c:pt>
                <c:pt idx="23">
                  <c:v>1.254751110029249</c:v>
                </c:pt>
                <c:pt idx="24">
                  <c:v>8.2973681440069044E-2</c:v>
                </c:pt>
                <c:pt idx="25">
                  <c:v>-0.59092640611439162</c:v>
                </c:pt>
                <c:pt idx="26">
                  <c:v>-0.9557555835735051</c:v>
                </c:pt>
                <c:pt idx="27">
                  <c:v>-1.1298516139351029</c:v>
                </c:pt>
                <c:pt idx="28">
                  <c:v>-1.187725967718767</c:v>
                </c:pt>
                <c:pt idx="29">
                  <c:v>-1.1763988087371506</c:v>
                </c:pt>
                <c:pt idx="30">
                  <c:v>-1.1255213633023673</c:v>
                </c:pt>
                <c:pt idx="31">
                  <c:v>-1.053708816950701</c:v>
                </c:pt>
                <c:pt idx="32">
                  <c:v>-0.97253620377330996</c:v>
                </c:pt>
                <c:pt idx="33">
                  <c:v>-0.88907840882918154</c:v>
                </c:pt>
                <c:pt idx="34">
                  <c:v>-0.80753480278556922</c:v>
                </c:pt>
                <c:pt idx="35">
                  <c:v>-0.73027354321427052</c:v>
                </c:pt>
                <c:pt idx="36">
                  <c:v>-0.65850521257112971</c:v>
                </c:pt>
                <c:pt idx="37">
                  <c:v>-0.59271817323735376</c:v>
                </c:pt>
                <c:pt idx="38">
                  <c:v>-0.5329599002628439</c:v>
                </c:pt>
                <c:pt idx="39">
                  <c:v>-0.4790183187597124</c:v>
                </c:pt>
                <c:pt idx="40">
                  <c:v>-0.43053801524461011</c:v>
                </c:pt>
                <c:pt idx="41">
                  <c:v>-0.38709395744098318</c:v>
                </c:pt>
                <c:pt idx="42">
                  <c:v>-0.34823748707409979</c:v>
                </c:pt>
                <c:pt idx="43">
                  <c:v>-0.31352425466284112</c:v>
                </c:pt>
                <c:pt idx="44">
                  <c:v>-0.28253044674227273</c:v>
                </c:pt>
                <c:pt idx="45">
                  <c:v>-0.25486148348715693</c:v>
                </c:pt>
                <c:pt idx="46">
                  <c:v>-0.23015593624793582</c:v>
                </c:pt>
                <c:pt idx="47">
                  <c:v>-0.20808647188002977</c:v>
                </c:pt>
                <c:pt idx="48">
                  <c:v>-0.18835900704139144</c:v>
                </c:pt>
                <c:pt idx="49">
                  <c:v>-0.1707108422686292</c:v>
                </c:pt>
                <c:pt idx="50">
                  <c:v>-0.15490827156245063</c:v>
                </c:pt>
                <c:pt idx="51">
                  <c:v>-0.1407439816708965</c:v>
                </c:pt>
                <c:pt idx="52">
                  <c:v>-0.12803443534993972</c:v>
                </c:pt>
                <c:pt idx="53">
                  <c:v>-0.11661735408804672</c:v>
                </c:pt>
                <c:pt idx="54">
                  <c:v>-0.10634936443217333</c:v>
                </c:pt>
                <c:pt idx="55">
                  <c:v>-9.7103839008897519E-2</c:v>
                </c:pt>
                <c:pt idx="56">
                  <c:v>-8.8768942473361298E-2</c:v>
                </c:pt>
                <c:pt idx="57">
                  <c:v>-8.1245879831993134E-2</c:v>
                </c:pt>
                <c:pt idx="58">
                  <c:v>-7.4447337113912201E-2</c:v>
                </c:pt>
                <c:pt idx="59">
                  <c:v>-6.8296100358947884E-2</c:v>
                </c:pt>
                <c:pt idx="60">
                  <c:v>-6.2723837106773039E-2</c:v>
                </c:pt>
                <c:pt idx="61">
                  <c:v>-5.7670024183357024E-2</c:v>
                </c:pt>
                <c:pt idx="62">
                  <c:v>-5.3081006037650452E-2</c:v>
                </c:pt>
                <c:pt idx="63">
                  <c:v>-4.8909168820760775E-2</c:v>
                </c:pt>
                <c:pt idx="64">
                  <c:v>-4.511221658610097E-2</c:v>
                </c:pt>
                <c:pt idx="65">
                  <c:v>-4.1652537271408149E-2</c:v>
                </c:pt>
                <c:pt idx="66">
                  <c:v>-3.8496647408387027E-2</c:v>
                </c:pt>
                <c:pt idx="67">
                  <c:v>-3.5614705737141643E-2</c:v>
                </c:pt>
                <c:pt idx="68">
                  <c:v>-3.2980087049517645E-2</c:v>
                </c:pt>
                <c:pt idx="69">
                  <c:v>-3.0569008633153403E-2</c:v>
                </c:pt>
                <c:pt idx="70">
                  <c:v>-2.8360202631855312E-2</c:v>
                </c:pt>
                <c:pt idx="71">
                  <c:v>-2.633462847960847E-2</c:v>
                </c:pt>
                <c:pt idx="72">
                  <c:v>-2.4475220310540474E-2</c:v>
                </c:pt>
                <c:pt idx="73">
                  <c:v>-2.2766664902867391E-2</c:v>
                </c:pt>
                <c:pt idx="74">
                  <c:v>-2.1195206289519975E-2</c:v>
                </c:pt>
                <c:pt idx="75">
                  <c:v>-1.974847367017761E-2</c:v>
                </c:pt>
                <c:pt idx="76">
                  <c:v>-1.8415329696962645E-2</c:v>
                </c:pt>
                <c:pt idx="77">
                  <c:v>-1.7185736586682557E-2</c:v>
                </c:pt>
                <c:pt idx="78">
                  <c:v>-1.60506378432392E-2</c:v>
                </c:pt>
                <c:pt idx="79">
                  <c:v>-1.5001853660947858E-2</c:v>
                </c:pt>
                <c:pt idx="80">
                  <c:v>-1.4031988328646437E-2</c:v>
                </c:pt>
                <c:pt idx="81">
                  <c:v>-1.3134348170598427E-2</c:v>
                </c:pt>
                <c:pt idx="82">
                  <c:v>-1.2302868747668904E-2</c:v>
                </c:pt>
                <c:pt idx="83">
                  <c:v>-1.1532050204904505E-2</c:v>
                </c:pt>
                <c:pt idx="84">
                  <c:v>-1.0816899792804145E-2</c:v>
                </c:pt>
                <c:pt idx="85">
                  <c:v>-1.0152880712120145E-2</c:v>
                </c:pt>
                <c:pt idx="86">
                  <c:v>-9.5358665384876317E-3</c:v>
                </c:pt>
                <c:pt idx="87">
                  <c:v>-8.9621005757133838E-3</c:v>
                </c:pt>
                <c:pt idx="88">
                  <c:v>-8.4281595670405857E-3</c:v>
                </c:pt>
                <c:pt idx="89">
                  <c:v>-7.9309212637642262E-3</c:v>
                </c:pt>
                <c:pt idx="90">
                  <c:v>-7.4675354116018064E-3</c:v>
                </c:pt>
                <c:pt idx="91">
                  <c:v>-7.0353977684343687E-3</c:v>
                </c:pt>
                <c:pt idx="92">
                  <c:v>-6.6321268134645192E-3</c:v>
                </c:pt>
                <c:pt idx="93">
                  <c:v>-6.2555428483924069E-3</c:v>
                </c:pt>
                <c:pt idx="94">
                  <c:v>-5.9036492266626968E-3</c:v>
                </c:pt>
                <c:pt idx="95">
                  <c:v>-5.5746154778571096E-3</c:v>
                </c:pt>
                <c:pt idx="96">
                  <c:v>-5.2667621214771872E-3</c:v>
                </c:pt>
                <c:pt idx="97">
                  <c:v>-4.9785469881814476E-3</c:v>
                </c:pt>
                <c:pt idx="98">
                  <c:v>-4.7085528874435539E-3</c:v>
                </c:pt>
                <c:pt idx="99">
                  <c:v>-4.4554764789585359E-3</c:v>
                </c:pt>
                <c:pt idx="100">
                  <c:v>-4.2181182212668034E-3</c:v>
                </c:pt>
                <c:pt idx="101">
                  <c:v>-3.9953732852731853E-3</c:v>
                </c:pt>
                <c:pt idx="102">
                  <c:v>-3.7862233328537242E-3</c:v>
                </c:pt>
                <c:pt idx="103">
                  <c:v>-3.5897290717792651E-3</c:v>
                </c:pt>
                <c:pt idx="104">
                  <c:v>-3.4050235079259457E-3</c:v>
                </c:pt>
                <c:pt idx="105">
                  <c:v>-3.2313058243486877E-3</c:v>
                </c:pt>
                <c:pt idx="106">
                  <c:v>-3.0678358244045144E-3</c:v>
                </c:pt>
                <c:pt idx="107">
                  <c:v>-2.9139288828490622E-3</c:v>
                </c:pt>
                <c:pt idx="108">
                  <c:v>-2.7689513547983816E-3</c:v>
                </c:pt>
                <c:pt idx="109">
                  <c:v>-2.6323163977412223E-3</c:v>
                </c:pt>
                <c:pt idx="110">
                  <c:v>-2.5034801664854051E-3</c:v>
                </c:pt>
                <c:pt idx="111">
                  <c:v>-2.3819383450962143E-3</c:v>
                </c:pt>
                <c:pt idx="112">
                  <c:v>-2.2672229835968053E-3</c:v>
                </c:pt>
                <c:pt idx="113">
                  <c:v>-2.1588996105044696E-3</c:v>
                </c:pt>
                <c:pt idx="114">
                  <c:v>-2.0565645952200385E-3</c:v>
                </c:pt>
                <c:pt idx="115">
                  <c:v>-1.959842736911869E-3</c:v>
                </c:pt>
                <c:pt idx="116">
                  <c:v>-1.8683850588779511E-3</c:v>
                </c:pt>
                <c:pt idx="117">
                  <c:v>-1.7818667894613546E-3</c:v>
                </c:pt>
                <c:pt idx="118">
                  <c:v>-1.6999855124641651E-3</c:v>
                </c:pt>
                <c:pt idx="119">
                  <c:v>-1.6224594716779807E-3</c:v>
                </c:pt>
                <c:pt idx="120">
                  <c:v>-1.5490260156470548E-3</c:v>
                </c:pt>
                <c:pt idx="121">
                  <c:v>-1.4794401701226044E-3</c:v>
                </c:pt>
                <c:pt idx="122">
                  <c:v>-1.4134733268707743E-3</c:v>
                </c:pt>
                <c:pt idx="123">
                  <c:v>-1.3509120385775098E-3</c:v>
                </c:pt>
                <c:pt idx="124">
                  <c:v>-1.2915569105643419E-3</c:v>
                </c:pt>
                <c:pt idx="125">
                  <c:v>-1.2352215809018977E-3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Phe!$L$6</c:f>
              <c:strCache>
                <c:ptCount val="1"/>
                <c:pt idx="0">
                  <c:v>Thr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Phe!$L$7:$L$132</c:f>
              <c:numCache>
                <c:formatCode>0.00</c:formatCode>
                <c:ptCount val="126"/>
                <c:pt idx="0">
                  <c:v>17279474.58956892</c:v>
                </c:pt>
                <c:pt idx="1">
                  <c:v>5503542.9337561568</c:v>
                </c:pt>
                <c:pt idx="2">
                  <c:v>1935987.4517115874</c:v>
                </c:pt>
                <c:pt idx="3">
                  <c:v>740179.25991042017</c:v>
                </c:pt>
                <c:pt idx="4">
                  <c:v>303740.57266682596</c:v>
                </c:pt>
                <c:pt idx="5">
                  <c:v>132452.4108433603</c:v>
                </c:pt>
                <c:pt idx="6">
                  <c:v>60880.546419111117</c:v>
                </c:pt>
                <c:pt idx="7">
                  <c:v>29297.852532377037</c:v>
                </c:pt>
                <c:pt idx="8">
                  <c:v>14678.026533473167</c:v>
                </c:pt>
                <c:pt idx="9">
                  <c:v>7618.331112403509</c:v>
                </c:pt>
                <c:pt idx="10">
                  <c:v>4079.093100849605</c:v>
                </c:pt>
                <c:pt idx="11">
                  <c:v>2244.5485988213086</c:v>
                </c:pt>
                <c:pt idx="12">
                  <c:v>1264.8781401854308</c:v>
                </c:pt>
                <c:pt idx="13">
                  <c:v>727.62494695980592</c:v>
                </c:pt>
                <c:pt idx="14">
                  <c:v>425.92533221155145</c:v>
                </c:pt>
                <c:pt idx="15">
                  <c:v>252.89650060804564</c:v>
                </c:pt>
                <c:pt idx="16">
                  <c:v>151.800815243692</c:v>
                </c:pt>
                <c:pt idx="17">
                  <c:v>91.768982753715946</c:v>
                </c:pt>
                <c:pt idx="18">
                  <c:v>55.624573483926596</c:v>
                </c:pt>
                <c:pt idx="19">
                  <c:v>33.612393092294205</c:v>
                </c:pt>
                <c:pt idx="20">
                  <c:v>20.087587743778105</c:v>
                </c:pt>
                <c:pt idx="21">
                  <c:v>11.72772132846746</c:v>
                </c:pt>
                <c:pt idx="22">
                  <c:v>6.5468605168646139</c:v>
                </c:pt>
                <c:pt idx="23">
                  <c:v>3.3412867534612256</c:v>
                </c:pt>
                <c:pt idx="24">
                  <c:v>1.3722377162074351</c:v>
                </c:pt>
                <c:pt idx="25">
                  <c:v>0.1812787863332273</c:v>
                </c:pt>
                <c:pt idx="26">
                  <c:v>-0.51880561964655925</c:v>
                </c:pt>
                <c:pt idx="27">
                  <c:v>-0.90941485447222259</c:v>
                </c:pt>
                <c:pt idx="28">
                  <c:v>-1.1058548445292309</c:v>
                </c:pt>
                <c:pt idx="29">
                  <c:v>-1.181757860174512</c:v>
                </c:pt>
                <c:pt idx="30">
                  <c:v>-1.1842624284155441</c:v>
                </c:pt>
                <c:pt idx="31">
                  <c:v>-1.1435457078074189</c:v>
                </c:pt>
                <c:pt idx="32">
                  <c:v>-1.0788646324848568</c:v>
                </c:pt>
                <c:pt idx="33">
                  <c:v>-1.0024160482457019</c:v>
                </c:pt>
                <c:pt idx="34">
                  <c:v>-0.92182110055833366</c:v>
                </c:pt>
                <c:pt idx="35">
                  <c:v>-0.84173408873727484</c:v>
                </c:pt>
                <c:pt idx="36">
                  <c:v>-0.76488961347585638</c:v>
                </c:pt>
                <c:pt idx="37">
                  <c:v>-0.69278673443456151</c:v>
                </c:pt>
                <c:pt idx="38">
                  <c:v>-0.62613704571354878</c:v>
                </c:pt>
                <c:pt idx="39">
                  <c:v>-0.56515835687984883</c:v>
                </c:pt>
                <c:pt idx="40">
                  <c:v>-0.50976693877017831</c:v>
                </c:pt>
                <c:pt idx="41">
                  <c:v>-0.45970289150419147</c:v>
                </c:pt>
                <c:pt idx="42">
                  <c:v>-0.4146113147608238</c:v>
                </c:pt>
                <c:pt idx="43">
                  <c:v>-0.37409423995212493</c:v>
                </c:pt>
                <c:pt idx="44">
                  <c:v>-0.33774323307541193</c:v>
                </c:pt>
                <c:pt idx="45">
                  <c:v>-0.3051592532471345</c:v>
                </c:pt>
                <c:pt idx="46">
                  <c:v>-0.27596415318943529</c:v>
                </c:pt>
                <c:pt idx="47">
                  <c:v>-0.24980674676550763</c:v>
                </c:pt>
                <c:pt idx="48">
                  <c:v>-0.22636539385578233</c:v>
                </c:pt>
                <c:pt idx="49">
                  <c:v>-0.20534840050944156</c:v>
                </c:pt>
                <c:pt idx="50">
                  <c:v>-0.18649309474656436</c:v>
                </c:pt>
                <c:pt idx="51">
                  <c:v>-0.16956414452132224</c:v>
                </c:pt>
                <c:pt idx="52">
                  <c:v>-0.15435148696764331</c:v>
                </c:pt>
                <c:pt idx="53">
                  <c:v>-0.14066810562486506</c:v>
                </c:pt>
                <c:pt idx="54">
                  <c:v>-0.12834780376035435</c:v>
                </c:pt>
                <c:pt idx="55">
                  <c:v>-0.11724306295525166</c:v>
                </c:pt>
                <c:pt idx="56">
                  <c:v>-0.10722303720092251</c:v>
                </c:pt>
                <c:pt idx="57">
                  <c:v>-9.8171707368747557E-2</c:v>
                </c:pt>
                <c:pt idx="58">
                  <c:v>-8.9986204654518537E-2</c:v>
                </c:pt>
                <c:pt idx="59">
                  <c:v>-8.2575301464024156E-2</c:v>
                </c:pt>
                <c:pt idx="60">
                  <c:v>-7.5858062160467962E-2</c:v>
                </c:pt>
                <c:pt idx="61">
                  <c:v>-6.9762642751857923E-2</c:v>
                </c:pt>
                <c:pt idx="62">
                  <c:v>-6.4225227017222802E-2</c:v>
                </c:pt>
                <c:pt idx="63">
                  <c:v>-5.9189086118170621E-2</c:v>
                </c:pt>
                <c:pt idx="64">
                  <c:v>-5.4603748988424856E-2</c:v>
                </c:pt>
                <c:pt idx="65">
                  <c:v>-5.042427145207086E-2</c:v>
                </c:pt>
                <c:pt idx="66">
                  <c:v>-4.6610592901783411E-2</c:v>
                </c:pt>
                <c:pt idx="67">
                  <c:v>-4.3126970347816845E-2</c:v>
                </c:pt>
                <c:pt idx="68">
                  <c:v>-3.9941480648364142E-2</c:v>
                </c:pt>
                <c:pt idx="69">
                  <c:v>-3.7025582703631016E-2</c:v>
                </c:pt>
                <c:pt idx="70">
                  <c:v>-3.4353732311471076E-2</c:v>
                </c:pt>
                <c:pt idx="71">
                  <c:v>-3.1903043226916034E-2</c:v>
                </c:pt>
                <c:pt idx="72">
                  <c:v>-2.9652988735356024E-2</c:v>
                </c:pt>
                <c:pt idx="73">
                  <c:v>-2.7585138738932091E-2</c:v>
                </c:pt>
                <c:pt idx="74">
                  <c:v>-2.5682927970727264E-2</c:v>
                </c:pt>
                <c:pt idx="75">
                  <c:v>-2.3931451496332849E-2</c:v>
                </c:pt>
                <c:pt idx="76">
                  <c:v>-2.2317284143056084E-2</c:v>
                </c:pt>
                <c:pt idx="77">
                  <c:v>-2.082832091950201E-2</c:v>
                </c:pt>
                <c:pt idx="78">
                  <c:v>-1.9453635858566722E-2</c:v>
                </c:pt>
                <c:pt idx="79">
                  <c:v>-1.8183357040803264E-2</c:v>
                </c:pt>
                <c:pt idx="80">
                  <c:v>-1.70085558380536E-2</c:v>
                </c:pt>
                <c:pt idx="81">
                  <c:v>-1.5921148664110329E-2</c:v>
                </c:pt>
                <c:pt idx="82">
                  <c:v>-1.4913809734418427E-2</c:v>
                </c:pt>
                <c:pt idx="83">
                  <c:v>-1.3979893524425725E-2</c:v>
                </c:pt>
                <c:pt idx="84">
                  <c:v>-1.3113365779658225E-2</c:v>
                </c:pt>
                <c:pt idx="85">
                  <c:v>-1.2308742073037686E-2</c:v>
                </c:pt>
                <c:pt idx="86">
                  <c:v>-1.1561033029098238E-2</c:v>
                </c:pt>
                <c:pt idx="87">
                  <c:v>-1.0865695442979681E-2</c:v>
                </c:pt>
                <c:pt idx="88">
                  <c:v>-1.0218588616456081E-2</c:v>
                </c:pt>
                <c:pt idx="89">
                  <c:v>-9.6159353156118274E-3</c:v>
                </c:pt>
                <c:pt idx="90">
                  <c:v>-9.054286826675367E-3</c:v>
                </c:pt>
                <c:pt idx="91">
                  <c:v>-8.5304916493335811E-3</c:v>
                </c:pt>
                <c:pt idx="92">
                  <c:v>-8.0416674217604466E-3</c:v>
                </c:pt>
                <c:pt idx="93">
                  <c:v>-7.5851757196350291E-3</c:v>
                </c:pt>
                <c:pt idx="94">
                  <c:v>-7.158599413485409E-3</c:v>
                </c:pt>
                <c:pt idx="95">
                  <c:v>-6.759722305552566E-3</c:v>
                </c:pt>
                <c:pt idx="96">
                  <c:v>-6.3865107996920033E-3</c:v>
                </c:pt>
                <c:pt idx="97">
                  <c:v>-6.0370973862024042E-3</c:v>
                </c:pt>
                <c:pt idx="98">
                  <c:v>-5.7097657483956513E-3</c:v>
                </c:pt>
                <c:pt idx="99">
                  <c:v>-5.4029373196386229E-3</c:v>
                </c:pt>
                <c:pt idx="100">
                  <c:v>-5.1151591388846713E-3</c:v>
                </c:pt>
                <c:pt idx="101">
                  <c:v>-4.8450928697029638E-3</c:v>
                </c:pt>
                <c:pt idx="102">
                  <c:v>-4.5915048627928829E-3</c:v>
                </c:pt>
                <c:pt idx="103">
                  <c:v>-4.3532571551897171E-3</c:v>
                </c:pt>
                <c:pt idx="104">
                  <c:v>-4.129299311043627E-3</c:v>
                </c:pt>
                <c:pt idx="105">
                  <c:v>-3.9186610191759702E-3</c:v>
                </c:pt>
                <c:pt idx="106">
                  <c:v>-3.7204453717512081E-3</c:v>
                </c:pt>
                <c:pt idx="107">
                  <c:v>-3.533822756492081E-3</c:v>
                </c:pt>
                <c:pt idx="108">
                  <c:v>-3.3580253020372283E-3</c:v>
                </c:pt>
                <c:pt idx="109">
                  <c:v>-3.1923418224032549E-3</c:v>
                </c:pt>
                <c:pt idx="110">
                  <c:v>-3.0361132121638711E-3</c:v>
                </c:pt>
                <c:pt idx="111">
                  <c:v>-2.8887282489813873E-3</c:v>
                </c:pt>
                <c:pt idx="112">
                  <c:v>-2.7496197645939576E-3</c:v>
                </c:pt>
                <c:pt idx="113">
                  <c:v>-2.6182611493405427E-3</c:v>
                </c:pt>
                <c:pt idx="114">
                  <c:v>-2.4941631588511035E-3</c:v>
                </c:pt>
                <c:pt idx="115">
                  <c:v>-2.3768709946918689E-3</c:v>
                </c:pt>
                <c:pt idx="116">
                  <c:v>-2.2659616335786877E-3</c:v>
                </c:pt>
                <c:pt idx="117">
                  <c:v>-2.1610413822935885E-3</c:v>
                </c:pt>
                <c:pt idx="118">
                  <c:v>-2.0617436376950782E-3</c:v>
                </c:pt>
                <c:pt idx="119">
                  <c:v>-1.9677268332310453E-3</c:v>
                </c:pt>
                <c:pt idx="120">
                  <c:v>-1.8786725551708358E-3</c:v>
                </c:pt>
                <c:pt idx="121">
                  <c:v>-1.7942838133935522E-3</c:v>
                </c:pt>
                <c:pt idx="122">
                  <c:v>-1.7142834530231431E-3</c:v>
                </c:pt>
                <c:pt idx="123">
                  <c:v>-1.6384126945060144E-3</c:v>
                </c:pt>
                <c:pt idx="124">
                  <c:v>-1.566429790899405E-3</c:v>
                </c:pt>
                <c:pt idx="125">
                  <c:v>-1.4981087921931715E-3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Phe!$M$6</c:f>
              <c:strCache>
                <c:ptCount val="1"/>
                <c:pt idx="0">
                  <c:v>Ser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Phe!$M$7:$M$132</c:f>
              <c:numCache>
                <c:formatCode>0.00</c:formatCode>
                <c:ptCount val="126"/>
                <c:pt idx="0">
                  <c:v>9884449.1492890809</c:v>
                </c:pt>
                <c:pt idx="1">
                  <c:v>3147803.2185180369</c:v>
                </c:pt>
                <c:pt idx="2">
                  <c:v>1107078.3715083159</c:v>
                </c:pt>
                <c:pt idx="3">
                  <c:v>423133.09279606782</c:v>
                </c:pt>
                <c:pt idx="4">
                  <c:v>173557.35662942493</c:v>
                </c:pt>
                <c:pt idx="5">
                  <c:v>75633.36410745664</c:v>
                </c:pt>
                <c:pt idx="6">
                  <c:v>34732.007338125455</c:v>
                </c:pt>
                <c:pt idx="7">
                  <c:v>16692.954636938306</c:v>
                </c:pt>
                <c:pt idx="8">
                  <c:v>8348.6063899721794</c:v>
                </c:pt>
                <c:pt idx="9">
                  <c:v>4323.1521232416653</c:v>
                </c:pt>
                <c:pt idx="10">
                  <c:v>2307.6570723669292</c:v>
                </c:pt>
                <c:pt idx="11">
                  <c:v>1264.6858857550387</c:v>
                </c:pt>
                <c:pt idx="12">
                  <c:v>708.93290158243315</c:v>
                </c:pt>
                <c:pt idx="13">
                  <c:v>405.0051642902535</c:v>
                </c:pt>
                <c:pt idx="14">
                  <c:v>234.93816849264334</c:v>
                </c:pt>
                <c:pt idx="15">
                  <c:v>137.84322085449608</c:v>
                </c:pt>
                <c:pt idx="16">
                  <c:v>81.438906892363448</c:v>
                </c:pt>
                <c:pt idx="17">
                  <c:v>48.189302413595428</c:v>
                </c:pt>
                <c:pt idx="18">
                  <c:v>28.355798011525884</c:v>
                </c:pt>
                <c:pt idx="19">
                  <c:v>16.420523893097169</c:v>
                </c:pt>
                <c:pt idx="20">
                  <c:v>9.1997922488503114</c:v>
                </c:pt>
                <c:pt idx="21">
                  <c:v>4.8263615873139027</c:v>
                </c:pt>
                <c:pt idx="22">
                  <c:v>2.1889079413257102</c:v>
                </c:pt>
                <c:pt idx="23">
                  <c:v>0.61735030866345331</c:v>
                </c:pt>
                <c:pt idx="24">
                  <c:v>-0.29694734539588069</c:v>
                </c:pt>
                <c:pt idx="25">
                  <c:v>-0.80559345378207903</c:v>
                </c:pt>
                <c:pt idx="26">
                  <c:v>-1.0647245520763011</c:v>
                </c:pt>
                <c:pt idx="27">
                  <c:v>-1.1717965348925905</c:v>
                </c:pt>
                <c:pt idx="28">
                  <c:v>-1.1878534788814767</c:v>
                </c:pt>
                <c:pt idx="29">
                  <c:v>-1.1511620715061874</c:v>
                </c:pt>
                <c:pt idx="30">
                  <c:v>-1.0856465463358069</c:v>
                </c:pt>
                <c:pt idx="31">
                  <c:v>-1.0061555051908646</c:v>
                </c:pt>
                <c:pt idx="32">
                  <c:v>-0.92177737711733232</c:v>
                </c:pt>
                <c:pt idx="33">
                  <c:v>-0.83794201740647356</c:v>
                </c:pt>
                <c:pt idx="34">
                  <c:v>-0.75776042150540979</c:v>
                </c:pt>
                <c:pt idx="35">
                  <c:v>-0.68288238725237649</c:v>
                </c:pt>
                <c:pt idx="36">
                  <c:v>-0.61404701949115359</c:v>
                </c:pt>
                <c:pt idx="37">
                  <c:v>-0.55143633233348233</c:v>
                </c:pt>
                <c:pt idx="38">
                  <c:v>-0.49490200263564649</c:v>
                </c:pt>
                <c:pt idx="39">
                  <c:v>-0.44411009956328018</c:v>
                </c:pt>
                <c:pt idx="40">
                  <c:v>-0.39863265078270865</c:v>
                </c:pt>
                <c:pt idx="41">
                  <c:v>-0.35800472645552534</c:v>
                </c:pt>
                <c:pt idx="42">
                  <c:v>-0.32175918626341193</c:v>
                </c:pt>
                <c:pt idx="43">
                  <c:v>-0.28944701176876247</c:v>
                </c:pt>
                <c:pt idx="44">
                  <c:v>-0.26064840283075807</c:v>
                </c:pt>
                <c:pt idx="45">
                  <c:v>-0.23497802581322511</c:v>
                </c:pt>
                <c:pt idx="46">
                  <c:v>-0.21208662758437075</c:v>
                </c:pt>
                <c:pt idx="47">
                  <c:v>-0.1916604577733631</c:v>
                </c:pt>
                <c:pt idx="48">
                  <c:v>-0.17341943359655759</c:v>
                </c:pt>
                <c:pt idx="49">
                  <c:v>-0.15711464663395724</c:v>
                </c:pt>
                <c:pt idx="50">
                  <c:v>-0.14252559033294432</c:v>
                </c:pt>
                <c:pt idx="51">
                  <c:v>-0.12945734207982265</c:v>
                </c:pt>
                <c:pt idx="52">
                  <c:v>-0.11773783891447331</c:v>
                </c:pt>
                <c:pt idx="53">
                  <c:v>-0.10721532449001447</c:v>
                </c:pt>
                <c:pt idx="54">
                  <c:v>-9.7756005486337685E-2</c:v>
                </c:pt>
                <c:pt idx="55">
                  <c:v>-8.9241930908101924E-2</c:v>
                </c:pt>
                <c:pt idx="56">
                  <c:v>-8.1569092554205025E-2</c:v>
                </c:pt>
                <c:pt idx="57">
                  <c:v>-7.4645736112418468E-2</c:v>
                </c:pt>
                <c:pt idx="58">
                  <c:v>-6.8390867591038407E-2</c:v>
                </c:pt>
                <c:pt idx="59">
                  <c:v>-6.2732937670826411E-2</c:v>
                </c:pt>
                <c:pt idx="60">
                  <c:v>-5.7608686063517198E-2</c:v>
                </c:pt>
                <c:pt idx="61">
                  <c:v>-5.2962128449407571E-2</c:v>
                </c:pt>
                <c:pt idx="62">
                  <c:v>-4.8743669611395236E-2</c:v>
                </c:pt>
                <c:pt idx="63">
                  <c:v>-4.4909327711585824E-2</c:v>
                </c:pt>
                <c:pt idx="64">
                  <c:v>-4.1420056094761695E-2</c:v>
                </c:pt>
                <c:pt idx="65">
                  <c:v>-3.8241150442789515E-2</c:v>
                </c:pt>
                <c:pt idx="66">
                  <c:v>-3.5341730481676513E-2</c:v>
                </c:pt>
                <c:pt idx="67">
                  <c:v>-3.2694286723527255E-2</c:v>
                </c:pt>
                <c:pt idx="68">
                  <c:v>-3.02742838927051E-2</c:v>
                </c:pt>
                <c:pt idx="69">
                  <c:v>-2.805981373438295E-2</c:v>
                </c:pt>
                <c:pt idx="70">
                  <c:v>-2.6031290836806879E-2</c:v>
                </c:pt>
                <c:pt idx="71">
                  <c:v>-2.417118592254084E-2</c:v>
                </c:pt>
                <c:pt idx="72">
                  <c:v>-2.2463791787405051E-2</c:v>
                </c:pt>
                <c:pt idx="73">
                  <c:v>-2.0895017698338195E-2</c:v>
                </c:pt>
                <c:pt idx="74">
                  <c:v>-1.9452208612682945E-2</c:v>
                </c:pt>
                <c:pt idx="75">
                  <c:v>-1.8123986060720777E-2</c:v>
                </c:pt>
                <c:pt idx="76">
                  <c:v>-1.6900107949342068E-2</c:v>
                </c:pt>
                <c:pt idx="77">
                  <c:v>-1.5771344905442679E-2</c:v>
                </c:pt>
                <c:pt idx="78">
                  <c:v>-1.4729371090106781E-2</c:v>
                </c:pt>
                <c:pt idx="79">
                  <c:v>-1.3766667685186749E-2</c:v>
                </c:pt>
                <c:pt idx="80">
                  <c:v>-1.2876437488101999E-2</c:v>
                </c:pt>
                <c:pt idx="81">
                  <c:v>-1.2052529253433775E-2</c:v>
                </c:pt>
                <c:pt idx="82">
                  <c:v>-1.1289370595449322E-2</c:v>
                </c:pt>
                <c:pt idx="83">
                  <c:v>-1.0581908417750106E-2</c:v>
                </c:pt>
                <c:pt idx="84">
                  <c:v>-9.9255559680087851E-3</c:v>
                </c:pt>
                <c:pt idx="85">
                  <c:v>-9.3161457300124702E-3</c:v>
                </c:pt>
                <c:pt idx="86">
                  <c:v>-8.7498874643590699E-3</c:v>
                </c:pt>
                <c:pt idx="87">
                  <c:v>-8.2233307952227774E-3</c:v>
                </c:pt>
                <c:pt idx="88">
                  <c:v>-7.7333318153943878E-3</c:v>
                </c:pt>
                <c:pt idx="89">
                  <c:v>-7.2770232468438497E-3</c:v>
                </c:pt>
                <c:pt idx="90">
                  <c:v>-6.8517877506659086E-3</c:v>
                </c:pt>
                <c:pt idx="91">
                  <c:v>-6.4552340295927491E-3</c:v>
                </c:pt>
                <c:pt idx="92">
                  <c:v>-6.0851754092673994E-3</c:v>
                </c:pt>
                <c:pt idx="93">
                  <c:v>-5.7396106220135718E-3</c:v>
                </c:pt>
                <c:pt idx="94">
                  <c:v>-5.41670654963744E-3</c:v>
                </c:pt>
                <c:pt idx="95">
                  <c:v>-5.1147827104821323E-3</c:v>
                </c:pt>
                <c:pt idx="96">
                  <c:v>-4.832297301067298E-3</c:v>
                </c:pt>
                <c:pt idx="97">
                  <c:v>-4.5678346246509332E-3</c:v>
                </c:pt>
                <c:pt idx="98">
                  <c:v>-4.3200937583524664E-3</c:v>
                </c:pt>
                <c:pt idx="99">
                  <c:v>-4.0878783274239964E-3</c:v>
                </c:pt>
                <c:pt idx="100">
                  <c:v>-3.8700872701519155E-3</c:v>
                </c:pt>
                <c:pt idx="101">
                  <c:v>-3.6657064899764517E-3</c:v>
                </c:pt>
                <c:pt idx="102">
                  <c:v>-3.473801302957566E-3</c:v>
                </c:pt>
                <c:pt idx="103">
                  <c:v>-3.2935095988896159E-3</c:v>
                </c:pt>
                <c:pt idx="104">
                  <c:v>-3.1240356433446968E-3</c:v>
                </c:pt>
                <c:pt idx="105">
                  <c:v>-2.964644455853939E-3</c:v>
                </c:pt>
                <c:pt idx="106">
                  <c:v>-2.8146567064467505E-3</c:v>
                </c:pt>
                <c:pt idx="107">
                  <c:v>-2.673444078972079E-3</c:v>
                </c:pt>
                <c:pt idx="108">
                  <c:v>-2.5404250551215551E-3</c:v>
                </c:pt>
                <c:pt idx="109">
                  <c:v>-2.4150610779471705E-3</c:v>
                </c:pt>
                <c:pt idx="110">
                  <c:v>-2.2968530579906411E-3</c:v>
                </c:pt>
                <c:pt idx="111">
                  <c:v>-2.1853381889831492E-3</c:v>
                </c:pt>
                <c:pt idx="112">
                  <c:v>-2.0800870434896129E-3</c:v>
                </c:pt>
                <c:pt idx="113">
                  <c:v>-1.9807009219112263E-3</c:v>
                </c:pt>
                <c:pt idx="114">
                  <c:v>-1.8868094309674184E-3</c:v>
                </c:pt>
                <c:pt idx="115">
                  <c:v>-1.7980682701919935E-3</c:v>
                </c:pt>
                <c:pt idx="116">
                  <c:v>-1.7141572071320103E-3</c:v>
                </c:pt>
                <c:pt idx="117">
                  <c:v>-1.6347782238612591E-3</c:v>
                </c:pt>
                <c:pt idx="118">
                  <c:v>-1.5596538191394442E-3</c:v>
                </c:pt>
                <c:pt idx="119">
                  <c:v>-1.488525452086123E-3</c:v>
                </c:pt>
                <c:pt idx="120">
                  <c:v>-1.42115211461541E-3</c:v>
                </c:pt>
                <c:pt idx="121">
                  <c:v>-1.3573090211113966E-3</c:v>
                </c:pt>
                <c:pt idx="122">
                  <c:v>-1.2967864049307112E-3</c:v>
                </c:pt>
                <c:pt idx="123">
                  <c:v>-1.2393884123118397E-3</c:v>
                </c:pt>
                <c:pt idx="124">
                  <c:v>-1.1849320851628929E-3</c:v>
                </c:pt>
                <c:pt idx="125">
                  <c:v>-1.1332464250014304E-3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Phe!$N$6</c:f>
              <c:strCache>
                <c:ptCount val="1"/>
                <c:pt idx="0">
                  <c:v>Gln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Phe!$N$7:$N$132</c:f>
              <c:numCache>
                <c:formatCode>0.00</c:formatCode>
                <c:ptCount val="126"/>
                <c:pt idx="0">
                  <c:v>5973620.3782839356</c:v>
                </c:pt>
                <c:pt idx="1">
                  <c:v>1902068.0280828257</c:v>
                </c:pt>
                <c:pt idx="2">
                  <c:v>668793.0036994624</c:v>
                </c:pt>
                <c:pt idx="3">
                  <c:v>255523.36946166924</c:v>
                </c:pt>
                <c:pt idx="4">
                  <c:v>104751.75415998661</c:v>
                </c:pt>
                <c:pt idx="5">
                  <c:v>45613.531956615487</c:v>
                </c:pt>
                <c:pt idx="6">
                  <c:v>20923.538377459725</c:v>
                </c:pt>
                <c:pt idx="7">
                  <c:v>10041.13175735002</c:v>
                </c:pt>
                <c:pt idx="8">
                  <c:v>5011.5407285608353</c:v>
                </c:pt>
                <c:pt idx="9">
                  <c:v>2587.9624740726154</c:v>
                </c:pt>
                <c:pt idx="10">
                  <c:v>1376.349985380017</c:v>
                </c:pt>
                <c:pt idx="11">
                  <c:v>750.61740760811892</c:v>
                </c:pt>
                <c:pt idx="12">
                  <c:v>418.05505659360676</c:v>
                </c:pt>
                <c:pt idx="13">
                  <c:v>236.79242046377001</c:v>
                </c:pt>
                <c:pt idx="14">
                  <c:v>135.80001514072029</c:v>
                </c:pt>
                <c:pt idx="15">
                  <c:v>78.458982808375097</c:v>
                </c:pt>
                <c:pt idx="16">
                  <c:v>45.384116954893521</c:v>
                </c:pt>
                <c:pt idx="17">
                  <c:v>26.064582025690317</c:v>
                </c:pt>
                <c:pt idx="18">
                  <c:v>14.676617728342698</c:v>
                </c:pt>
                <c:pt idx="19">
                  <c:v>7.9298734254812171</c:v>
                </c:pt>
                <c:pt idx="20">
                  <c:v>3.9325231326289685</c:v>
                </c:pt>
                <c:pt idx="21">
                  <c:v>1.5797655339350072</c:v>
                </c:pt>
                <c:pt idx="22">
                  <c:v>0.21752035064194039</c:v>
                </c:pt>
                <c:pt idx="23">
                  <c:v>-0.5460410552310635</c:v>
                </c:pt>
                <c:pt idx="24">
                  <c:v>-0.94795907662271084</c:v>
                </c:pt>
                <c:pt idx="25">
                  <c:v>-1.1327401456043302</c:v>
                </c:pt>
                <c:pt idx="26">
                  <c:v>-1.1889480575233358</c:v>
                </c:pt>
                <c:pt idx="27">
                  <c:v>-1.1709972181923725</c:v>
                </c:pt>
                <c:pt idx="28">
                  <c:v>-1.1122882357227575</c:v>
                </c:pt>
                <c:pt idx="29">
                  <c:v>-1.0332102135609067</c:v>
                </c:pt>
                <c:pt idx="30">
                  <c:v>-0.94606185570931955</c:v>
                </c:pt>
                <c:pt idx="31">
                  <c:v>-0.85810231191379172</c:v>
                </c:pt>
                <c:pt idx="32">
                  <c:v>-0.77345521553837626</c:v>
                </c:pt>
                <c:pt idx="33">
                  <c:v>-0.69430310475591539</c:v>
                </c:pt>
                <c:pt idx="34">
                  <c:v>-0.62163922368400915</c:v>
                </c:pt>
                <c:pt idx="35">
                  <c:v>-0.55574134010666509</c:v>
                </c:pt>
                <c:pt idx="36">
                  <c:v>-0.4964699903988799</c:v>
                </c:pt>
                <c:pt idx="37">
                  <c:v>-0.44345535642987721</c:v>
                </c:pt>
                <c:pt idx="38">
                  <c:v>-0.39621330533624777</c:v>
                </c:pt>
                <c:pt idx="39">
                  <c:v>-0.35421632995109259</c:v>
                </c:pt>
                <c:pt idx="40">
                  <c:v>-0.31693581306768526</c:v>
                </c:pt>
                <c:pt idx="41">
                  <c:v>-0.28386613340883049</c:v>
                </c:pt>
                <c:pt idx="42">
                  <c:v>-0.25453736469006422</c:v>
                </c:pt>
                <c:pt idx="43">
                  <c:v>-0.22852090445222364</c:v>
                </c:pt>
                <c:pt idx="44">
                  <c:v>-0.20543081474065586</c:v>
                </c:pt>
                <c:pt idx="45">
                  <c:v>-0.18492265270566705</c:v>
                </c:pt>
                <c:pt idx="46">
                  <c:v>-0.16669091953308485</c:v>
                </c:pt>
                <c:pt idx="47">
                  <c:v>-0.15046583551827769</c:v>
                </c:pt>
                <c:pt idx="48">
                  <c:v>-0.13600987713621568</c:v>
                </c:pt>
                <c:pt idx="49">
                  <c:v>-0.12311433670688533</c:v>
                </c:pt>
                <c:pt idx="50">
                  <c:v>-0.11159605302764504</c:v>
                </c:pt>
                <c:pt idx="51">
                  <c:v>-0.10129439020633509</c:v>
                </c:pt>
                <c:pt idx="52">
                  <c:v>-9.2068497548840902E-2</c:v>
                </c:pt>
                <c:pt idx="53">
                  <c:v>-8.3794856345226709E-2</c:v>
                </c:pt>
                <c:pt idx="54">
                  <c:v>-7.6365103602559103E-2</c:v>
                </c:pt>
                <c:pt idx="55">
                  <c:v>-6.9684114150669635E-2</c:v>
                </c:pt>
                <c:pt idx="56">
                  <c:v>-6.366831845203326E-2</c:v>
                </c:pt>
                <c:pt idx="57">
                  <c:v>-5.8244232148638664E-2</c:v>
                </c:pt>
                <c:pt idx="58">
                  <c:v>-5.3347173752214427E-2</c:v>
                </c:pt>
                <c:pt idx="59">
                  <c:v>-4.8920148203790516E-2</c:v>
                </c:pt>
                <c:pt idx="60">
                  <c:v>-4.4912875831805324E-2</c:v>
                </c:pt>
                <c:pt idx="61">
                  <c:v>-4.1280948235349689E-2</c:v>
                </c:pt>
                <c:pt idx="62">
                  <c:v>-3.7985094634467739E-2</c:v>
                </c:pt>
                <c:pt idx="63">
                  <c:v>-3.4990544160088594E-2</c:v>
                </c:pt>
                <c:pt idx="64">
                  <c:v>-3.2266471346869254E-2</c:v>
                </c:pt>
                <c:pt idx="65">
                  <c:v>-2.9785513717655379E-2</c:v>
                </c:pt>
                <c:pt idx="66">
                  <c:v>-2.7523351801602505E-2</c:v>
                </c:pt>
                <c:pt idx="67">
                  <c:v>-2.545834321347764E-2</c:v>
                </c:pt>
                <c:pt idx="68">
                  <c:v>-2.3571203549687912E-2</c:v>
                </c:pt>
                <c:pt idx="69">
                  <c:v>-2.1844727840660643E-2</c:v>
                </c:pt>
                <c:pt idx="70">
                  <c:v>-2.0263547153971887E-2</c:v>
                </c:pt>
                <c:pt idx="71">
                  <c:v>-1.8813915682690838E-2</c:v>
                </c:pt>
                <c:pt idx="72">
                  <c:v>-1.7483524292670197E-2</c:v>
                </c:pt>
                <c:pt idx="73">
                  <c:v>-1.6261337053771897E-2</c:v>
                </c:pt>
                <c:pt idx="74">
                  <c:v>-1.5137447754851457E-2</c:v>
                </c:pt>
                <c:pt idx="75">
                  <c:v>-1.4102953811031721E-2</c:v>
                </c:pt>
                <c:pt idx="76">
                  <c:v>-1.3149845323459497E-2</c:v>
                </c:pt>
                <c:pt idx="77">
                  <c:v>-1.2270907354284427E-2</c:v>
                </c:pt>
                <c:pt idx="78">
                  <c:v>-1.1459633739925758E-2</c:v>
                </c:pt>
                <c:pt idx="79">
                  <c:v>-1.0710150989757562E-2</c:v>
                </c:pt>
                <c:pt idx="80">
                  <c:v>-1.0017151010288401E-2</c:v>
                </c:pt>
                <c:pt idx="81">
                  <c:v>-9.3758315611561505E-3</c:v>
                </c:pt>
                <c:pt idx="82">
                  <c:v>-8.7818434925961437E-3</c:v>
                </c:pt>
                <c:pt idx="83">
                  <c:v>-8.2312439377234693E-3</c:v>
                </c:pt>
                <c:pt idx="84">
                  <c:v>-7.7204547397826239E-3</c:v>
                </c:pt>
                <c:pt idx="85">
                  <c:v>-7.2462254868438962E-3</c:v>
                </c:pt>
                <c:pt idx="86">
                  <c:v>-6.8056006063061556E-3</c:v>
                </c:pt>
                <c:pt idx="87">
                  <c:v>-6.3958900407452175E-3</c:v>
                </c:pt>
                <c:pt idx="88">
                  <c:v>-6.0146430866201608E-3</c:v>
                </c:pt>
                <c:pt idx="89">
                  <c:v>-5.6596250293957529E-3</c:v>
                </c:pt>
                <c:pt idx="90">
                  <c:v>-5.3287962538526371E-3</c:v>
                </c:pt>
                <c:pt idx="91">
                  <c:v>-5.0202935476776284E-3</c:v>
                </c:pt>
                <c:pt idx="92">
                  <c:v>-4.7324133506581687E-3</c:v>
                </c:pt>
                <c:pt idx="93">
                  <c:v>-4.4635967316396475E-3</c:v>
                </c:pt>
                <c:pt idx="94">
                  <c:v>-4.2124159014341762E-3</c:v>
                </c:pt>
                <c:pt idx="95">
                  <c:v>-3.9775620926046865E-3</c:v>
                </c:pt>
                <c:pt idx="96">
                  <c:v>-3.757834656927664E-3</c:v>
                </c:pt>
                <c:pt idx="97">
                  <c:v>-3.5521312487384322E-3</c:v>
                </c:pt>
                <c:pt idx="98">
                  <c:v>-3.3594389776108501E-3</c:v>
                </c:pt>
                <c:pt idx="99">
                  <c:v>-3.1788264271986923E-3</c:v>
                </c:pt>
                <c:pt idx="100">
                  <c:v>-3.0094364488115408E-3</c:v>
                </c:pt>
                <c:pt idx="101">
                  <c:v>-2.8504796486233728E-3</c:v>
                </c:pt>
                <c:pt idx="102">
                  <c:v>-2.7012284964980145E-3</c:v>
                </c:pt>
                <c:pt idx="103">
                  <c:v>-2.5610119924198687E-3</c:v>
                </c:pt>
                <c:pt idx="104">
                  <c:v>-2.4292108335764191E-3</c:v>
                </c:pt>
                <c:pt idx="105">
                  <c:v>-2.3052530313693569E-3</c:v>
                </c:pt>
                <c:pt idx="106">
                  <c:v>-2.1886099331365145E-3</c:v>
                </c:pt>
                <c:pt idx="107">
                  <c:v>-2.0787926082360074E-3</c:v>
                </c:pt>
                <c:pt idx="108">
                  <c:v>-1.9753485624552074E-3</c:v>
                </c:pt>
                <c:pt idx="109">
                  <c:v>-1.8778587485278307E-3</c:v>
                </c:pt>
                <c:pt idx="110">
                  <c:v>-1.785934843931703E-3</c:v>
                </c:pt>
                <c:pt idx="111">
                  <c:v>-1.699216770149221E-3</c:v>
                </c:pt>
                <c:pt idx="112">
                  <c:v>-1.617370430247241E-3</c:v>
                </c:pt>
                <c:pt idx="113">
                  <c:v>-1.5400856440125387E-3</c:v>
                </c:pt>
                <c:pt idx="114">
                  <c:v>-1.4670742619976548E-3</c:v>
                </c:pt>
                <c:pt idx="115">
                  <c:v>-1.3980684417201268E-3</c:v>
                </c:pt>
                <c:pt idx="116">
                  <c:v>-1.3328190709424412E-3</c:v>
                </c:pt>
                <c:pt idx="117">
                  <c:v>-1.2710943244637978E-3</c:v>
                </c:pt>
                <c:pt idx="118">
                  <c:v>-1.2126783421985163E-3</c:v>
                </c:pt>
                <c:pt idx="119">
                  <c:v>-1.1573700175177295E-3</c:v>
                </c:pt>
                <c:pt idx="120">
                  <c:v>-1.1049818859067127E-3</c:v>
                </c:pt>
                <c:pt idx="121">
                  <c:v>-1.0553391049539797E-3</c:v>
                </c:pt>
                <c:pt idx="122">
                  <c:v>-1.0082785175522893E-3</c:v>
                </c:pt>
                <c:pt idx="123">
                  <c:v>-9.6364779096713737E-4</c:v>
                </c:pt>
                <c:pt idx="124">
                  <c:v>-9.2130462512462661E-4</c:v>
                </c:pt>
                <c:pt idx="125">
                  <c:v>-8.8111602409644721E-4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Phe!$O$6</c:f>
              <c:strCache>
                <c:ptCount val="1"/>
                <c:pt idx="0">
                  <c:v>Asn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Phe!$O$7:$O$132</c:f>
              <c:numCache>
                <c:formatCode>0.00</c:formatCode>
                <c:ptCount val="126"/>
                <c:pt idx="0">
                  <c:v>5305678.078968592</c:v>
                </c:pt>
                <c:pt idx="1">
                  <c:v>1689316.4902319128</c:v>
                </c:pt>
                <c:pt idx="2">
                  <c:v>593947.20173557766</c:v>
                </c:pt>
                <c:pt idx="3">
                  <c:v>226904.38075201915</c:v>
                </c:pt>
                <c:pt idx="4">
                  <c:v>93005.554483261483</c:v>
                </c:pt>
                <c:pt idx="5">
                  <c:v>40490.051484550975</c:v>
                </c:pt>
                <c:pt idx="6">
                  <c:v>18567.736143626527</c:v>
                </c:pt>
                <c:pt idx="7">
                  <c:v>8906.8803885862199</c:v>
                </c:pt>
                <c:pt idx="8">
                  <c:v>4442.91077073616</c:v>
                </c:pt>
                <c:pt idx="9">
                  <c:v>2292.5647396157992</c:v>
                </c:pt>
                <c:pt idx="10">
                  <c:v>1217.9993910957041</c:v>
                </c:pt>
                <c:pt idx="11">
                  <c:v>663.35016555681966</c:v>
                </c:pt>
                <c:pt idx="12">
                  <c:v>368.77878917798978</c:v>
                </c:pt>
                <c:pt idx="13">
                  <c:v>208.37264688959434</c:v>
                </c:pt>
                <c:pt idx="14">
                  <c:v>119.10825339745585</c:v>
                </c:pt>
                <c:pt idx="15">
                  <c:v>68.504914890054607</c:v>
                </c:pt>
                <c:pt idx="16">
                  <c:v>39.375191121707907</c:v>
                </c:pt>
                <c:pt idx="17">
                  <c:v>22.404704489869172</c:v>
                </c:pt>
                <c:pt idx="18">
                  <c:v>12.435924682232345</c:v>
                </c:pt>
                <c:pt idx="19">
                  <c:v>6.5572221370134933</c:v>
                </c:pt>
                <c:pt idx="20">
                  <c:v>3.0961595432661593</c:v>
                </c:pt>
                <c:pt idx="21">
                  <c:v>1.0772355666345554</c:v>
                </c:pt>
                <c:pt idx="22">
                  <c:v>-7.6217884313636464E-2</c:v>
                </c:pt>
                <c:pt idx="23">
                  <c:v>-0.70901627061243866</c:v>
                </c:pt>
                <c:pt idx="24">
                  <c:v>-1.0292780840122073</c:v>
                </c:pt>
                <c:pt idx="25">
                  <c:v>-1.1635110021237838</c:v>
                </c:pt>
                <c:pt idx="26">
                  <c:v>-1.1889631627589539</c:v>
                </c:pt>
                <c:pt idx="27">
                  <c:v>-1.1528720105940695</c:v>
                </c:pt>
                <c:pt idx="28">
                  <c:v>-1.0840525300632833</c:v>
                </c:pt>
                <c:pt idx="29">
                  <c:v>-0.99994684403185097</c:v>
                </c:pt>
                <c:pt idx="30">
                  <c:v>-0.91095204166588328</c:v>
                </c:pt>
                <c:pt idx="31">
                  <c:v>-0.82309768584372389</c:v>
                </c:pt>
                <c:pt idx="32">
                  <c:v>-0.73971266300780092</c:v>
                </c:pt>
                <c:pt idx="33">
                  <c:v>-0.6624676057772626</c:v>
                </c:pt>
                <c:pt idx="34">
                  <c:v>-0.59202853108014841</c:v>
                </c:pt>
                <c:pt idx="35">
                  <c:v>-0.52846682973559644</c:v>
                </c:pt>
                <c:pt idx="36">
                  <c:v>-0.47151576614571428</c:v>
                </c:pt>
                <c:pt idx="37">
                  <c:v>-0.42072992211819621</c:v>
                </c:pt>
                <c:pt idx="38">
                  <c:v>-0.37558314362396467</c:v>
                </c:pt>
                <c:pt idx="39">
                  <c:v>-0.33552752087917931</c:v>
                </c:pt>
                <c:pt idx="40">
                  <c:v>-0.30002774030375784</c:v>
                </c:pt>
                <c:pt idx="41">
                  <c:v>-0.26857996199756828</c:v>
                </c:pt>
                <c:pt idx="42">
                  <c:v>-0.24072107576642704</c:v>
                </c:pt>
                <c:pt idx="43">
                  <c:v>-0.21603207750695846</c:v>
                </c:pt>
                <c:pt idx="44">
                  <c:v>-0.19413795221015342</c:v>
                </c:pt>
                <c:pt idx="45">
                  <c:v>-0.17470557720562485</c:v>
                </c:pt>
                <c:pt idx="46">
                  <c:v>-0.15744059679098102</c:v>
                </c:pt>
                <c:pt idx="47">
                  <c:v>-0.14208385695788084</c:v>
                </c:pt>
                <c:pt idx="48">
                  <c:v>-0.12840775593968978</c:v>
                </c:pt>
                <c:pt idx="49">
                  <c:v>-0.11621271726875552</c:v>
                </c:pt>
                <c:pt idx="50">
                  <c:v>-0.10532389749360563</c:v>
                </c:pt>
                <c:pt idx="51">
                  <c:v>-9.558818153339671E-2</c:v>
                </c:pt>
                <c:pt idx="52">
                  <c:v>-8.6871482371229033E-2</c:v>
                </c:pt>
                <c:pt idx="53">
                  <c:v>-7.905634027036651E-2</c:v>
                </c:pt>
                <c:pt idx="54">
                  <c:v>-7.2039804620251682E-2</c:v>
                </c:pt>
                <c:pt idx="55">
                  <c:v>-6.5731575409823204E-2</c:v>
                </c:pt>
                <c:pt idx="56">
                  <c:v>-6.0052378921033468E-2</c:v>
                </c:pt>
                <c:pt idx="57">
                  <c:v>-5.4932552067066355E-2</c:v>
                </c:pt>
                <c:pt idx="58">
                  <c:v>-5.0310810921009079E-2</c:v>
                </c:pt>
                <c:pt idx="59">
                  <c:v>-4.6133180787985124E-2</c:v>
                </c:pt>
                <c:pt idx="60">
                  <c:v>-4.2352067288090656E-2</c:v>
                </c:pt>
                <c:pt idx="61">
                  <c:v>-3.8925450106739007E-2</c:v>
                </c:pt>
                <c:pt idx="62">
                  <c:v>-3.5816183196309692E-2</c:v>
                </c:pt>
                <c:pt idx="63">
                  <c:v>-3.299138720262617E-2</c:v>
                </c:pt>
                <c:pt idx="64">
                  <c:v>-3.0421921704884829E-2</c:v>
                </c:pt>
                <c:pt idx="65">
                  <c:v>-2.8081926485434297E-2</c:v>
                </c:pt>
                <c:pt idx="66">
                  <c:v>-2.5948422487941963E-2</c:v>
                </c:pt>
                <c:pt idx="67">
                  <c:v>-2.4000964388921804E-2</c:v>
                </c:pt>
                <c:pt idx="68">
                  <c:v>-2.222133781252774E-2</c:v>
                </c:pt>
                <c:pt idx="69">
                  <c:v>-2.0593295177917158E-2</c:v>
                </c:pt>
                <c:pt idx="70">
                  <c:v>-1.9102324998572531E-2</c:v>
                </c:pt>
                <c:pt idx="71">
                  <c:v>-1.7735450169304383E-2</c:v>
                </c:pt>
                <c:pt idx="72">
                  <c:v>-1.6481051393690129E-2</c:v>
                </c:pt>
                <c:pt idx="73">
                  <c:v>-1.5328712435516595E-2</c:v>
                </c:pt>
                <c:pt idx="74">
                  <c:v>-1.4269084334065579E-2</c:v>
                </c:pt>
                <c:pt idx="75">
                  <c:v>-1.3293766115102997E-2</c:v>
                </c:pt>
                <c:pt idx="76">
                  <c:v>-1.2395199866200078E-2</c:v>
                </c:pt>
                <c:pt idx="77">
                  <c:v>-1.1566578334341937E-2</c:v>
                </c:pt>
                <c:pt idx="78">
                  <c:v>-1.0801763452420884E-2</c:v>
                </c:pt>
                <c:pt idx="79">
                  <c:v>-1.0095214414983504E-2</c:v>
                </c:pt>
                <c:pt idx="80">
                  <c:v>-9.4419241075002543E-3</c:v>
                </c:pt>
                <c:pt idx="81">
                  <c:v>-8.8373628517366062E-3</c:v>
                </c:pt>
                <c:pt idx="82">
                  <c:v>-8.2774285661917791E-3</c:v>
                </c:pt>
                <c:pt idx="83">
                  <c:v>-7.7584025581716948E-3</c:v>
                </c:pt>
                <c:pt idx="84">
                  <c:v>-7.2769102655560721E-3</c:v>
                </c:pt>
                <c:pt idx="85">
                  <c:v>-6.82988635399629E-3</c:v>
                </c:pt>
                <c:pt idx="86">
                  <c:v>-6.4145436510969472E-3</c:v>
                </c:pt>
                <c:pt idx="87">
                  <c:v>-6.0283454647618515E-3</c:v>
                </c:pt>
                <c:pt idx="88">
                  <c:v>-5.6689808897535561E-3</c:v>
                </c:pt>
                <c:pt idx="89">
                  <c:v>-5.3343427558466966E-3</c:v>
                </c:pt>
                <c:pt idx="90">
                  <c:v>-5.0225079137942779E-3</c:v>
                </c:pt>
                <c:pt idx="91">
                  <c:v>-4.7317195925686804E-3</c:v>
                </c:pt>
                <c:pt idx="92">
                  <c:v>-4.4603715937514901E-3</c:v>
                </c:pt>
                <c:pt idx="93">
                  <c:v>-4.2069941171866878E-3</c:v>
                </c:pt>
                <c:pt idx="94">
                  <c:v>-3.9702410366441515E-3</c:v>
                </c:pt>
                <c:pt idx="95">
                  <c:v>-3.7488784657496738E-3</c:v>
                </c:pt>
                <c:pt idx="96">
                  <c:v>-3.5417744732405775E-3</c:v>
                </c:pt>
                <c:pt idx="97">
                  <c:v>-3.3478898230610088E-3</c:v>
                </c:pt>
                <c:pt idx="98">
                  <c:v>-3.1662696292270951E-3</c:v>
                </c:pt>
                <c:pt idx="99">
                  <c:v>-2.9960358280358137E-3</c:v>
                </c:pt>
                <c:pt idx="100">
                  <c:v>-2.8363803812922581E-3</c:v>
                </c:pt>
                <c:pt idx="101">
                  <c:v>-2.6865591339871177E-3</c:v>
                </c:pt>
                <c:pt idx="102">
                  <c:v>-2.5458862584408315E-3</c:v>
                </c:pt>
                <c:pt idx="103">
                  <c:v>-2.4137292244923959E-3</c:v>
                </c:pt>
                <c:pt idx="104">
                  <c:v>-2.2895042419776197E-3</c:v>
                </c:pt>
                <c:pt idx="105">
                  <c:v>-2.1726721276259459E-3</c:v>
                </c:pt>
                <c:pt idx="106">
                  <c:v>-2.0627345537037774E-3</c:v>
                </c:pt>
                <c:pt idx="107">
                  <c:v>-1.9592306403300526E-3</c:v>
                </c:pt>
                <c:pt idx="108">
                  <c:v>-1.8617338574602083E-3</c:v>
                </c:pt>
                <c:pt idx="109">
                  <c:v>-1.7698492061415888E-3</c:v>
                </c:pt>
                <c:pt idx="110">
                  <c:v>-1.6832106518427489E-3</c:v>
                </c:pt>
                <c:pt idx="111">
                  <c:v>-1.60147878549975E-3</c:v>
                </c:pt>
                <c:pt idx="112">
                  <c:v>-1.5243386904469636E-3</c:v>
                </c:pt>
                <c:pt idx="113">
                  <c:v>-1.4514979956454952E-3</c:v>
                </c:pt>
                <c:pt idx="114">
                  <c:v>-1.382685097621717E-3</c:v>
                </c:pt>
                <c:pt idx="115">
                  <c:v>-1.3176475353101238E-3</c:v>
                </c:pt>
                <c:pt idx="116">
                  <c:v>-1.2561505035840401E-3</c:v>
                </c:pt>
                <c:pt idx="117">
                  <c:v>-1.1979754926764999E-3</c:v>
                </c:pt>
                <c:pt idx="118">
                  <c:v>-1.1429190419614155E-3</c:v>
                </c:pt>
                <c:pt idx="119">
                  <c:v>-1.0907915976989461E-3</c:v>
                </c:pt>
                <c:pt idx="120">
                  <c:v>-1.0414164653637823E-3</c:v>
                </c:pt>
                <c:pt idx="121">
                  <c:v>-9.9462884808421571E-4</c:v>
                </c:pt>
                <c:pt idx="122">
                  <c:v>-9.5027496353487697E-4</c:v>
                </c:pt>
                <c:pt idx="123">
                  <c:v>-9.0821123235745871E-4</c:v>
                </c:pt>
                <c:pt idx="124">
                  <c:v>-8.6830353184050746E-4</c:v>
                </c:pt>
                <c:pt idx="125">
                  <c:v>-8.3042650917965546E-4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Phe!$P$6</c:f>
              <c:strCache>
                <c:ptCount val="1"/>
                <c:pt idx="0">
                  <c:v>Glu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Phe!$P$7:$P$132</c:f>
              <c:numCache>
                <c:formatCode>0.00</c:formatCode>
                <c:ptCount val="126"/>
                <c:pt idx="0">
                  <c:v>6190689.2429838451</c:v>
                </c:pt>
                <c:pt idx="1">
                  <c:v>1971209.2522041802</c:v>
                </c:pt>
                <c:pt idx="2">
                  <c:v>693117.3339074722</c:v>
                </c:pt>
                <c:pt idx="3">
                  <c:v>264824.62384376</c:v>
                </c:pt>
                <c:pt idx="4">
                  <c:v>108569.48154419061</c:v>
                </c:pt>
                <c:pt idx="5">
                  <c:v>47278.867297839184</c:v>
                </c:pt>
                <c:pt idx="6">
                  <c:v>21689.339822848739</c:v>
                </c:pt>
                <c:pt idx="7">
                  <c:v>10409.890779442077</c:v>
                </c:pt>
                <c:pt idx="8">
                  <c:v>5196.441527639462</c:v>
                </c:pt>
                <c:pt idx="9">
                  <c:v>2684.0389788280145</c:v>
                </c:pt>
                <c:pt idx="10">
                  <c:v>1427.8684509543925</c:v>
                </c:pt>
                <c:pt idx="11">
                  <c:v>779.02069224152876</c:v>
                </c:pt>
                <c:pt idx="12">
                  <c:v>434.10158775930392</c:v>
                </c:pt>
                <c:pt idx="13">
                  <c:v>246.05338452765307</c:v>
                </c:pt>
                <c:pt idx="14">
                  <c:v>141.243973983145</c:v>
                </c:pt>
                <c:pt idx="15">
                  <c:v>81.709109028042008</c:v>
                </c:pt>
                <c:pt idx="16">
                  <c:v>47.34896019016476</c:v>
                </c:pt>
                <c:pt idx="17">
                  <c:v>27.2635919356402</c:v>
                </c:pt>
                <c:pt idx="18">
                  <c:v>15.412537484155381</c:v>
                </c:pt>
                <c:pt idx="19">
                  <c:v>8.3822294110048361</c:v>
                </c:pt>
                <c:pt idx="20">
                  <c:v>4.2094431571458486</c:v>
                </c:pt>
                <c:pt idx="21">
                  <c:v>1.7472829160302374</c:v>
                </c:pt>
                <c:pt idx="22">
                  <c:v>0.31645571624805618</c:v>
                </c:pt>
                <c:pt idx="23">
                  <c:v>-0.49018678551706868</c:v>
                </c:pt>
                <c:pt idx="24">
                  <c:v>-0.91911524893369978</c:v>
                </c:pt>
                <c:pt idx="25">
                  <c:v>-1.1207091157511897</c:v>
                </c:pt>
                <c:pt idx="26">
                  <c:v>-1.1872277884246873</c:v>
                </c:pt>
                <c:pt idx="27">
                  <c:v>-1.1754321482740313</c:v>
                </c:pt>
                <c:pt idx="28">
                  <c:v>-1.1202240243291608</c:v>
                </c:pt>
                <c:pt idx="29">
                  <c:v>-1.0429588415710065</c:v>
                </c:pt>
                <c:pt idx="30">
                  <c:v>-0.95656008534839765</c:v>
                </c:pt>
                <c:pt idx="31">
                  <c:v>-0.86869188993540691</c:v>
                </c:pt>
                <c:pt idx="32">
                  <c:v>-0.78374047146189818</c:v>
                </c:pt>
                <c:pt idx="33">
                  <c:v>-0.70405818377999685</c:v>
                </c:pt>
                <c:pt idx="34">
                  <c:v>-0.63074740266981144</c:v>
                </c:pt>
                <c:pt idx="35">
                  <c:v>-0.56415522647984706</c:v>
                </c:pt>
                <c:pt idx="36">
                  <c:v>-0.50418539581106103</c:v>
                </c:pt>
                <c:pt idx="37">
                  <c:v>-0.45049417000503961</c:v>
                </c:pt>
                <c:pt idx="38">
                  <c:v>-0.40261231284175342</c:v>
                </c:pt>
                <c:pt idx="39">
                  <c:v>-0.36001997182877071</c:v>
                </c:pt>
                <c:pt idx="40">
                  <c:v>-0.32219155492835333</c:v>
                </c:pt>
                <c:pt idx="41">
                  <c:v>-0.2886215683707693</c:v>
                </c:pt>
                <c:pt idx="42">
                  <c:v>-0.25883846074170908</c:v>
                </c:pt>
                <c:pt idx="43">
                  <c:v>-0.23241100475856435</c:v>
                </c:pt>
                <c:pt idx="44">
                  <c:v>-0.20895012853941786</c:v>
                </c:pt>
                <c:pt idx="45">
                  <c:v>-0.18810806122835769</c:v>
                </c:pt>
                <c:pt idx="46">
                  <c:v>-0.16957597965280241</c:v>
                </c:pt>
                <c:pt idx="47">
                  <c:v>-0.15308090304756192</c:v>
                </c:pt>
                <c:pt idx="48">
                  <c:v>-0.13838229814323902</c:v>
                </c:pt>
                <c:pt idx="49">
                  <c:v>-0.12526867305805844</c:v>
                </c:pt>
                <c:pt idx="50">
                  <c:v>-0.1135543203892229</c:v>
                </c:pt>
                <c:pt idx="51">
                  <c:v>-0.10307629482205032</c:v>
                </c:pt>
                <c:pt idx="52">
                  <c:v>-9.3691663520710955E-2</c:v>
                </c:pt>
                <c:pt idx="53">
                  <c:v>-8.527503873810853E-2</c:v>
                </c:pt>
                <c:pt idx="54">
                  <c:v>-7.771638505270699E-2</c:v>
                </c:pt>
                <c:pt idx="55">
                  <c:v>-7.0919084181740907E-2</c:v>
                </c:pt>
                <c:pt idx="56">
                  <c:v>-6.4798235659907555E-2</c:v>
                </c:pt>
                <c:pt idx="57">
                  <c:v>-5.9279169994433778E-2</c:v>
                </c:pt>
                <c:pt idx="58">
                  <c:v>-5.4296151027703354E-2</c:v>
                </c:pt>
                <c:pt idx="59">
                  <c:v>-4.979124539157731E-2</c:v>
                </c:pt>
                <c:pt idx="60">
                  <c:v>-4.5713338633052859E-2</c:v>
                </c:pt>
                <c:pt idx="61">
                  <c:v>-4.2017279520572465E-2</c:v>
                </c:pt>
                <c:pt idx="62">
                  <c:v>-3.8663136014885566E-2</c:v>
                </c:pt>
                <c:pt idx="63">
                  <c:v>-3.5615548296307885E-2</c:v>
                </c:pt>
                <c:pt idx="64">
                  <c:v>-3.2843166020105369E-2</c:v>
                </c:pt>
                <c:pt idx="65">
                  <c:v>-3.031815859401633E-2</c:v>
                </c:pt>
                <c:pt idx="66">
                  <c:v>-2.8015788726949015E-2</c:v>
                </c:pt>
                <c:pt idx="67">
                  <c:v>-2.5914040787948112E-2</c:v>
                </c:pt>
                <c:pt idx="68">
                  <c:v>-2.399329664872632E-2</c:v>
                </c:pt>
                <c:pt idx="69">
                  <c:v>-2.2236052674054395E-2</c:v>
                </c:pt>
                <c:pt idx="70">
                  <c:v>-2.0626672386183723E-2</c:v>
                </c:pt>
                <c:pt idx="71">
                  <c:v>-1.9151170076498768E-2</c:v>
                </c:pt>
                <c:pt idx="72">
                  <c:v>-1.7797021283447904E-2</c:v>
                </c:pt>
                <c:pt idx="73">
                  <c:v>-1.6552996613174806E-2</c:v>
                </c:pt>
                <c:pt idx="74">
                  <c:v>-1.5409015859691778E-2</c:v>
                </c:pt>
                <c:pt idx="75">
                  <c:v>-1.4356019795193995E-2</c:v>
                </c:pt>
                <c:pt idx="76">
                  <c:v>-1.3385857357300393E-2</c:v>
                </c:pt>
                <c:pt idx="77">
                  <c:v>-1.2491186266583583E-2</c:v>
                </c:pt>
                <c:pt idx="78">
                  <c:v>-1.1665385371649677E-2</c:v>
                </c:pt>
                <c:pt idx="79">
                  <c:v>-1.0902477246248297E-2</c:v>
                </c:pt>
                <c:pt idx="80">
                  <c:v>-1.0197059758616791E-2</c:v>
                </c:pt>
                <c:pt idx="81">
                  <c:v>-9.5442455019482762E-3</c:v>
                </c:pt>
                <c:pt idx="82">
                  <c:v>-8.9396081203524762E-3</c:v>
                </c:pt>
                <c:pt idx="83">
                  <c:v>-8.3791346902372561E-3</c:v>
                </c:pt>
                <c:pt idx="84">
                  <c:v>-7.8591834254946487E-3</c:v>
                </c:pt>
                <c:pt idx="85">
                  <c:v>-7.3764460686388238E-3</c:v>
                </c:pt>
                <c:pt idx="86">
                  <c:v>-6.9279144111818259E-3</c:v>
                </c:pt>
                <c:pt idx="87">
                  <c:v>-6.5108504568126887E-3</c:v>
                </c:pt>
                <c:pt idx="88">
                  <c:v>-6.1227598018810756E-3</c:v>
                </c:pt>
                <c:pt idx="89">
                  <c:v>-5.7613678605748691E-3</c:v>
                </c:pt>
                <c:pt idx="90">
                  <c:v>-5.4245986081313778E-3</c:v>
                </c:pt>
                <c:pt idx="91">
                  <c:v>-5.1105555553882399E-3</c:v>
                </c:pt>
                <c:pt idx="92">
                  <c:v>-4.8175047027769731E-3</c:v>
                </c:pt>
                <c:pt idx="93">
                  <c:v>-4.5438592521924856E-3</c:v>
                </c:pt>
                <c:pt idx="94">
                  <c:v>-4.2881658816363317E-3</c:v>
                </c:pt>
                <c:pt idx="95">
                  <c:v>-4.0490924106482877E-3</c:v>
                </c:pt>
                <c:pt idx="96">
                  <c:v>-3.8254167047552397E-3</c:v>
                </c:pt>
                <c:pt idx="97">
                  <c:v>-3.6160166848615513E-3</c:v>
                </c:pt>
                <c:pt idx="98">
                  <c:v>-3.4198613230118505E-3</c:v>
                </c:pt>
                <c:pt idx="99">
                  <c:v>-3.2360025195608045E-3</c:v>
                </c:pt>
                <c:pt idx="100">
                  <c:v>-3.0635677687306942E-3</c:v>
                </c:pt>
                <c:pt idx="101">
                  <c:v>-2.9017535300401372E-3</c:v>
                </c:pt>
                <c:pt idx="102">
                  <c:v>-2.7498192323296105E-3</c:v>
                </c:pt>
                <c:pt idx="103">
                  <c:v>-2.6070818452516497E-3</c:v>
                </c:pt>
                <c:pt idx="104">
                  <c:v>-2.4729109602737074E-3</c:v>
                </c:pt>
                <c:pt idx="105">
                  <c:v>-2.3467243295800331E-3</c:v>
                </c:pt>
                <c:pt idx="106">
                  <c:v>-2.2279838168597376E-3</c:v>
                </c:pt>
                <c:pt idx="107">
                  <c:v>-2.1161917189222402E-3</c:v>
                </c:pt>
                <c:pt idx="108">
                  <c:v>-2.0108874214676011E-3</c:v>
                </c:pt>
                <c:pt idx="109">
                  <c:v>-1.9116443562266401E-3</c:v>
                </c:pt>
                <c:pt idx="110">
                  <c:v>-1.8180672301342511E-3</c:v>
                </c:pt>
                <c:pt idx="111">
                  <c:v>-1.7297895002615366E-3</c:v>
                </c:pt>
                <c:pt idx="112">
                  <c:v>-1.6464710709539656E-3</c:v>
                </c:pt>
                <c:pt idx="113">
                  <c:v>-1.567796192043981E-3</c:v>
                </c:pt>
                <c:pt idx="114">
                  <c:v>-1.4934715391623987E-3</c:v>
                </c:pt>
                <c:pt idx="115">
                  <c:v>-1.4232244590943728E-3</c:v>
                </c:pt>
                <c:pt idx="116">
                  <c:v>-1.3568013648397187E-3</c:v>
                </c:pt>
                <c:pt idx="117">
                  <c:v>-1.2939662665676518E-3</c:v>
                </c:pt>
                <c:pt idx="118">
                  <c:v>-1.2344994260235181E-3</c:v>
                </c:pt>
                <c:pt idx="119">
                  <c:v>-1.1781961231680889E-3</c:v>
                </c:pt>
                <c:pt idx="120">
                  <c:v>-1.1248655249247634E-3</c:v>
                </c:pt>
                <c:pt idx="121">
                  <c:v>-1.0743296468908794E-3</c:v>
                </c:pt>
                <c:pt idx="122">
                  <c:v>-1.0264223997486052E-3</c:v>
                </c:pt>
                <c:pt idx="123">
                  <c:v>-9.8098871290012838E-4</c:v>
                </c:pt>
                <c:pt idx="124">
                  <c:v>-9.3788372856047967E-4</c:v>
                </c:pt>
                <c:pt idx="125">
                  <c:v>-8.9697206017831795E-4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Phe!$Q$6</c:f>
              <c:strCache>
                <c:ptCount val="1"/>
                <c:pt idx="0">
                  <c:v>Asp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Phe!$Q$7:$Q$132</c:f>
              <c:numCache>
                <c:formatCode>0.00</c:formatCode>
                <c:ptCount val="126"/>
                <c:pt idx="0">
                  <c:v>6493496.4526434038</c:v>
                </c:pt>
                <c:pt idx="1">
                  <c:v>2067660.7123168104</c:v>
                </c:pt>
                <c:pt idx="2">
                  <c:v>727049.95927763556</c:v>
                </c:pt>
                <c:pt idx="3">
                  <c:v>277800.16336433718</c:v>
                </c:pt>
                <c:pt idx="4">
                  <c:v>113895.46239049759</c:v>
                </c:pt>
                <c:pt idx="5">
                  <c:v>49602.202308309461</c:v>
                </c:pt>
                <c:pt idx="6">
                  <c:v>22757.774471972672</c:v>
                </c:pt>
                <c:pt idx="7">
                  <c:v>10924.413050216352</c:v>
                </c:pt>
                <c:pt idx="8">
                  <c:v>5454.4538912430253</c:v>
                </c:pt>
                <c:pt idx="9">
                  <c:v>2818.1216137935262</c:v>
                </c:pt>
                <c:pt idx="10">
                  <c:v>1499.7783931610938</c:v>
                </c:pt>
                <c:pt idx="11">
                  <c:v>818.67468503815337</c:v>
                </c:pt>
                <c:pt idx="12">
                  <c:v>456.51042535571355</c:v>
                </c:pt>
                <c:pt idx="13">
                  <c:v>258.99084711307762</c:v>
                </c:pt>
                <c:pt idx="14">
                  <c:v>148.85261645435699</c:v>
                </c:pt>
                <c:pt idx="15">
                  <c:v>86.254274967779082</c:v>
                </c:pt>
                <c:pt idx="16">
                  <c:v>50.098817957872448</c:v>
                </c:pt>
                <c:pt idx="17">
                  <c:v>28.9433196955735</c:v>
                </c:pt>
                <c:pt idx="18">
                  <c:v>16.444867802396111</c:v>
                </c:pt>
                <c:pt idx="19">
                  <c:v>9.0179062330063928</c:v>
                </c:pt>
                <c:pt idx="20">
                  <c:v>4.5995355669693989</c:v>
                </c:pt>
                <c:pt idx="21">
                  <c:v>1.9840837772903923</c:v>
                </c:pt>
                <c:pt idx="22">
                  <c:v>0.45704573480191824</c:v>
                </c:pt>
                <c:pt idx="23">
                  <c:v>-0.41012823527994979</c:v>
                </c:pt>
                <c:pt idx="24">
                  <c:v>-0.87708696701877542</c:v>
                </c:pt>
                <c:pt idx="25">
                  <c:v>-1.1024202526525451</c:v>
                </c:pt>
                <c:pt idx="26">
                  <c:v>-1.1835563148501629</c:v>
                </c:pt>
                <c:pt idx="27">
                  <c:v>-1.1805397771652271</c:v>
                </c:pt>
                <c:pt idx="28">
                  <c:v>-1.1303747841483838</c:v>
                </c:pt>
                <c:pt idx="29">
                  <c:v>-1.0557711435398542</c:v>
                </c:pt>
                <c:pt idx="30">
                  <c:v>-0.97052893483448766</c:v>
                </c:pt>
                <c:pt idx="31">
                  <c:v>-0.88288123573008104</c:v>
                </c:pt>
                <c:pt idx="32">
                  <c:v>-0.79758375209233978</c:v>
                </c:pt>
                <c:pt idx="33">
                  <c:v>-0.71722828972751795</c:v>
                </c:pt>
                <c:pt idx="34">
                  <c:v>-0.64307152876678941</c:v>
                </c:pt>
                <c:pt idx="35">
                  <c:v>-0.57555895936801793</c:v>
                </c:pt>
                <c:pt idx="36">
                  <c:v>-0.51465595776173423</c:v>
                </c:pt>
                <c:pt idx="37">
                  <c:v>-0.46005627952985928</c:v>
                </c:pt>
                <c:pt idx="38">
                  <c:v>-0.41131238871578157</c:v>
                </c:pt>
                <c:pt idx="39">
                  <c:v>-0.36791587028200079</c:v>
                </c:pt>
                <c:pt idx="40">
                  <c:v>-0.3293459816560077</c:v>
                </c:pt>
                <c:pt idx="41">
                  <c:v>-0.29509793066379469</c:v>
                </c:pt>
                <c:pt idx="42">
                  <c:v>-0.26469833625636202</c:v>
                </c:pt>
                <c:pt idx="43">
                  <c:v>-0.23771267615349617</c:v>
                </c:pt>
                <c:pt idx="44">
                  <c:v>-0.21374781498546591</c:v>
                </c:pt>
                <c:pt idx="45">
                  <c:v>-0.19245159949318363</c:v>
                </c:pt>
                <c:pt idx="46">
                  <c:v>-0.17351078923236757</c:v>
                </c:pt>
                <c:pt idx="47">
                  <c:v>-0.15664812491175462</c:v>
                </c:pt>
                <c:pt idx="48">
                  <c:v>-0.1416190338535647</c:v>
                </c:pt>
                <c:pt idx="49">
                  <c:v>-0.12820827613841829</c:v>
                </c:pt>
                <c:pt idx="50">
                  <c:v>-0.11622670879255964</c:v>
                </c:pt>
                <c:pt idx="51">
                  <c:v>-0.10550826476269758</c:v>
                </c:pt>
                <c:pt idx="52">
                  <c:v>-9.590719260866018E-2</c:v>
                </c:pt>
                <c:pt idx="53">
                  <c:v>-8.7295571459888088E-2</c:v>
                </c:pt>
                <c:pt idx="54">
                  <c:v>-7.9561097012316492E-2</c:v>
                </c:pt>
                <c:pt idx="55">
                  <c:v>-7.2605123702131874E-2</c:v>
                </c:pt>
                <c:pt idx="56">
                  <c:v>-6.6340942732220576E-2</c:v>
                </c:pt>
                <c:pt idx="57">
                  <c:v>-6.0692273409541274E-2</c:v>
                </c:pt>
                <c:pt idx="58">
                  <c:v>-5.559194501119407E-2</c:v>
                </c:pt>
                <c:pt idx="59">
                  <c:v>-5.0980747311328588E-2</c:v>
                </c:pt>
                <c:pt idx="60">
                  <c:v>-4.6806429441378361E-2</c:v>
                </c:pt>
                <c:pt idx="61">
                  <c:v>-4.3022828587341751E-2</c:v>
                </c:pt>
                <c:pt idx="62">
                  <c:v>-3.9589111942366424E-2</c:v>
                </c:pt>
                <c:pt idx="63">
                  <c:v>-3.6469117206525216E-2</c:v>
                </c:pt>
                <c:pt idx="64">
                  <c:v>-3.363077868830483E-2</c:v>
                </c:pt>
                <c:pt idx="65">
                  <c:v>-3.1045627678475813E-2</c:v>
                </c:pt>
                <c:pt idx="66">
                  <c:v>-2.8688357222941597E-2</c:v>
                </c:pt>
                <c:pt idx="67">
                  <c:v>-2.6536442716416E-2</c:v>
                </c:pt>
                <c:pt idx="68">
                  <c:v>-2.4569810880611616E-2</c:v>
                </c:pt>
                <c:pt idx="69">
                  <c:v>-2.2770550690453938E-2</c:v>
                </c:pt>
                <c:pt idx="70">
                  <c:v>-2.11226606829551E-2</c:v>
                </c:pt>
                <c:pt idx="71">
                  <c:v>-1.9611827839538215E-2</c:v>
                </c:pt>
                <c:pt idx="72">
                  <c:v>-1.8225233887175542E-2</c:v>
                </c:pt>
                <c:pt idx="73">
                  <c:v>-1.6951385429210999E-2</c:v>
                </c:pt>
                <c:pt idx="74">
                  <c:v>-1.5779964804619993E-2</c:v>
                </c:pt>
                <c:pt idx="75">
                  <c:v>-1.470169899498228E-2</c:v>
                </c:pt>
                <c:pt idx="76">
                  <c:v>-1.3708244260709369E-2</c:v>
                </c:pt>
                <c:pt idx="77">
                  <c:v>-1.2792084500069427E-2</c:v>
                </c:pt>
                <c:pt idx="78">
                  <c:v>-1.1946441593267711E-2</c:v>
                </c:pt>
                <c:pt idx="79">
                  <c:v>-1.1165196225319824E-2</c:v>
                </c:pt>
                <c:pt idx="80">
                  <c:v>-1.044281788093375E-2</c:v>
                </c:pt>
                <c:pt idx="81">
                  <c:v>-9.774302876606333E-3</c:v>
                </c:pt>
                <c:pt idx="82">
                  <c:v>-9.1551194435192298E-3</c:v>
                </c:pt>
                <c:pt idx="83">
                  <c:v>-8.5811590029226774E-3</c:v>
                </c:pt>
                <c:pt idx="84">
                  <c:v>-8.0486928863795666E-3</c:v>
                </c:pt>
                <c:pt idx="85">
                  <c:v>-7.5543338489577581E-3</c:v>
                </c:pt>
                <c:pt idx="86">
                  <c:v>-7.095001806305002E-3</c:v>
                </c:pt>
                <c:pt idx="87">
                  <c:v>-6.6678932983154212E-3</c:v>
                </c:pt>
                <c:pt idx="88">
                  <c:v>-6.2704542443404792E-3</c:v>
                </c:pt>
                <c:pt idx="89">
                  <c:v>-5.900355608930488E-3</c:v>
                </c:pt>
                <c:pt idx="90">
                  <c:v>-5.5554716440459105E-3</c:v>
                </c:pt>
                <c:pt idx="91">
                  <c:v>-5.2338604145219063E-3</c:v>
                </c:pt>
                <c:pt idx="92">
                  <c:v>-4.9337463491362183E-3</c:v>
                </c:pt>
                <c:pt idx="93">
                  <c:v>-4.653504590635394E-3</c:v>
                </c:pt>
                <c:pt idx="94">
                  <c:v>-4.3916469451306863E-3</c:v>
                </c:pt>
                <c:pt idx="95">
                  <c:v>-4.1468092549113572E-3</c:v>
                </c:pt>
                <c:pt idx="96">
                  <c:v>-3.9177400393938739E-3</c:v>
                </c:pt>
                <c:pt idx="97">
                  <c:v>-3.7032902670218865E-3</c:v>
                </c:pt>
                <c:pt idx="98">
                  <c:v>-3.5024041367916555E-3</c:v>
                </c:pt>
                <c:pt idx="99">
                  <c:v>-3.3141107619918814E-3</c:v>
                </c:pt>
                <c:pt idx="100">
                  <c:v>-3.1375166609670132E-3</c:v>
                </c:pt>
                <c:pt idx="101">
                  <c:v>-2.9717989704570852E-3</c:v>
                </c:pt>
                <c:pt idx="102">
                  <c:v>-2.8161993065225419E-3</c:v>
                </c:pt>
                <c:pt idx="103">
                  <c:v>-2.6700182063929072E-3</c:v>
                </c:pt>
                <c:pt idx="104">
                  <c:v>-2.5326100919247979E-3</c:v>
                </c:pt>
                <c:pt idx="105">
                  <c:v>-2.4033787018402399E-3</c:v>
                </c:pt>
                <c:pt idx="106">
                  <c:v>-2.2817729456475659E-3</c:v>
                </c:pt>
                <c:pt idx="107">
                  <c:v>-2.1672831372166893E-3</c:v>
                </c:pt>
                <c:pt idx="108">
                  <c:v>-2.0594375704693847E-3</c:v>
                </c:pt>
                <c:pt idx="109">
                  <c:v>-1.9577994036236446E-3</c:v>
                </c:pt>
                <c:pt idx="110">
                  <c:v>-1.861963821960516E-3</c:v>
                </c:pt>
                <c:pt idx="111">
                  <c:v>-1.771555452215994E-3</c:v>
                </c:pt>
                <c:pt idx="112">
                  <c:v>-1.6862260044861201E-3</c:v>
                </c:pt>
                <c:pt idx="113">
                  <c:v>-1.6056521200116969E-3</c:v>
                </c:pt>
                <c:pt idx="114">
                  <c:v>-1.5295334054157893E-3</c:v>
                </c:pt>
                <c:pt idx="115">
                  <c:v>-1.4575906359339721E-3</c:v>
                </c:pt>
                <c:pt idx="116">
                  <c:v>-1.3895641119318293E-3</c:v>
                </c:pt>
                <c:pt idx="117">
                  <c:v>-1.3252121545707007E-3</c:v>
                </c:pt>
                <c:pt idx="118">
                  <c:v>-1.2643097278825322E-3</c:v>
                </c:pt>
                <c:pt idx="119">
                  <c:v>-1.206647175766747E-3</c:v>
                </c:pt>
                <c:pt idx="120">
                  <c:v>-1.1520290635427725E-3</c:v>
                </c:pt>
                <c:pt idx="121">
                  <c:v>-1.1002731146959718E-3</c:v>
                </c:pt>
                <c:pt idx="122">
                  <c:v>-1.0512092343550022E-3</c:v>
                </c:pt>
                <c:pt idx="123">
                  <c:v>-1.0046786118465252E-3</c:v>
                </c:pt>
                <c:pt idx="124">
                  <c:v>-9.6053289539877102E-4</c:v>
                </c:pt>
                <c:pt idx="125">
                  <c:v>-9.1863343271756954E-4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Phe!$R$6</c:f>
              <c:strCache>
                <c:ptCount val="1"/>
                <c:pt idx="0">
                  <c:v>His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Phe!$R$7:$R$132</c:f>
              <c:numCache>
                <c:formatCode>0.00</c:formatCode>
                <c:ptCount val="126"/>
                <c:pt idx="0">
                  <c:v>21478203.435578477</c:v>
                </c:pt>
                <c:pt idx="1">
                  <c:v>6841131.1709981803</c:v>
                </c:pt>
                <c:pt idx="2">
                  <c:v>2406670.7371668811</c:v>
                </c:pt>
                <c:pt idx="3">
                  <c:v>920225.87285552383</c:v>
                </c:pt>
                <c:pt idx="4">
                  <c:v>377680.17040550115</c:v>
                </c:pt>
                <c:pt idx="5">
                  <c:v>164730.02184970368</c:v>
                </c:pt>
                <c:pt idx="6">
                  <c:v>75739.021761177064</c:v>
                </c:pt>
                <c:pt idx="7">
                  <c:v>36463.077703637457</c:v>
                </c:pt>
                <c:pt idx="8">
                  <c:v>18277.799330617574</c:v>
                </c:pt>
                <c:pt idx="9">
                  <c:v>9493.6851539344971</c:v>
                </c:pt>
                <c:pt idx="10">
                  <c:v>5088.1465436276048</c:v>
                </c:pt>
                <c:pt idx="11">
                  <c:v>2803.3440051010921</c:v>
                </c:pt>
                <c:pt idx="12">
                  <c:v>1582.3910339890488</c:v>
                </c:pt>
                <c:pt idx="13">
                  <c:v>912.22850208835405</c:v>
                </c:pt>
                <c:pt idx="14">
                  <c:v>535.47088677735223</c:v>
                </c:pt>
                <c:pt idx="15">
                  <c:v>319.08893484271817</c:v>
                </c:pt>
                <c:pt idx="16">
                  <c:v>192.43712747917078</c:v>
                </c:pt>
                <c:pt idx="17">
                  <c:v>117.06022004575857</c:v>
                </c:pt>
                <c:pt idx="18">
                  <c:v>71.547703270016115</c:v>
                </c:pt>
                <c:pt idx="19">
                  <c:v>43.730583850896082</c:v>
                </c:pt>
                <c:pt idx="20">
                  <c:v>26.560843455332147</c:v>
                </c:pt>
                <c:pt idx="21">
                  <c:v>15.885582865556337</c:v>
                </c:pt>
                <c:pt idx="22">
                  <c:v>9.2191437555617259</c:v>
                </c:pt>
                <c:pt idx="23">
                  <c:v>5.0524686607761762</c:v>
                </c:pt>
                <c:pt idx="24">
                  <c:v>2.4575811449367668</c:v>
                </c:pt>
                <c:pt idx="25">
                  <c:v>0.85726299069030032</c:v>
                </c:pt>
                <c:pt idx="26">
                  <c:v>-0.1111631285693281</c:v>
                </c:pt>
                <c:pt idx="27">
                  <c:v>-0.67756048422583115</c:v>
                </c:pt>
                <c:pt idx="28">
                  <c:v>-0.98866881936179285</c:v>
                </c:pt>
                <c:pt idx="29">
                  <c:v>-1.1386903425858923</c:v>
                </c:pt>
                <c:pt idx="30">
                  <c:v>-1.1883308948045275</c:v>
                </c:pt>
                <c:pt idx="31">
                  <c:v>-1.1767778705255576</c:v>
                </c:pt>
                <c:pt idx="32">
                  <c:v>-1.1293067880532064</c:v>
                </c:pt>
                <c:pt idx="33">
                  <c:v>-1.0621534338154492</c:v>
                </c:pt>
                <c:pt idx="34">
                  <c:v>-0.98565852967733625</c:v>
                </c:pt>
                <c:pt idx="35">
                  <c:v>-0.90631106688034591</c:v>
                </c:pt>
                <c:pt idx="36">
                  <c:v>-0.82808360529569336</c:v>
                </c:pt>
                <c:pt idx="37">
                  <c:v>-0.75330891579314785</c:v>
                </c:pt>
                <c:pt idx="38">
                  <c:v>-0.68325747746694565</c:v>
                </c:pt>
                <c:pt idx="39">
                  <c:v>-0.61851868934642429</c:v>
                </c:pt>
                <c:pt idx="40">
                  <c:v>-0.55925262089671912</c:v>
                </c:pt>
                <c:pt idx="41">
                  <c:v>-0.50535601117231044</c:v>
                </c:pt>
                <c:pt idx="42">
                  <c:v>-0.45657128350133291</c:v>
                </c:pt>
                <c:pt idx="43">
                  <c:v>-0.41255761175754374</c:v>
                </c:pt>
                <c:pt idx="44">
                  <c:v>-0.37293669487908992</c:v>
                </c:pt>
                <c:pt idx="45">
                  <c:v>-0.33732168819590236</c:v>
                </c:pt>
                <c:pt idx="46">
                  <c:v>-0.30533494873899147</c:v>
                </c:pt>
                <c:pt idx="47">
                  <c:v>-0.27661839078839745</c:v>
                </c:pt>
                <c:pt idx="48">
                  <c:v>-0.25083900186566654</c:v>
                </c:pt>
                <c:pt idx="49">
                  <c:v>-0.22769123192835072</c:v>
                </c:pt>
                <c:pt idx="50">
                  <c:v>-0.20689740400513443</c:v>
                </c:pt>
                <c:pt idx="51">
                  <c:v>-0.18820691314065377</c:v>
                </c:pt>
                <c:pt idx="52">
                  <c:v>-0.17139472255422425</c:v>
                </c:pt>
                <c:pt idx="53">
                  <c:v>-0.15625949139261874</c:v>
                </c:pt>
                <c:pt idx="54">
                  <c:v>-0.14262155051437486</c:v>
                </c:pt>
                <c:pt idx="55">
                  <c:v>-0.13032086325228706</c:v>
                </c:pt>
                <c:pt idx="56">
                  <c:v>-0.1192150547776981</c:v>
                </c:pt>
                <c:pt idx="57">
                  <c:v>-0.10917755818414764</c:v>
                </c:pt>
                <c:pt idx="58">
                  <c:v>-0.10009590202598763</c:v>
                </c:pt>
                <c:pt idx="59">
                  <c:v>-9.187014890054182E-2</c:v>
                </c:pt>
                <c:pt idx="60">
                  <c:v>-8.4411485089178645E-2</c:v>
                </c:pt>
                <c:pt idx="61">
                  <c:v>-7.7640955451238489E-2</c:v>
                </c:pt>
                <c:pt idx="62">
                  <c:v>-7.148833444773095E-2</c:v>
                </c:pt>
                <c:pt idx="63">
                  <c:v>-6.589112250618398E-2</c:v>
                </c:pt>
                <c:pt idx="64">
                  <c:v>-6.0793656342303534E-2</c:v>
                </c:pt>
                <c:pt idx="65">
                  <c:v>-5.6146321933118581E-2</c:v>
                </c:pt>
                <c:pt idx="66">
                  <c:v>-5.1904859323423591E-2</c:v>
                </c:pt>
                <c:pt idx="67">
                  <c:v>-4.8029749164311415E-2</c:v>
                </c:pt>
                <c:pt idx="68">
                  <c:v>-4.4485671711765866E-2</c:v>
                </c:pt>
                <c:pt idx="69">
                  <c:v>-4.1241029878516439E-2</c:v>
                </c:pt>
                <c:pt idx="70">
                  <c:v>-3.8267528785760639E-2</c:v>
                </c:pt>
                <c:pt idx="71">
                  <c:v>-3.5539805074154024E-2</c:v>
                </c:pt>
                <c:pt idx="72">
                  <c:v>-3.3035099989675819E-2</c:v>
                </c:pt>
                <c:pt idx="73">
                  <c:v>-3.0732970952049365E-2</c:v>
                </c:pt>
                <c:pt idx="74">
                  <c:v>-2.8615036939248814E-2</c:v>
                </c:pt>
                <c:pt idx="75">
                  <c:v>-2.6664753582581843E-2</c:v>
                </c:pt>
                <c:pt idx="76">
                  <c:v>-2.4867214366275623E-2</c:v>
                </c:pt>
                <c:pt idx="77">
                  <c:v>-2.3208974767885648E-2</c:v>
                </c:pt>
                <c:pt idx="78">
                  <c:v>-2.167789656618798E-2</c:v>
                </c:pt>
                <c:pt idx="79">
                  <c:v>-2.0263009886597894E-2</c:v>
                </c:pt>
                <c:pt idx="80">
                  <c:v>-1.8954390855550129E-2</c:v>
                </c:pt>
                <c:pt idx="81">
                  <c:v>-1.774305299936468E-2</c:v>
                </c:pt>
                <c:pt idx="82">
                  <c:v>-1.6620850754236052E-2</c:v>
                </c:pt>
                <c:pt idx="83">
                  <c:v>-1.5580393656067297E-2</c:v>
                </c:pt>
                <c:pt idx="84">
                  <c:v>-1.4614969955467901E-2</c:v>
                </c:pt>
                <c:pt idx="85">
                  <c:v>-1.3718478557512025E-2</c:v>
                </c:pt>
                <c:pt idx="86">
                  <c:v>-1.2885368320617145E-2</c:v>
                </c:pt>
                <c:pt idx="87">
                  <c:v>-1.2110583866626881E-2</c:v>
                </c:pt>
                <c:pt idx="88">
                  <c:v>-1.1389517157041373E-2</c:v>
                </c:pt>
                <c:pt idx="89">
                  <c:v>-1.0717964180239656E-2</c:v>
                </c:pt>
                <c:pt idx="90">
                  <c:v>-1.0092086173145561E-2</c:v>
                </c:pt>
                <c:pt idx="91">
                  <c:v>-9.5083748695567703E-3</c:v>
                </c:pt>
                <c:pt idx="92">
                  <c:v>-8.9636213275493346E-3</c:v>
                </c:pt>
                <c:pt idx="93">
                  <c:v>-8.454887941092679E-3</c:v>
                </c:pt>
                <c:pt idx="94">
                  <c:v>-7.9794832872189161E-3</c:v>
                </c:pt>
                <c:pt idx="95">
                  <c:v>-7.5349395006206943E-3</c:v>
                </c:pt>
                <c:pt idx="96">
                  <c:v>-7.118991903128204E-3</c:v>
                </c:pt>
                <c:pt idx="97">
                  <c:v>-6.729560646767831E-3</c:v>
                </c:pt>
                <c:pt idx="98">
                  <c:v>-6.3647341565810115E-3</c:v>
                </c:pt>
                <c:pt idx="99">
                  <c:v>-6.0227541835578095E-3</c:v>
                </c:pt>
                <c:pt idx="100">
                  <c:v>-5.7020022993296395E-3</c:v>
                </c:pt>
                <c:pt idx="101">
                  <c:v>-5.4009876830308501E-3</c:v>
                </c:pt>
                <c:pt idx="102">
                  <c:v>-5.118336067292101E-3</c:v>
                </c:pt>
                <c:pt idx="103">
                  <c:v>-4.8527797249438807E-3</c:v>
                </c:pt>
                <c:pt idx="104">
                  <c:v>-4.6031483909241087E-3</c:v>
                </c:pt>
                <c:pt idx="105">
                  <c:v>-4.3683610253067665E-3</c:v>
                </c:pt>
                <c:pt idx="106">
                  <c:v>-4.1474183334810977E-3</c:v>
                </c:pt>
                <c:pt idx="107">
                  <c:v>-3.9393959684704653E-3</c:v>
                </c:pt>
                <c:pt idx="108">
                  <c:v>-3.7434383483254362E-3</c:v>
                </c:pt>
                <c:pt idx="109">
                  <c:v>-3.5587530285777725E-3</c:v>
                </c:pt>
                <c:pt idx="110">
                  <c:v>-3.3846055760066653E-3</c:v>
                </c:pt>
                <c:pt idx="111">
                  <c:v>-3.2203148955385454E-3</c:v>
                </c:pt>
                <c:pt idx="112">
                  <c:v>-3.0652489670583457E-3</c:v>
                </c:pt>
                <c:pt idx="113">
                  <c:v>-2.9188209533246236E-3</c:v>
                </c:pt>
                <c:pt idx="114">
                  <c:v>-2.7804856441159412E-3</c:v>
                </c:pt>
                <c:pt idx="115">
                  <c:v>-2.6497362052464875E-3</c:v>
                </c:pt>
                <c:pt idx="116">
                  <c:v>-2.5261012042235519E-3</c:v>
                </c:pt>
                <c:pt idx="117">
                  <c:v>-2.4091418871204713E-3</c:v>
                </c:pt>
                <c:pt idx="118">
                  <c:v>-2.2984496837439011E-3</c:v>
                </c:pt>
                <c:pt idx="119">
                  <c:v>-2.1936439204166039E-3</c:v>
                </c:pt>
                <c:pt idx="120">
                  <c:v>-2.0943697217055842E-3</c:v>
                </c:pt>
                <c:pt idx="121">
                  <c:v>-2.0002960842262969E-3</c:v>
                </c:pt>
                <c:pt idx="122">
                  <c:v>-1.9111141072692883E-3</c:v>
                </c:pt>
                <c:pt idx="123">
                  <c:v>-1.8265353664464793E-3</c:v>
                </c:pt>
                <c:pt idx="124">
                  <c:v>-1.7462904178579416E-3</c:v>
                </c:pt>
                <c:pt idx="125">
                  <c:v>-1.670127421452456E-3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Phe!$S$6</c:f>
              <c:strCache>
                <c:ptCount val="1"/>
                <c:pt idx="0">
                  <c:v>Arg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Phe!$S$7:$S$132</c:f>
              <c:numCache>
                <c:formatCode>0.00</c:formatCode>
                <c:ptCount val="126"/>
                <c:pt idx="0">
                  <c:v>7799227.1894602403</c:v>
                </c:pt>
                <c:pt idx="1">
                  <c:v>2483575.6361908214</c:v>
                </c:pt>
                <c:pt idx="2">
                  <c:v>873377.54436051974</c:v>
                </c:pt>
                <c:pt idx="3">
                  <c:v>333757.10469898081</c:v>
                </c:pt>
                <c:pt idx="4">
                  <c:v>136865.26531174412</c:v>
                </c:pt>
                <c:pt idx="5">
                  <c:v>59623.206187565222</c:v>
                </c:pt>
                <c:pt idx="6">
                  <c:v>27366.764781010264</c:v>
                </c:pt>
                <c:pt idx="7">
                  <c:v>13144.35844701247</c:v>
                </c:pt>
                <c:pt idx="8">
                  <c:v>6567.9459717315112</c:v>
                </c:pt>
                <c:pt idx="9">
                  <c:v>3396.9685917470006</c:v>
                </c:pt>
                <c:pt idx="10">
                  <c:v>1810.3564242468847</c:v>
                </c:pt>
                <c:pt idx="11">
                  <c:v>990.03785757770243</c:v>
                </c:pt>
                <c:pt idx="12">
                  <c:v>553.4212744340324</c:v>
                </c:pt>
                <c:pt idx="13">
                  <c:v>314.99474143353007</c:v>
                </c:pt>
                <c:pt idx="14">
                  <c:v>181.82965934642891</c:v>
                </c:pt>
                <c:pt idx="15">
                  <c:v>105.9850139773017</c:v>
                </c:pt>
                <c:pt idx="16">
                  <c:v>62.06053034693015</c:v>
                </c:pt>
                <c:pt idx="17">
                  <c:v>36.269502013974879</c:v>
                </c:pt>
                <c:pt idx="18">
                  <c:v>20.96316906833999</c:v>
                </c:pt>
                <c:pt idx="19">
                  <c:v>11.813141452475374</c:v>
                </c:pt>
                <c:pt idx="20">
                  <c:v>6.3258382037730394</c:v>
                </c:pt>
                <c:pt idx="21">
                  <c:v>3.0414967549770329</c:v>
                </c:pt>
                <c:pt idx="22">
                  <c:v>1.093297734146498</c:v>
                </c:pt>
                <c:pt idx="23">
                  <c:v>-3.9949510360859163E-2</c:v>
                </c:pt>
                <c:pt idx="24">
                  <c:v>-0.67498853008425197</c:v>
                </c:pt>
                <c:pt idx="25">
                  <c:v>-1.0060179302202186</c:v>
                </c:pt>
                <c:pt idx="26">
                  <c:v>-1.1529117389680343</c:v>
                </c:pt>
                <c:pt idx="27">
                  <c:v>-1.1899960854574638</c:v>
                </c:pt>
                <c:pt idx="28">
                  <c:v>-1.1634352813395679</c:v>
                </c:pt>
                <c:pt idx="29">
                  <c:v>-1.1018536785616764</c:v>
                </c:pt>
                <c:pt idx="30">
                  <c:v>-1.0228899558761537</c:v>
                </c:pt>
                <c:pt idx="31">
                  <c:v>-0.93727708265163323</c:v>
                </c:pt>
                <c:pt idx="32">
                  <c:v>-0.85140120962689281</c:v>
                </c:pt>
                <c:pt idx="33">
                  <c:v>-0.76891652289321422</c:v>
                </c:pt>
                <c:pt idx="34">
                  <c:v>-0.69176915948961593</c:v>
                </c:pt>
                <c:pt idx="35">
                  <c:v>-0.62084841578998806</c:v>
                </c:pt>
                <c:pt idx="36">
                  <c:v>-0.55640136292890652</c:v>
                </c:pt>
                <c:pt idx="37">
                  <c:v>-0.49829647309823755</c:v>
                </c:pt>
                <c:pt idx="38">
                  <c:v>-0.4461904963660232</c:v>
                </c:pt>
                <c:pt idx="39">
                  <c:v>-0.39963318140664733</c:v>
                </c:pt>
                <c:pt idx="40">
                  <c:v>-0.358132028191948</c:v>
                </c:pt>
                <c:pt idx="41">
                  <c:v>-0.32119137014385707</c:v>
                </c:pt>
                <c:pt idx="42">
                  <c:v>-0.28833503134060418</c:v>
                </c:pt>
                <c:pt idx="43">
                  <c:v>-0.25911855109830068</c:v>
                </c:pt>
                <c:pt idx="44">
                  <c:v>-0.23313486278649365</c:v>
                </c:pt>
                <c:pt idx="45">
                  <c:v>-0.21001594551847871</c:v>
                </c:pt>
                <c:pt idx="46">
                  <c:v>-0.18943207545261295</c:v>
                </c:pt>
                <c:pt idx="47">
                  <c:v>-0.1710897208621088</c:v>
                </c:pt>
                <c:pt idx="48">
                  <c:v>-0.15472874432804912</c:v>
                </c:pt>
                <c:pt idx="49">
                  <c:v>-0.14011932671072896</c:v>
                </c:pt>
                <c:pt idx="50">
                  <c:v>-0.12705886558482887</c:v>
                </c:pt>
                <c:pt idx="51">
                  <c:v>-0.11536899589847671</c:v>
                </c:pt>
                <c:pt idx="52">
                  <c:v>-0.1048928132347116</c:v>
                </c:pt>
                <c:pt idx="53">
                  <c:v>-9.549233736442489E-2</c:v>
                </c:pt>
                <c:pt idx="54">
                  <c:v>-8.7046227290957762E-2</c:v>
                </c:pt>
                <c:pt idx="55">
                  <c:v>-7.9447743078374738E-2</c:v>
                </c:pt>
                <c:pt idx="56">
                  <c:v>-7.2602940706339353E-2</c:v>
                </c:pt>
                <c:pt idx="57">
                  <c:v>-6.6429081541389795E-2</c:v>
                </c:pt>
                <c:pt idx="58">
                  <c:v>-6.085323613038237E-2</c:v>
                </c:pt>
                <c:pt idx="59">
                  <c:v>-5.5811061836715636E-2</c:v>
                </c:pt>
                <c:pt idx="60">
                  <c:v>-5.1245734654068682E-2</c:v>
                </c:pt>
                <c:pt idx="61">
                  <c:v>-4.7107016892910913E-2</c:v>
                </c:pt>
                <c:pt idx="62">
                  <c:v>-4.3350444053033961E-2</c:v>
                </c:pt>
                <c:pt idx="63">
                  <c:v>-3.993661589041804E-2</c:v>
                </c:pt>
                <c:pt idx="64">
                  <c:v>-3.6830578349971631E-2</c:v>
                </c:pt>
                <c:pt idx="65">
                  <c:v>-3.4001284604847422E-2</c:v>
                </c:pt>
                <c:pt idx="66">
                  <c:v>-3.1421124886015332E-2</c:v>
                </c:pt>
                <c:pt idx="67">
                  <c:v>-2.9065516089535563E-2</c:v>
                </c:pt>
                <c:pt idx="68">
                  <c:v>-2.6912543312230194E-2</c:v>
                </c:pt>
                <c:pt idx="69">
                  <c:v>-2.4942646494873631E-2</c:v>
                </c:pt>
                <c:pt idx="70">
                  <c:v>-2.3138346255080045E-2</c:v>
                </c:pt>
                <c:pt idx="71">
                  <c:v>-2.1484003781034197E-2</c:v>
                </c:pt>
                <c:pt idx="72">
                  <c:v>-1.9965610343902474E-2</c:v>
                </c:pt>
                <c:pt idx="73">
                  <c:v>-1.8570602582753119E-2</c:v>
                </c:pt>
                <c:pt idx="74">
                  <c:v>-1.7287700232031224E-2</c:v>
                </c:pt>
                <c:pt idx="75">
                  <c:v>-1.6106763408096872E-2</c:v>
                </c:pt>
                <c:pt idx="76">
                  <c:v>-1.5018666957091996E-2</c:v>
                </c:pt>
                <c:pt idx="77">
                  <c:v>-1.4015189699499392E-2</c:v>
                </c:pt>
                <c:pt idx="78">
                  <c:v>-1.3088916694301024E-2</c:v>
                </c:pt>
                <c:pt idx="79">
                  <c:v>-1.2233152893844756E-2</c:v>
                </c:pt>
                <c:pt idx="80">
                  <c:v>-1.144184677480581E-2</c:v>
                </c:pt>
                <c:pt idx="81">
                  <c:v>-1.0709522715676406E-2</c:v>
                </c:pt>
                <c:pt idx="82">
                  <c:v>-1.0031221051093272E-2</c:v>
                </c:pt>
                <c:pt idx="83">
                  <c:v>-9.4024448715218957E-3</c:v>
                </c:pt>
                <c:pt idx="84">
                  <c:v>-8.8191127563726664E-3</c:v>
                </c:pt>
                <c:pt idx="85">
                  <c:v>-8.2775167321231091E-3</c:v>
                </c:pt>
                <c:pt idx="86">
                  <c:v>-7.7742848366893613E-3</c:v>
                </c:pt>
                <c:pt idx="87">
                  <c:v>-7.3063477490451388E-3</c:v>
                </c:pt>
                <c:pt idx="88">
                  <c:v>-6.8709090105702015E-3</c:v>
                </c:pt>
                <c:pt idx="89">
                  <c:v>-6.465418423235645E-3</c:v>
                </c:pt>
                <c:pt idx="90">
                  <c:v>-6.0875482607109267E-3</c:v>
                </c:pt>
                <c:pt idx="91">
                  <c:v>-5.7351719728502932E-3</c:v>
                </c:pt>
                <c:pt idx="92">
                  <c:v>-5.4063451026771844E-3</c:v>
                </c:pt>
                <c:pt idx="93">
                  <c:v>-5.0992881687053921E-3</c:v>
                </c:pt>
                <c:pt idx="94">
                  <c:v>-4.8123712948755009E-3</c:v>
                </c:pt>
                <c:pt idx="95">
                  <c:v>-4.5441003961154414E-3</c:v>
                </c:pt>
                <c:pt idx="96">
                  <c:v>-4.2931047500449097E-3</c:v>
                </c:pt>
                <c:pt idx="97">
                  <c:v>-4.058125805058559E-3</c:v>
                </c:pt>
                <c:pt idx="98">
                  <c:v>-3.8380070923072374E-3</c:v>
                </c:pt>
                <c:pt idx="99">
                  <c:v>-3.6316851242658094E-3</c:v>
                </c:pt>
                <c:pt idx="100">
                  <c:v>-3.4381811759023606E-3</c:v>
                </c:pt>
                <c:pt idx="101">
                  <c:v>-3.2565938561834413E-3</c:v>
                </c:pt>
                <c:pt idx="102">
                  <c:v>-3.0860923879669571E-3</c:v>
                </c:pt>
                <c:pt idx="103">
                  <c:v>-2.9259105234260368E-3</c:v>
                </c:pt>
                <c:pt idx="104">
                  <c:v>-2.775341030167057E-3</c:v>
                </c:pt>
                <c:pt idx="105">
                  <c:v>-2.6337306902862716E-3</c:v>
                </c:pt>
                <c:pt idx="106">
                  <c:v>-2.5004757608686817E-3</c:v>
                </c:pt>
                <c:pt idx="107">
                  <c:v>-2.3750178499701139E-3</c:v>
                </c:pt>
                <c:pt idx="108">
                  <c:v>-2.2568401670275385E-3</c:v>
                </c:pt>
                <c:pt idx="109">
                  <c:v>-2.1454641109897219E-3</c:v>
                </c:pt>
                <c:pt idx="110">
                  <c:v>-2.0404461633173414E-3</c:v>
                </c:pt>
                <c:pt idx="111">
                  <c:v>-1.9413750564272417E-3</c:v>
                </c:pt>
                <c:pt idx="112">
                  <c:v>-1.8478691912006558E-3</c:v>
                </c:pt>
                <c:pt idx="113">
                  <c:v>-1.7595742798845314E-3</c:v>
                </c:pt>
                <c:pt idx="114">
                  <c:v>-1.6761611931281175E-3</c:v>
                </c:pt>
                <c:pt idx="115">
                  <c:v>-1.5973239920476154E-3</c:v>
                </c:pt>
                <c:pt idx="116">
                  <c:v>-1.522778128130673E-3</c:v>
                </c:pt>
                <c:pt idx="117">
                  <c:v>-1.4522587955057697E-3</c:v>
                </c:pt>
                <c:pt idx="118">
                  <c:v>-1.385519421632884E-3</c:v>
                </c:pt>
                <c:pt idx="119">
                  <c:v>-1.3223302838414842E-3</c:v>
                </c:pt>
                <c:pt idx="120">
                  <c:v>-1.262477240368039E-3</c:v>
                </c:pt>
                <c:pt idx="121">
                  <c:v>-1.2057605656439045E-3</c:v>
                </c:pt>
                <c:pt idx="122">
                  <c:v>-1.1519938805694993E-3</c:v>
                </c:pt>
                <c:pt idx="123">
                  <c:v>-1.1010031693948158E-3</c:v>
                </c:pt>
                <c:pt idx="124">
                  <c:v>-1.0526258756203457E-3</c:v>
                </c:pt>
                <c:pt idx="125">
                  <c:v>-1.0067100700462055E-3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Phe!$T$6</c:f>
              <c:strCache>
                <c:ptCount val="1"/>
                <c:pt idx="0">
                  <c:v>Lys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Phe!$T$7:$T$132</c:f>
              <c:numCache>
                <c:formatCode>0.00</c:formatCode>
                <c:ptCount val="126"/>
                <c:pt idx="0">
                  <c:v>4919785.6873859372</c:v>
                </c:pt>
                <c:pt idx="1">
                  <c:v>1566405.0590812932</c:v>
                </c:pt>
                <c:pt idx="2">
                  <c:v>550708.27745588741</c:v>
                </c:pt>
                <c:pt idx="3">
                  <c:v>210371.69920433563</c:v>
                </c:pt>
                <c:pt idx="4">
                  <c:v>86220.406914795691</c:v>
                </c:pt>
                <c:pt idx="5">
                  <c:v>37530.757100867442</c:v>
                </c:pt>
                <c:pt idx="6">
                  <c:v>17207.208095005481</c:v>
                </c:pt>
                <c:pt idx="7">
                  <c:v>8251.9378811505285</c:v>
                </c:pt>
                <c:pt idx="8">
                  <c:v>4114.6474054061364</c:v>
                </c:pt>
                <c:pt idx="9">
                  <c:v>2122.0881247601119</c:v>
                </c:pt>
                <c:pt idx="10">
                  <c:v>1126.6513687732211</c:v>
                </c:pt>
                <c:pt idx="11">
                  <c:v>613.03515392912891</c:v>
                </c:pt>
                <c:pt idx="12">
                  <c:v>340.3877617473733</c:v>
                </c:pt>
                <c:pt idx="13">
                  <c:v>192.01308625401251</c:v>
                </c:pt>
                <c:pt idx="14">
                  <c:v>109.51101896530787</c:v>
                </c:pt>
                <c:pt idx="15">
                  <c:v>62.790285082667687</c:v>
                </c:pt>
                <c:pt idx="16">
                  <c:v>35.932241961537372</c:v>
                </c:pt>
                <c:pt idx="17">
                  <c:v>20.313096725456106</c:v>
                </c:pt>
                <c:pt idx="18">
                  <c:v>11.159761556853587</c:v>
                </c:pt>
                <c:pt idx="19">
                  <c:v>5.7790756362298863</c:v>
                </c:pt>
                <c:pt idx="20">
                  <c:v>2.6251092937938361</c:v>
                </c:pt>
                <c:pt idx="21">
                  <c:v>0.79688552376884869</c:v>
                </c:pt>
                <c:pt idx="22">
                  <c:v>-0.237671104317522</c:v>
                </c:pt>
                <c:pt idx="23">
                  <c:v>-0.79631298311357823</c:v>
                </c:pt>
                <c:pt idx="24">
                  <c:v>-1.0705234733583271</c:v>
                </c:pt>
                <c:pt idx="25">
                  <c:v>-1.1764681359229339</c:v>
                </c:pt>
                <c:pt idx="26">
                  <c:v>-1.1849009381812012</c:v>
                </c:pt>
                <c:pt idx="27">
                  <c:v>-1.1389464101807474</c:v>
                </c:pt>
                <c:pt idx="28">
                  <c:v>-1.0647963235799607</c:v>
                </c:pt>
                <c:pt idx="29">
                  <c:v>-0.9782106605057086</c:v>
                </c:pt>
                <c:pt idx="30">
                  <c:v>-0.8885040027211597</c:v>
                </c:pt>
                <c:pt idx="31">
                  <c:v>-0.80100833554961892</c:v>
                </c:pt>
                <c:pt idx="32">
                  <c:v>-0.7186036099901244</c:v>
                </c:pt>
                <c:pt idx="33">
                  <c:v>-0.64267291544190297</c:v>
                </c:pt>
                <c:pt idx="34">
                  <c:v>-0.57369983754050957</c:v>
                </c:pt>
                <c:pt idx="35">
                  <c:v>-0.51164190425965939</c:v>
                </c:pt>
                <c:pt idx="36">
                  <c:v>-0.45616322509831991</c:v>
                </c:pt>
                <c:pt idx="37">
                  <c:v>-0.40677828606797134</c:v>
                </c:pt>
                <c:pt idx="38">
                  <c:v>-0.36293960022051303</c:v>
                </c:pt>
                <c:pt idx="39">
                  <c:v>-0.32408990117610492</c:v>
                </c:pt>
                <c:pt idx="40">
                  <c:v>-0.28969202144681239</c:v>
                </c:pt>
                <c:pt idx="41">
                  <c:v>-0.25924482679782657</c:v>
                </c:pt>
                <c:pt idx="42">
                  <c:v>-0.23229054506050167</c:v>
                </c:pt>
                <c:pt idx="43">
                  <c:v>-0.20841689089898399</c:v>
                </c:pt>
                <c:pt idx="44">
                  <c:v>-0.18725614670798907</c:v>
                </c:pt>
                <c:pt idx="45">
                  <c:v>-0.16848256249038285</c:v>
                </c:pt>
                <c:pt idx="46">
                  <c:v>-0.15180892501176751</c:v>
                </c:pt>
                <c:pt idx="47">
                  <c:v>-0.13698281735802514</c:v>
                </c:pt>
                <c:pt idx="48">
                  <c:v>-0.12378287928952297</c:v>
                </c:pt>
                <c:pt idx="49">
                  <c:v>-0.11201524469214756</c:v>
                </c:pt>
                <c:pt idx="50">
                  <c:v>-0.10151024795030625</c:v>
                </c:pt>
                <c:pt idx="51">
                  <c:v>-9.211943868372828E-2</c:v>
                </c:pt>
                <c:pt idx="52">
                  <c:v>-8.3712912600154885E-2</c:v>
                </c:pt>
                <c:pt idx="53">
                  <c:v>-7.6176947795668776E-2</c:v>
                </c:pt>
                <c:pt idx="54">
                  <c:v>-6.941192584597157E-2</c:v>
                </c:pt>
                <c:pt idx="55">
                  <c:v>-6.3330512326678745E-2</c:v>
                </c:pt>
                <c:pt idx="56">
                  <c:v>-5.7856069934983566E-2</c:v>
                </c:pt>
                <c:pt idx="57">
                  <c:v>-5.2921277839279926E-2</c:v>
                </c:pt>
                <c:pt idx="58">
                  <c:v>-4.8466932412419013E-2</c:v>
                </c:pt>
                <c:pt idx="59">
                  <c:v>-4.4440906573806956E-2</c:v>
                </c:pt>
                <c:pt idx="60">
                  <c:v>-4.0797247243920212E-2</c:v>
                </c:pt>
                <c:pt idx="61">
                  <c:v>-3.7495392702221214E-2</c:v>
                </c:pt>
                <c:pt idx="62">
                  <c:v>-3.4499493821105703E-2</c:v>
                </c:pt>
                <c:pt idx="63">
                  <c:v>-3.1777825163796486E-2</c:v>
                </c:pt>
                <c:pt idx="64">
                  <c:v>-2.9302273756410927E-2</c:v>
                </c:pt>
                <c:pt idx="65">
                  <c:v>-2.7047894967927321E-2</c:v>
                </c:pt>
                <c:pt idx="66">
                  <c:v>-2.4992526362811081E-2</c:v>
                </c:pt>
                <c:pt idx="67">
                  <c:v>-2.3116451642679833E-2</c:v>
                </c:pt>
                <c:pt idx="68">
                  <c:v>-2.140210788181961E-2</c:v>
                </c:pt>
                <c:pt idx="69">
                  <c:v>-1.9833830203892885E-2</c:v>
                </c:pt>
                <c:pt idx="70">
                  <c:v>-1.839762886082941E-2</c:v>
                </c:pt>
                <c:pt idx="71">
                  <c:v>-1.7080994375705628E-2</c:v>
                </c:pt>
                <c:pt idx="72">
                  <c:v>-1.5872727014098947E-2</c:v>
                </c:pt>
                <c:pt idx="73">
                  <c:v>-1.4762787366141766E-2</c:v>
                </c:pt>
                <c:pt idx="74">
                  <c:v>-1.3742165265991443E-2</c:v>
                </c:pt>
                <c:pt idx="75">
                  <c:v>-1.2802764656924081E-2</c:v>
                </c:pt>
                <c:pt idx="76">
                  <c:v>-1.1937302337675265E-2</c:v>
                </c:pt>
                <c:pt idx="77">
                  <c:v>-1.1139218806709815E-2</c:v>
                </c:pt>
                <c:pt idx="78">
                  <c:v>-1.0402599662459967E-2</c:v>
                </c:pt>
                <c:pt idx="79">
                  <c:v>-9.7221062249455061E-3</c:v>
                </c:pt>
                <c:pt idx="80">
                  <c:v>-9.0929142224784841E-3</c:v>
                </c:pt>
                <c:pt idx="81">
                  <c:v>-8.5106595405557792E-3</c:v>
                </c:pt>
                <c:pt idx="82">
                  <c:v>-7.9713901621362108E-3</c:v>
                </c:pt>
                <c:pt idx="83">
                  <c:v>-7.4715235423483701E-3</c:v>
                </c:pt>
                <c:pt idx="84">
                  <c:v>-7.0078087588930447E-3</c:v>
                </c:pt>
                <c:pt idx="85">
                  <c:v>-6.5772928642206102E-3</c:v>
                </c:pt>
                <c:pt idx="86">
                  <c:v>-6.1772909388834044E-3</c:v>
                </c:pt>
                <c:pt idx="87">
                  <c:v>-5.8053594089106661E-3</c:v>
                </c:pt>
                <c:pt idx="88">
                  <c:v>-5.4592722450181623E-3</c:v>
                </c:pt>
                <c:pt idx="89">
                  <c:v>-5.1369997091321798E-3</c:v>
                </c:pt>
                <c:pt idx="90">
                  <c:v>-4.8366893550926488E-3</c:v>
                </c:pt>
                <c:pt idx="91">
                  <c:v>-4.5566490263711113E-3</c:v>
                </c:pt>
                <c:pt idx="92">
                  <c:v>-4.2953316249389984E-3</c:v>
                </c:pt>
                <c:pt idx="93">
                  <c:v>-4.0513214526878092E-3</c:v>
                </c:pt>
                <c:pt idx="94">
                  <c:v>-3.8233219505814527E-3</c:v>
                </c:pt>
                <c:pt idx="95">
                  <c:v>-3.6101446814816129E-3</c:v>
                </c:pt>
                <c:pt idx="96">
                  <c:v>-3.4106994207329664E-3</c:v>
                </c:pt>
                <c:pt idx="97">
                  <c:v>-3.223985234472941E-3</c:v>
                </c:pt>
                <c:pt idx="98">
                  <c:v>-3.0490824395396831E-3</c:v>
                </c:pt>
                <c:pt idx="99">
                  <c:v>-2.885145351049286E-3</c:v>
                </c:pt>
                <c:pt idx="100">
                  <c:v>-2.7313957344213173E-3</c:v>
                </c:pt>
                <c:pt idx="101">
                  <c:v>-2.5871168880425084E-3</c:v>
                </c:pt>
                <c:pt idx="102">
                  <c:v>-2.4516482910377745E-3</c:v>
                </c:pt>
                <c:pt idx="103">
                  <c:v>-2.3243807579095702E-3</c:v>
                </c:pt>
                <c:pt idx="104">
                  <c:v>-2.2047520482352308E-3</c:v>
                </c:pt>
                <c:pt idx="105">
                  <c:v>-2.0922428852855508E-3</c:v>
                </c:pt>
                <c:pt idx="106">
                  <c:v>-1.9863733424402064E-3</c:v>
                </c:pt>
                <c:pt idx="107">
                  <c:v>-1.8866995607082135E-3</c:v>
                </c:pt>
                <c:pt idx="108">
                  <c:v>-1.7928107645854897E-3</c:v>
                </c:pt>
                <c:pt idx="109">
                  <c:v>-1.7043265469585235E-3</c:v>
                </c:pt>
                <c:pt idx="110">
                  <c:v>-1.62089439684703E-3</c:v>
                </c:pt>
                <c:pt idx="111">
                  <c:v>-1.5421874465164302E-3</c:v>
                </c:pt>
                <c:pt idx="112">
                  <c:v>-1.4679024169240783E-3</c:v>
                </c:pt>
                <c:pt idx="113">
                  <c:v>-1.397757742627374E-3</c:v>
                </c:pt>
                <c:pt idx="114">
                  <c:v>-1.3314918592087297E-3</c:v>
                </c:pt>
                <c:pt idx="115">
                  <c:v>-1.2688616379894272E-3</c:v>
                </c:pt>
                <c:pt idx="116">
                  <c:v>-1.2096409543359029E-3</c:v>
                </c:pt>
                <c:pt idx="117">
                  <c:v>-1.1536193772292136E-3</c:v>
                </c:pt>
                <c:pt idx="118">
                  <c:v>-1.1006009689900368E-3</c:v>
                </c:pt>
                <c:pt idx="119">
                  <c:v>-1.0504031851440558E-3</c:v>
                </c:pt>
                <c:pt idx="120">
                  <c:v>-1.0028558653903583E-3</c:v>
                </c:pt>
                <c:pt idx="121">
                  <c:v>-9.5780030751146255E-4</c:v>
                </c:pt>
                <c:pt idx="122">
                  <c:v>-9.1508841684882368E-4</c:v>
                </c:pt>
                <c:pt idx="123">
                  <c:v>-8.7458192467237831E-4</c:v>
                </c:pt>
                <c:pt idx="124">
                  <c:v>-8.3615166940543672E-4</c:v>
                </c:pt>
                <c:pt idx="125">
                  <c:v>-7.9967693523491515E-4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Phe!$U$6</c:f>
              <c:strCache>
                <c:ptCount val="1"/>
                <c:pt idx="0">
                  <c:v>Pro</c:v>
                </c:pt>
              </c:strCache>
            </c:strRef>
          </c:tx>
          <c:marker>
            <c:symbol val="none"/>
          </c:marker>
          <c:xVal>
            <c:numRef>
              <c:f>Phe!$A$7:$A$132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Phe!$U$7:$U$132</c:f>
              <c:numCache>
                <c:formatCode>0.00</c:formatCode>
                <c:ptCount val="126"/>
                <c:pt idx="0">
                  <c:v>21062423.877524596</c:v>
                </c:pt>
                <c:pt idx="1">
                  <c:v>6708675.168011399</c:v>
                </c:pt>
                <c:pt idx="2">
                  <c:v>2360060.1984319594</c:v>
                </c:pt>
                <c:pt idx="3">
                  <c:v>902395.94365215953</c:v>
                </c:pt>
                <c:pt idx="4">
                  <c:v>370357.73683788063</c:v>
                </c:pt>
                <c:pt idx="5">
                  <c:v>161533.34059636702</c:v>
                </c:pt>
                <c:pt idx="6">
                  <c:v>74267.388497520515</c:v>
                </c:pt>
                <c:pt idx="7">
                  <c:v>35753.348390172847</c:v>
                </c:pt>
                <c:pt idx="8">
                  <c:v>17921.193382334783</c:v>
                </c:pt>
                <c:pt idx="9">
                  <c:v>9307.8773659453345</c:v>
                </c:pt>
                <c:pt idx="10">
                  <c:v>4988.1505019799506</c:v>
                </c:pt>
                <c:pt idx="11">
                  <c:v>2747.9534750499347</c:v>
                </c:pt>
                <c:pt idx="12">
                  <c:v>1550.9069882082463</c:v>
                </c:pt>
                <c:pt idx="13">
                  <c:v>893.91565216071251</c:v>
                </c:pt>
                <c:pt idx="14">
                  <c:v>524.59794063299432</c:v>
                </c:pt>
                <c:pt idx="15">
                  <c:v>312.51448491465459</c:v>
                </c:pt>
                <c:pt idx="16">
                  <c:v>188.39750034372128</c:v>
                </c:pt>
                <c:pt idx="17">
                  <c:v>114.54329590219236</c:v>
                </c:pt>
                <c:pt idx="18">
                  <c:v>69.96089388350687</c:v>
                </c:pt>
                <c:pt idx="19">
                  <c:v>42.720508306282149</c:v>
                </c:pt>
                <c:pt idx="20">
                  <c:v>25.913200581185187</c:v>
                </c:pt>
                <c:pt idx="21">
                  <c:v>15.468404541035996</c:v>
                </c:pt>
                <c:pt idx="22">
                  <c:v>8.9500186319361177</c:v>
                </c:pt>
                <c:pt idx="23">
                  <c:v>4.8792750912286316</c:v>
                </c:pt>
                <c:pt idx="24">
                  <c:v>2.3469748209993484</c:v>
                </c:pt>
                <c:pt idx="25">
                  <c:v>0.78769292085515152</c:v>
                </c:pt>
                <c:pt idx="26">
                  <c:v>-0.15375171957641812</c:v>
                </c:pt>
                <c:pt idx="27">
                  <c:v>-0.70240496960625798</c:v>
                </c:pt>
                <c:pt idx="28">
                  <c:v>-1.0018796162538095</c:v>
                </c:pt>
                <c:pt idx="29">
                  <c:v>-1.1443297793766591</c:v>
                </c:pt>
                <c:pt idx="30">
                  <c:v>-1.189108998443605</c:v>
                </c:pt>
                <c:pt idx="31">
                  <c:v>-1.1745054451747778</c:v>
                </c:pt>
                <c:pt idx="32">
                  <c:v>-1.1251930714012279</c:v>
                </c:pt>
                <c:pt idx="33">
                  <c:v>-1.0570032309684991</c:v>
                </c:pt>
                <c:pt idx="34">
                  <c:v>-0.98000372720754236</c:v>
                </c:pt>
                <c:pt idx="35">
                  <c:v>-0.90049894119724716</c:v>
                </c:pt>
                <c:pt idx="36">
                  <c:v>-0.82233645645021292</c:v>
                </c:pt>
                <c:pt idx="37">
                  <c:v>-0.74776453121531072</c:v>
                </c:pt>
                <c:pt idx="38">
                  <c:v>-0.67799669417839825</c:v>
                </c:pt>
                <c:pt idx="39">
                  <c:v>-0.61358422112724986</c:v>
                </c:pt>
                <c:pt idx="40">
                  <c:v>-0.55466193974610001</c:v>
                </c:pt>
                <c:pt idx="41">
                  <c:v>-0.50111016293808996</c:v>
                </c:pt>
                <c:pt idx="42">
                  <c:v>-0.45266091240798534</c:v>
                </c:pt>
                <c:pt idx="43">
                  <c:v>-0.40896706305646385</c:v>
                </c:pt>
                <c:pt idx="44">
                  <c:v>-0.36964679132017059</c:v>
                </c:pt>
                <c:pt idx="45">
                  <c:v>-0.33431159038350738</c:v>
                </c:pt>
                <c:pt idx="46">
                  <c:v>-0.30258338273045388</c:v>
                </c:pt>
                <c:pt idx="47">
                  <c:v>-0.27410443935870576</c:v>
                </c:pt>
                <c:pt idx="48">
                  <c:v>-0.2485425959308912</c:v>
                </c:pt>
                <c:pt idx="49">
                  <c:v>-0.22559343712852589</c:v>
                </c:pt>
                <c:pt idx="50">
                  <c:v>-0.20498056861357364</c:v>
                </c:pt>
                <c:pt idx="51">
                  <c:v>-0.18645472336512306</c:v>
                </c:pt>
                <c:pt idx="52">
                  <c:v>-0.16979219724486971</c:v>
                </c:pt>
                <c:pt idx="53">
                  <c:v>-0.15479293833130131</c:v>
                </c:pt>
                <c:pt idx="54">
                  <c:v>-0.14127849956003671</c:v>
                </c:pt>
                <c:pt idx="55">
                  <c:v>-0.12908998677679542</c:v>
                </c:pt>
                <c:pt idx="56">
                  <c:v>-0.11808608243343478</c:v>
                </c:pt>
                <c:pt idx="57">
                  <c:v>-0.10814119067013282</c:v>
                </c:pt>
                <c:pt idx="58">
                  <c:v>-9.9143726863157478E-2</c:v>
                </c:pt>
                <c:pt idx="59">
                  <c:v>-9.0994560077591283E-2</c:v>
                </c:pt>
                <c:pt idx="60">
                  <c:v>-8.3605607649030828E-2</c:v>
                </c:pt>
                <c:pt idx="61">
                  <c:v>-7.6898575549264561E-2</c:v>
                </c:pt>
                <c:pt idx="62">
                  <c:v>-7.0803835051623076E-2</c:v>
                </c:pt>
                <c:pt idx="63">
                  <c:v>-6.5259424670894628E-2</c:v>
                </c:pt>
                <c:pt idx="64">
                  <c:v>-6.0210165844088392E-2</c:v>
                </c:pt>
                <c:pt idx="65">
                  <c:v>-5.5606880957768064E-2</c:v>
                </c:pt>
                <c:pt idx="66">
                  <c:v>-5.1405702856297239E-2</c:v>
                </c:pt>
                <c:pt idx="67">
                  <c:v>-4.7567465710402122E-2</c:v>
                </c:pt>
                <c:pt idx="68">
                  <c:v>-4.4057167973251946E-2</c:v>
                </c:pt>
                <c:pt idx="69">
                  <c:v>-4.0843499028464875E-2</c:v>
                </c:pt>
                <c:pt idx="70">
                  <c:v>-3.7898421995183354E-2</c:v>
                </c:pt>
                <c:pt idx="71">
                  <c:v>-3.5196805972282051E-2</c:v>
                </c:pt>
                <c:pt idx="72">
                  <c:v>-3.2716101761913273E-2</c:v>
                </c:pt>
                <c:pt idx="73">
                  <c:v>-3.0436055805129428E-2</c:v>
                </c:pt>
                <c:pt idx="74">
                  <c:v>-2.8338457687679498E-2</c:v>
                </c:pt>
                <c:pt idx="75">
                  <c:v>-2.6406917133938623E-2</c:v>
                </c:pt>
                <c:pt idx="76">
                  <c:v>-2.4626666904918344E-2</c:v>
                </c:pt>
                <c:pt idx="77">
                  <c:v>-2.2984388457069575E-2</c:v>
                </c:pt>
                <c:pt idx="78">
                  <c:v>-2.1468057607237384E-2</c:v>
                </c:pt>
                <c:pt idx="79">
                  <c:v>-2.0066807790829769E-2</c:v>
                </c:pt>
                <c:pt idx="80">
                  <c:v>-1.8770808800035531E-2</c:v>
                </c:pt>
                <c:pt idx="81">
                  <c:v>-1.7571159151488533E-2</c:v>
                </c:pt>
                <c:pt idx="82">
                  <c:v>-1.6459790462469537E-2</c:v>
                </c:pt>
                <c:pt idx="83">
                  <c:v>-1.5429382415515766E-2</c:v>
                </c:pt>
                <c:pt idx="84">
                  <c:v>-1.4473287066716252E-2</c:v>
                </c:pt>
                <c:pt idx="85">
                  <c:v>-1.3585461406171334E-2</c:v>
                </c:pt>
                <c:pt idx="86">
                  <c:v>-1.2760407212887369E-2</c:v>
                </c:pt>
                <c:pt idx="87">
                  <c:v>-1.199311736323054E-2</c:v>
                </c:pt>
                <c:pt idx="88">
                  <c:v>-1.1279027854143611E-2</c:v>
                </c:pt>
                <c:pt idx="89">
                  <c:v>-1.061397489153515E-2</c:v>
                </c:pt>
                <c:pt idx="90">
                  <c:v>-9.9941564722382768E-3</c:v>
                </c:pt>
                <c:pt idx="91">
                  <c:v>-9.4160979561530109E-3</c:v>
                </c:pt>
                <c:pt idx="92">
                  <c:v>-8.8766211848895962E-3</c:v>
                </c:pt>
                <c:pt idx="93">
                  <c:v>-8.3728167555183215E-3</c:v>
                </c:pt>
                <c:pt idx="94">
                  <c:v>-7.9020191038549053E-3</c:v>
                </c:pt>
                <c:pt idx="95">
                  <c:v>-7.4617840918989832E-3</c:v>
                </c:pt>
                <c:pt idx="96">
                  <c:v>-7.0498688293169033E-3</c:v>
                </c:pt>
                <c:pt idx="97">
                  <c:v>-6.6642134898432411E-3</c:v>
                </c:pt>
                <c:pt idx="98">
                  <c:v>-6.302924910713585E-3</c:v>
                </c:pt>
                <c:pt idx="99">
                  <c:v>-5.964261787205982E-3</c:v>
                </c:pt>
                <c:pt idx="100">
                  <c:v>-5.6466212954713315E-3</c:v>
                </c:pt>
                <c:pt idx="101">
                  <c:v>-5.3485269954322446E-3</c:v>
                </c:pt>
                <c:pt idx="102">
                  <c:v>-5.0686178819358638E-3</c:v>
                </c:pt>
                <c:pt idx="103">
                  <c:v>-4.8056384668308345E-3</c:v>
                </c:pt>
                <c:pt idx="104">
                  <c:v>-4.558429787438055E-3</c:v>
                </c:pt>
                <c:pt idx="105">
                  <c:v>-4.3259212482047076E-3</c:v>
                </c:pt>
                <c:pt idx="106">
                  <c:v>-4.1071232123519492E-3</c:v>
                </c:pt>
                <c:pt idx="107">
                  <c:v>-3.9011202692045398E-3</c:v>
                </c:pt>
                <c:pt idx="108">
                  <c:v>-3.7070651107636091E-3</c:v>
                </c:pt>
                <c:pt idx="109">
                  <c:v>-3.5241729580711553E-3</c:v>
                </c:pt>
                <c:pt idx="110">
                  <c:v>-3.3517164841219008E-3</c:v>
                </c:pt>
                <c:pt idx="111">
                  <c:v>-3.1890211855966832E-3</c:v>
                </c:pt>
                <c:pt idx="112">
                  <c:v>-3.0354611606023029E-3</c:v>
                </c:pt>
                <c:pt idx="113">
                  <c:v>-2.8904552539761917E-3</c:v>
                </c:pt>
                <c:pt idx="114">
                  <c:v>-2.7534635356128464E-3</c:v>
                </c:pt>
                <c:pt idx="115">
                  <c:v>-2.6239840807466032E-3</c:v>
                </c:pt>
                <c:pt idx="116">
                  <c:v>-2.5015500242308391E-3</c:v>
                </c:pt>
                <c:pt idx="117">
                  <c:v>-2.3857268636283966E-3</c:v>
                </c:pt>
                <c:pt idx="118">
                  <c:v>-2.2761099884097626E-3</c:v>
                </c:pt>
                <c:pt idx="119">
                  <c:v>-2.1723224147768313E-3</c:v>
                </c:pt>
                <c:pt idx="120">
                  <c:v>-2.0740127076197584E-3</c:v>
                </c:pt>
                <c:pt idx="121">
                  <c:v>-1.980853072898422E-3</c:v>
                </c:pt>
                <c:pt idx="122">
                  <c:v>-1.8925376053402605E-3</c:v>
                </c:pt>
                <c:pt idx="123">
                  <c:v>-1.8087806777835128E-3</c:v>
                </c:pt>
                <c:pt idx="124">
                  <c:v>-1.7293154597861054E-3</c:v>
                </c:pt>
                <c:pt idx="125">
                  <c:v>-1.6538925542817851E-3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35552"/>
        <c:axId val="226937088"/>
      </c:scatterChart>
      <c:valAx>
        <c:axId val="226935552"/>
        <c:scaling>
          <c:orientation val="minMax"/>
          <c:max val="25"/>
        </c:scaling>
        <c:delete val="0"/>
        <c:axPos val="b"/>
        <c:numFmt formatCode="General" sourceLinked="1"/>
        <c:majorTickMark val="out"/>
        <c:minorTickMark val="none"/>
        <c:tickLblPos val="nextTo"/>
        <c:crossAx val="226937088"/>
        <c:crosses val="autoZero"/>
        <c:crossBetween val="midCat"/>
      </c:valAx>
      <c:valAx>
        <c:axId val="226937088"/>
        <c:scaling>
          <c:orientation val="minMax"/>
          <c:max val="5"/>
          <c:min val="-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269355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Ile!$B$6</c:f>
              <c:strCache>
                <c:ptCount val="1"/>
                <c:pt idx="0">
                  <c:v>Cys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Ile!$B$7:$B$132</c:f>
              <c:numCache>
                <c:formatCode>0.00</c:formatCode>
                <c:ptCount val="126"/>
                <c:pt idx="0">
                  <c:v>30119130.974924564</c:v>
                </c:pt>
                <c:pt idx="1">
                  <c:v>9593806.0218731202</c:v>
                </c:pt>
                <c:pt idx="2">
                  <c:v>3375272.8394516576</c:v>
                </c:pt>
                <c:pt idx="3">
                  <c:v>1290716.7790681315</c:v>
                </c:pt>
                <c:pt idx="4">
                  <c:v>529816.99609850452</c:v>
                </c:pt>
                <c:pt idx="5">
                  <c:v>231136.13961405479</c:v>
                </c:pt>
                <c:pt idx="6">
                  <c:v>106303.02580338313</c:v>
                </c:pt>
                <c:pt idx="7">
                  <c:v>51198.714258649627</c:v>
                </c:pt>
                <c:pt idx="8">
                  <c:v>25678.6816156553</c:v>
                </c:pt>
                <c:pt idx="9">
                  <c:v>13347.742499173037</c:v>
                </c:pt>
                <c:pt idx="10">
                  <c:v>7160.7755408685998</c:v>
                </c:pt>
                <c:pt idx="11">
                  <c:v>3950.3484772153238</c:v>
                </c:pt>
                <c:pt idx="12">
                  <c:v>2233.5608067707026</c:v>
                </c:pt>
                <c:pt idx="13">
                  <c:v>1290.3998570070382</c:v>
                </c:pt>
                <c:pt idx="14">
                  <c:v>759.5640097716248</c:v>
                </c:pt>
                <c:pt idx="15">
                  <c:v>454.25402199200425</c:v>
                </c:pt>
                <c:pt idx="16">
                  <c:v>275.22919619613646</c:v>
                </c:pt>
                <c:pt idx="17">
                  <c:v>168.44147950207073</c:v>
                </c:pt>
                <c:pt idx="18">
                  <c:v>103.78016011375693</c:v>
                </c:pt>
                <c:pt idx="19">
                  <c:v>64.118361813436593</c:v>
                </c:pt>
                <c:pt idx="20">
                  <c:v>39.527407638129326</c:v>
                </c:pt>
                <c:pt idx="21">
                  <c:v>24.150481764638943</c:v>
                </c:pt>
                <c:pt idx="22">
                  <c:v>14.47732888962712</c:v>
                </c:pt>
                <c:pt idx="23">
                  <c:v>8.373375330984695</c:v>
                </c:pt>
                <c:pt idx="24">
                  <c:v>4.5234097878617971</c:v>
                </c:pt>
                <c:pt idx="25">
                  <c:v>2.1074078762225876</c:v>
                </c:pt>
                <c:pt idx="26">
                  <c:v>0.60865863664354658</c:v>
                </c:pt>
                <c:pt idx="27">
                  <c:v>-0.30146056811164146</c:v>
                </c:pt>
                <c:pt idx="28">
                  <c:v>-0.83361761199973172</c:v>
                </c:pt>
                <c:pt idx="29">
                  <c:v>-1.1237497251304667</c:v>
                </c:pt>
                <c:pt idx="30">
                  <c:v>-1.2600125309417414</c:v>
                </c:pt>
                <c:pt idx="31">
                  <c:v>-1.2997620191422039</c:v>
                </c:pt>
                <c:pt idx="32">
                  <c:v>-1.2803609857097742</c:v>
                </c:pt>
                <c:pt idx="33">
                  <c:v>-1.2261173548124757</c:v>
                </c:pt>
                <c:pt idx="34">
                  <c:v>-1.1527750614433199</c:v>
                </c:pt>
                <c:pt idx="35">
                  <c:v>-1.0704418213905007</c:v>
                </c:pt>
                <c:pt idx="36">
                  <c:v>-0.98550992109365587</c:v>
                </c:pt>
                <c:pt idx="37">
                  <c:v>-0.90192313504386579</c:v>
                </c:pt>
                <c:pt idx="38">
                  <c:v>-0.82201598663977571</c:v>
                </c:pt>
                <c:pt idx="39">
                  <c:v>-0.74707148855485062</c:v>
                </c:pt>
                <c:pt idx="40">
                  <c:v>-0.67769249868888937</c:v>
                </c:pt>
                <c:pt idx="41">
                  <c:v>-0.61404906858045583</c:v>
                </c:pt>
                <c:pt idx="42">
                  <c:v>-0.55604294926530384</c:v>
                </c:pt>
                <c:pt idx="43">
                  <c:v>-0.50341658136060374</c:v>
                </c:pt>
                <c:pt idx="44">
                  <c:v>-0.45582480522355234</c:v>
                </c:pt>
                <c:pt idx="45">
                  <c:v>-0.41288151612836715</c:v>
                </c:pt>
                <c:pt idx="46">
                  <c:v>-0.37418949136839197</c:v>
                </c:pt>
                <c:pt idx="47">
                  <c:v>-0.33935894258389121</c:v>
                </c:pt>
                <c:pt idx="48">
                  <c:v>-0.30801855001507017</c:v>
                </c:pt>
                <c:pt idx="49">
                  <c:v>-0.27982152294742468</c:v>
                </c:pt>
                <c:pt idx="50">
                  <c:v>-0.25444840942167968</c:v>
                </c:pt>
                <c:pt idx="51">
                  <c:v>-0.23160782042019173</c:v>
                </c:pt>
                <c:pt idx="52">
                  <c:v>-0.21103585392710753</c:v>
                </c:pt>
                <c:pt idx="53">
                  <c:v>-0.19249474530820693</c:v>
                </c:pt>
                <c:pt idx="54">
                  <c:v>-0.17577109383596162</c:v>
                </c:pt>
                <c:pt idx="55">
                  <c:v>-0.16067389481051547</c:v>
                </c:pt>
                <c:pt idx="56">
                  <c:v>-0.14703252486417742</c:v>
                </c:pt>
                <c:pt idx="57">
                  <c:v>-0.13469477258395615</c:v>
                </c:pt>
                <c:pt idx="58">
                  <c:v>-0.12352496925790617</c:v>
                </c:pt>
                <c:pt idx="59">
                  <c:v>-0.11340224965765611</c:v>
                </c:pt>
                <c:pt idx="60">
                  <c:v>-0.10421895639652524</c:v>
                </c:pt>
                <c:pt idx="61">
                  <c:v>-9.5879190851543228E-2</c:v>
                </c:pt>
                <c:pt idx="62">
                  <c:v>-8.8297507046578017E-2</c:v>
                </c:pt>
                <c:pt idx="63">
                  <c:v>-8.1397740977707425E-2</c:v>
                </c:pt>
                <c:pt idx="64">
                  <c:v>-7.5111965734956251E-2</c:v>
                </c:pt>
                <c:pt idx="65">
                  <c:v>-6.9379561826708125E-2</c:v>
                </c:pt>
                <c:pt idx="66">
                  <c:v>-6.4146391926162422E-2</c:v>
                </c:pt>
                <c:pt idx="67">
                  <c:v>-5.9364069547603183E-2</c:v>
                </c:pt>
                <c:pt idx="68">
                  <c:v>-5.49893117305306E-2</c:v>
                </c:pt>
                <c:pt idx="69">
                  <c:v>-5.0983366532207246E-2</c:v>
                </c:pt>
                <c:pt idx="70">
                  <c:v>-4.7311506918282419E-2</c:v>
                </c:pt>
                <c:pt idx="71">
                  <c:v>-4.3942583441591708E-2</c:v>
                </c:pt>
                <c:pt idx="72">
                  <c:v>-4.0848628876476355E-2</c:v>
                </c:pt>
                <c:pt idx="73">
                  <c:v>-3.8004508709597679E-2</c:v>
                </c:pt>
                <c:pt idx="74">
                  <c:v>-3.5387612067291227E-2</c:v>
                </c:pt>
                <c:pt idx="75">
                  <c:v>-3.2977578279313975E-2</c:v>
                </c:pt>
                <c:pt idx="76">
                  <c:v>-3.0756054838740596E-2</c:v>
                </c:pt>
                <c:pt idx="77">
                  <c:v>-2.8706483019625726E-2</c:v>
                </c:pt>
                <c:pt idx="78">
                  <c:v>-2.6813907861232479E-2</c:v>
                </c:pt>
                <c:pt idx="79">
                  <c:v>-2.5064809624279847E-2</c:v>
                </c:pt>
                <c:pt idx="80">
                  <c:v>-2.344695417526375E-2</c:v>
                </c:pt>
                <c:pt idx="81">
                  <c:v>-2.194926006397754E-2</c:v>
                </c:pt>
                <c:pt idx="82">
                  <c:v>-2.0561680331255591E-2</c:v>
                </c:pt>
                <c:pt idx="83">
                  <c:v>-1.9275097322797963E-2</c:v>
                </c:pt>
                <c:pt idx="84">
                  <c:v>-1.8081228994487362E-2</c:v>
                </c:pt>
                <c:pt idx="85">
                  <c:v>-1.6972545378328426E-2</c:v>
                </c:pt>
                <c:pt idx="86">
                  <c:v>-1.594219403912776E-2</c:v>
                </c:pt>
                <c:pt idx="87">
                  <c:v>-1.4983933493061636E-2</c:v>
                </c:pt>
                <c:pt idx="88">
                  <c:v>-1.4092073682811802E-2</c:v>
                </c:pt>
                <c:pt idx="89">
                  <c:v>-1.3261422712165872E-2</c:v>
                </c:pt>
                <c:pt idx="90">
                  <c:v>-1.2487239137793671E-2</c:v>
                </c:pt>
                <c:pt idx="91">
                  <c:v>-1.1765189199012455E-2</c:v>
                </c:pt>
                <c:pt idx="92">
                  <c:v>-1.1091308439215634E-2</c:v>
                </c:pt>
                <c:pt idx="93">
                  <c:v>-1.0461967236556893E-2</c:v>
                </c:pt>
                <c:pt idx="94">
                  <c:v>-9.8738398175804154E-3</c:v>
                </c:pt>
                <c:pt idx="95">
                  <c:v>-9.323876376756475E-3</c:v>
                </c:pt>
                <c:pt idx="96">
                  <c:v>-8.8092779681787445E-3</c:v>
                </c:pt>
                <c:pt idx="97">
                  <c:v>-8.3274738737548377E-3</c:v>
                </c:pt>
                <c:pt idx="98">
                  <c:v>-7.8761011857301656E-3</c:v>
                </c:pt>
                <c:pt idx="99">
                  <c:v>-7.4529863708958071E-3</c:v>
                </c:pt>
                <c:pt idx="100">
                  <c:v>-7.0561286098410848E-3</c:v>
                </c:pt>
                <c:pt idx="101">
                  <c:v>-6.6836847275550011E-3</c:v>
                </c:pt>
                <c:pt idx="102">
                  <c:v>-6.3339555519343095E-3</c:v>
                </c:pt>
                <c:pt idx="103">
                  <c:v>-6.0053735546507329E-3</c:v>
                </c:pt>
                <c:pt idx="104">
                  <c:v>-5.6964916446530147E-3</c:v>
                </c:pt>
                <c:pt idx="105">
                  <c:v>-5.4059729985824635E-3</c:v>
                </c:pt>
                <c:pt idx="106">
                  <c:v>-5.1325818247838157E-3</c:v>
                </c:pt>
                <c:pt idx="107">
                  <c:v>-4.8751749685877026E-3</c:v>
                </c:pt>
                <c:pt idx="108">
                  <c:v>-4.6326942762957481E-3</c:v>
                </c:pt>
                <c:pt idx="109">
                  <c:v>-4.4041596439610767E-3</c:v>
                </c:pt>
                <c:pt idx="110">
                  <c:v>-4.1886626847546264E-3</c:v>
                </c:pt>
                <c:pt idx="111">
                  <c:v>-3.9853609555544579E-3</c:v>
                </c:pt>
                <c:pt idx="112">
                  <c:v>-3.7934726894901676E-3</c:v>
                </c:pt>
                <c:pt idx="113">
                  <c:v>-3.6122719866046355E-3</c:v>
                </c:pt>
                <c:pt idx="114">
                  <c:v>-3.4410844196373219E-3</c:v>
                </c:pt>
                <c:pt idx="115">
                  <c:v>-3.2792830162542128E-3</c:v>
                </c:pt>
                <c:pt idx="116">
                  <c:v>-3.1262845829087668E-3</c:v>
                </c:pt>
                <c:pt idx="117">
                  <c:v>-2.9815463389677621E-3</c:v>
                </c:pt>
                <c:pt idx="118">
                  <c:v>-2.8445628328217596E-3</c:v>
                </c:pt>
                <c:pt idx="119">
                  <c:v>-2.7148631144627714E-3</c:v>
                </c:pt>
                <c:pt idx="120">
                  <c:v>-2.5920081414870454E-3</c:v>
                </c:pt>
                <c:pt idx="121">
                  <c:v>-2.4755883977006744E-3</c:v>
                </c:pt>
                <c:pt idx="122">
                  <c:v>-2.3652217054975994E-3</c:v>
                </c:pt>
                <c:pt idx="123">
                  <c:v>-2.260551214968582E-3</c:v>
                </c:pt>
                <c:pt idx="124">
                  <c:v>-2.1612435543075102E-3</c:v>
                </c:pt>
                <c:pt idx="125">
                  <c:v>-2.0669871275275794E-3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Ile!$C$6</c:f>
              <c:strCache>
                <c:ptCount val="1"/>
                <c:pt idx="0">
                  <c:v>Met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Ile!$C$7:$C$132</c:f>
              <c:numCache>
                <c:formatCode>0.00</c:formatCode>
                <c:ptCount val="126"/>
                <c:pt idx="0">
                  <c:v>1546342.9279501224</c:v>
                </c:pt>
                <c:pt idx="1">
                  <c:v>492014.74395250803</c:v>
                </c:pt>
                <c:pt idx="2">
                  <c:v>172800.4512866626</c:v>
                </c:pt>
                <c:pt idx="3">
                  <c:v>65905.907111453314</c:v>
                </c:pt>
                <c:pt idx="4">
                  <c:v>26948.402700757812</c:v>
                </c:pt>
                <c:pt idx="5">
                  <c:v>11690.901002297242</c:v>
                </c:pt>
                <c:pt idx="6">
                  <c:v>5334.6234973993032</c:v>
                </c:pt>
                <c:pt idx="7">
                  <c:v>2541.3935575462338</c:v>
                </c:pt>
                <c:pt idx="8">
                  <c:v>1255.7106820298691</c:v>
                </c:pt>
                <c:pt idx="9">
                  <c:v>639.60738351740054</c:v>
                </c:pt>
                <c:pt idx="10">
                  <c:v>333.87019035098689</c:v>
                </c:pt>
                <c:pt idx="11">
                  <c:v>177.51290406011537</c:v>
                </c:pt>
                <c:pt idx="12">
                  <c:v>95.478712372108433</c:v>
                </c:pt>
                <c:pt idx="13">
                  <c:v>51.518850788218252</c:v>
                </c:pt>
                <c:pt idx="14">
                  <c:v>27.567659587221858</c:v>
                </c:pt>
                <c:pt idx="15">
                  <c:v>14.365418377839964</c:v>
                </c:pt>
                <c:pt idx="16">
                  <c:v>7.0460445931469939</c:v>
                </c:pt>
                <c:pt idx="17">
                  <c:v>2.9953075080448794</c:v>
                </c:pt>
                <c:pt idx="18">
                  <c:v>0.78137401698780085</c:v>
                </c:pt>
                <c:pt idx="19">
                  <c:v>-0.39309943470936809</c:v>
                </c:pt>
                <c:pt idx="20">
                  <c:v>-0.97830844999974442</c:v>
                </c:pt>
                <c:pt idx="21">
                  <c:v>-1.2312229588699928</c:v>
                </c:pt>
                <c:pt idx="22">
                  <c:v>-1.2996387897573942</c:v>
                </c:pt>
                <c:pt idx="23">
                  <c:v>-1.2688764791007479</c:v>
                </c:pt>
                <c:pt idx="24">
                  <c:v>-1.1881314543811123</c:v>
                </c:pt>
                <c:pt idx="25">
                  <c:v>-1.0855467515285118</c:v>
                </c:pt>
                <c:pt idx="26">
                  <c:v>-0.9769373313165588</c:v>
                </c:pt>
                <c:pt idx="27">
                  <c:v>-0.87089007359171067</c:v>
                </c:pt>
                <c:pt idx="28">
                  <c:v>-0.77176850308039779</c:v>
                </c:pt>
                <c:pt idx="29">
                  <c:v>-0.6814927957134822</c:v>
                </c:pt>
                <c:pt idx="30">
                  <c:v>-0.60059713779455515</c:v>
                </c:pt>
                <c:pt idx="31">
                  <c:v>-0.52885738118023318</c:v>
                </c:pt>
                <c:pt idx="32">
                  <c:v>-0.46566168990839074</c:v>
                </c:pt>
                <c:pt idx="33">
                  <c:v>-0.4102269035008918</c:v>
                </c:pt>
                <c:pt idx="34">
                  <c:v>-0.36172218507589871</c:v>
                </c:pt>
                <c:pt idx="35">
                  <c:v>-0.31933707744769385</c:v>
                </c:pt>
                <c:pt idx="36">
                  <c:v>-0.2823164466630167</c:v>
                </c:pt>
                <c:pt idx="37">
                  <c:v>-0.24997595529140093</c:v>
                </c:pt>
                <c:pt idx="38">
                  <c:v>-0.22170634233024328</c:v>
                </c:pt>
                <c:pt idx="39">
                  <c:v>-0.19697151382464989</c:v>
                </c:pt>
                <c:pt idx="40">
                  <c:v>-0.17530344605132772</c:v>
                </c:pt>
                <c:pt idx="41">
                  <c:v>-0.15629567689649998</c:v>
                </c:pt>
                <c:pt idx="42">
                  <c:v>-0.13959641114792565</c:v>
                </c:pt>
                <c:pt idx="43">
                  <c:v>-0.1249018088842318</c:v>
                </c:pt>
                <c:pt idx="44">
                  <c:v>-0.11194975065412098</c:v>
                </c:pt>
                <c:pt idx="45">
                  <c:v>-0.10051420937823341</c:v>
                </c:pt>
                <c:pt idx="46">
                  <c:v>-9.0400263939241637E-2</c:v>
                </c:pt>
                <c:pt idx="47">
                  <c:v>-8.1439736584191375E-2</c:v>
                </c:pt>
                <c:pt idx="48">
                  <c:v>-7.3487408968330975E-2</c:v>
                </c:pt>
                <c:pt idx="49">
                  <c:v>-6.6417759622976316E-2</c:v>
                </c:pt>
                <c:pt idx="50">
                  <c:v>-6.0122162453827586E-2</c:v>
                </c:pt>
                <c:pt idx="51">
                  <c:v>-5.4506487645784953E-2</c:v>
                </c:pt>
                <c:pt idx="52">
                  <c:v>-4.9489050675501745E-2</c:v>
                </c:pt>
                <c:pt idx="53">
                  <c:v>-4.4998860582129652E-2</c:v>
                </c:pt>
                <c:pt idx="54">
                  <c:v>-4.0974124385032895E-2</c:v>
                </c:pt>
                <c:pt idx="55">
                  <c:v>-3.7360970098497592E-2</c:v>
                </c:pt>
                <c:pt idx="56">
                  <c:v>-3.4112355936808898E-2</c:v>
                </c:pt>
                <c:pt idx="57">
                  <c:v>-3.1187137923067178E-2</c:v>
                </c:pt>
                <c:pt idx="58">
                  <c:v>-2.8549272185408252E-2</c:v>
                </c:pt>
                <c:pt idx="59">
                  <c:v>-2.6167131762756549E-2</c:v>
                </c:pt>
                <c:pt idx="60">
                  <c:v>-2.4012920789560646E-2</c:v>
                </c:pt>
                <c:pt idx="61">
                  <c:v>-2.2062171535768359E-2</c:v>
                </c:pt>
                <c:pt idx="62">
                  <c:v>-2.0293311997630133E-2</c:v>
                </c:pt>
                <c:pt idx="63">
                  <c:v>-1.8687293617988428E-2</c:v>
                </c:pt>
                <c:pt idx="64">
                  <c:v>-1.7227270308749505E-2</c:v>
                </c:pt>
                <c:pt idx="65">
                  <c:v>-1.5898321295543333E-2</c:v>
                </c:pt>
                <c:pt idx="66">
                  <c:v>-1.4687211442305968E-2</c:v>
                </c:pt>
                <c:pt idx="67">
                  <c:v>-1.3582183673859974E-2</c:v>
                </c:pt>
                <c:pt idx="68">
                  <c:v>-1.2572778925137704E-2</c:v>
                </c:pt>
                <c:pt idx="69">
                  <c:v>-1.1649679730024497E-2</c:v>
                </c:pt>
                <c:pt idx="70">
                  <c:v>-1.0804574140839971E-2</c:v>
                </c:pt>
                <c:pt idx="71">
                  <c:v>-1.0030037158072604E-2</c:v>
                </c:pt>
                <c:pt idx="72">
                  <c:v>-9.3194272633256095E-3</c:v>
                </c:pt>
                <c:pt idx="73">
                  <c:v>-8.6667959984509987E-3</c:v>
                </c:pt>
                <c:pt idx="74">
                  <c:v>-8.0668088305627158E-3</c:v>
                </c:pt>
                <c:pt idx="75">
                  <c:v>-7.5146757944356364E-3</c:v>
                </c:pt>
                <c:pt idx="76">
                  <c:v>-7.0060906177697559E-3</c:v>
                </c:pt>
                <c:pt idx="77">
                  <c:v>-6.5371772168433713E-3</c:v>
                </c:pt>
                <c:pt idx="78">
                  <c:v>-6.1044426051630237E-3</c:v>
                </c:pt>
                <c:pt idx="79">
                  <c:v>-5.7047353900090041E-3</c:v>
                </c:pt>
                <c:pt idx="80">
                  <c:v>-5.3352091447762505E-3</c:v>
                </c:pt>
                <c:pt idx="81">
                  <c:v>-4.9932900416664767E-3</c:v>
                </c:pt>
                <c:pt idx="82">
                  <c:v>-4.6766482120757114E-3</c:v>
                </c:pt>
                <c:pt idx="83">
                  <c:v>-4.3831723730302832E-3</c:v>
                </c:pt>
                <c:pt idx="84">
                  <c:v>-4.1109473190135103E-3</c:v>
                </c:pt>
                <c:pt idx="85">
                  <c:v>-3.8582339309809286E-3</c:v>
                </c:pt>
                <c:pt idx="86">
                  <c:v>-3.6234513995400995E-3</c:v>
                </c:pt>
                <c:pt idx="87">
                  <c:v>-3.405161398234385E-3</c:v>
                </c:pt>
                <c:pt idx="88">
                  <c:v>-3.2020539765191124E-3</c:v>
                </c:pt>
                <c:pt idx="89">
                  <c:v>-3.0129349711175263E-3</c:v>
                </c:pt>
                <c:pt idx="90">
                  <c:v>-2.8367147596411262E-3</c:v>
                </c:pt>
                <c:pt idx="91">
                  <c:v>-2.6723982022070331E-3</c:v>
                </c:pt>
                <c:pt idx="92">
                  <c:v>-2.5190756357531775E-3</c:v>
                </c:pt>
                <c:pt idx="93">
                  <c:v>-2.3759148022417919E-3</c:v>
                </c:pt>
                <c:pt idx="94">
                  <c:v>-2.2421536062946995E-3</c:v>
                </c:pt>
                <c:pt idx="95">
                  <c:v>-2.117093610312966E-3</c:v>
                </c:pt>
                <c:pt idx="96">
                  <c:v>-2.0000941860490911E-3</c:v>
                </c:pt>
                <c:pt idx="97">
                  <c:v>-1.8905672511366615E-3</c:v>
                </c:pt>
                <c:pt idx="98">
                  <c:v>-1.7879725274245763E-3</c:v>
                </c:pt>
                <c:pt idx="99">
                  <c:v>-1.6918132652689779E-3</c:v>
                </c:pt>
                <c:pt idx="100">
                  <c:v>-1.6016323843419812E-3</c:v>
                </c:pt>
                <c:pt idx="101">
                  <c:v>-1.5170089871398163E-3</c:v>
                </c:pt>
                <c:pt idx="102">
                  <c:v>-1.4375552063149756E-3</c:v>
                </c:pt>
                <c:pt idx="103">
                  <c:v>-1.3629133513052645E-3</c:v>
                </c:pt>
                <c:pt idx="104">
                  <c:v>-1.2927533235625459E-3</c:v>
                </c:pt>
                <c:pt idx="105">
                  <c:v>-1.2267702730610988E-3</c:v>
                </c:pt>
                <c:pt idx="106">
                  <c:v>-1.1646824717466259E-3</c:v>
                </c:pt>
                <c:pt idx="107">
                  <c:v>-1.1062293822211853E-3</c:v>
                </c:pt>
                <c:pt idx="108">
                  <c:v>-1.051169902289569E-3</c:v>
                </c:pt>
                <c:pt idx="109">
                  <c:v>-9.9928076805608939E-4</c:v>
                </c:pt>
                <c:pt idx="110">
                  <c:v>-9.5035510008973311E-4</c:v>
                </c:pt>
                <c:pt idx="111">
                  <c:v>-9.0420107879853506E-4</c:v>
                </c:pt>
                <c:pt idx="112">
                  <c:v>-8.6064073659537039E-4</c:v>
                </c:pt>
                <c:pt idx="113">
                  <c:v>-8.1950885571877453E-4</c:v>
                </c:pt>
                <c:pt idx="114">
                  <c:v>-7.8065196171271233E-4</c:v>
                </c:pt>
                <c:pt idx="115">
                  <c:v>-7.4392740358485447E-4</c:v>
                </c:pt>
                <c:pt idx="116">
                  <c:v>-7.0920251256847587E-4</c:v>
                </c:pt>
                <c:pt idx="117">
                  <c:v>-6.7635383222110169E-4</c:v>
                </c:pt>
                <c:pt idx="118">
                  <c:v>-6.4526641331474096E-4</c:v>
                </c:pt>
                <c:pt idx="119">
                  <c:v>-6.1583316761773847E-4</c:v>
                </c:pt>
                <c:pt idx="120">
                  <c:v>-5.8795427524550436E-4</c:v>
                </c:pt>
                <c:pt idx="121">
                  <c:v>-5.6153664077436246E-4</c:v>
                </c:pt>
                <c:pt idx="122">
                  <c:v>-5.3649339377603259E-4</c:v>
                </c:pt>
                <c:pt idx="123">
                  <c:v>-5.1274342984590016E-4</c:v>
                </c:pt>
                <c:pt idx="124">
                  <c:v>-4.9021098857131708E-4</c:v>
                </c:pt>
                <c:pt idx="125">
                  <c:v>-4.6882526522142086E-4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Ile!$D$6</c:f>
              <c:strCache>
                <c:ptCount val="1"/>
                <c:pt idx="0">
                  <c:v>Phe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Ile!$D$7:$D$132</c:f>
              <c:numCache>
                <c:formatCode>0.00</c:formatCode>
                <c:ptCount val="126"/>
                <c:pt idx="0">
                  <c:v>60873613.038323954</c:v>
                </c:pt>
                <c:pt idx="1">
                  <c:v>19391834.505687919</c:v>
                </c:pt>
                <c:pt idx="2">
                  <c:v>6823417.2883593217</c:v>
                </c:pt>
                <c:pt idx="3">
                  <c:v>2609893.3678130209</c:v>
                </c:pt>
                <c:pt idx="4">
                  <c:v>1071674.5819717513</c:v>
                </c:pt>
                <c:pt idx="5">
                  <c:v>467748.99893518037</c:v>
                </c:pt>
                <c:pt idx="6">
                  <c:v>215269.11566823177</c:v>
                </c:pt>
                <c:pt idx="7">
                  <c:v>103775.47147614601</c:v>
                </c:pt>
                <c:pt idx="8">
                  <c:v>52113.200120104753</c:v>
                </c:pt>
                <c:pt idx="9">
                  <c:v>27133.175050073496</c:v>
                </c:pt>
                <c:pt idx="10">
                  <c:v>14588.031082805255</c:v>
                </c:pt>
                <c:pt idx="11">
                  <c:v>8070.5078298730296</c:v>
                </c:pt>
                <c:pt idx="12">
                  <c:v>4579.8432461818493</c:v>
                </c:pt>
                <c:pt idx="13">
                  <c:v>2658.3718061816589</c:v>
                </c:pt>
                <c:pt idx="14">
                  <c:v>1574.2148493878876</c:v>
                </c:pt>
                <c:pt idx="15">
                  <c:v>948.70304635847629</c:v>
                </c:pt>
                <c:pt idx="16">
                  <c:v>580.4787646252413</c:v>
                </c:pt>
                <c:pt idx="17">
                  <c:v>359.75669823078448</c:v>
                </c:pt>
                <c:pt idx="18">
                  <c:v>225.29033593113996</c:v>
                </c:pt>
                <c:pt idx="19">
                  <c:v>142.18448479144763</c:v>
                </c:pt>
                <c:pt idx="20">
                  <c:v>90.168803966101081</c:v>
                </c:pt>
                <c:pt idx="21">
                  <c:v>57.256666455076555</c:v>
                </c:pt>
                <c:pt idx="22">
                  <c:v>36.242690527306451</c:v>
                </c:pt>
                <c:pt idx="23">
                  <c:v>22.729745340431169</c:v>
                </c:pt>
                <c:pt idx="24">
                  <c:v>13.997017455903656</c:v>
                </c:pt>
                <c:pt idx="25">
                  <c:v>8.3394528135701975</c:v>
                </c:pt>
                <c:pt idx="26">
                  <c:v>4.6761114294310344</c:v>
                </c:pt>
                <c:pt idx="27">
                  <c:v>2.3144983002114072</c:v>
                </c:pt>
                <c:pt idx="28">
                  <c:v>0.80677975624150433</c:v>
                </c:pt>
                <c:pt idx="29">
                  <c:v>-0.13907760475102812</c:v>
                </c:pt>
                <c:pt idx="30">
                  <c:v>-0.71488851110113483</c:v>
                </c:pt>
                <c:pt idx="31">
                  <c:v>-1.0474059094464374</c:v>
                </c:pt>
                <c:pt idx="32">
                  <c:v>-1.2207912754662793</c:v>
                </c:pt>
                <c:pt idx="33">
                  <c:v>-1.291115644055548</c:v>
                </c:pt>
                <c:pt idx="34">
                  <c:v>-1.2958015501839704</c:v>
                </c:pt>
                <c:pt idx="35">
                  <c:v>-1.2598214853883667</c:v>
                </c:pt>
                <c:pt idx="36">
                  <c:v>-1.1997976233732028</c:v>
                </c:pt>
                <c:pt idx="37">
                  <c:v>-1.1267318135876248</c:v>
                </c:pt>
                <c:pt idx="38">
                  <c:v>-1.0478344532230686</c:v>
                </c:pt>
                <c:pt idx="39">
                  <c:v>-0.96775613276006156</c:v>
                </c:pt>
                <c:pt idx="40">
                  <c:v>-0.88942076847626339</c:v>
                </c:pt>
                <c:pt idx="41">
                  <c:v>-0.81459116843496282</c:v>
                </c:pt>
                <c:pt idx="42">
                  <c:v>-0.74425394810492584</c:v>
                </c:pt>
                <c:pt idx="43">
                  <c:v>-0.67888187551824963</c:v>
                </c:pt>
                <c:pt idx="44">
                  <c:v>-0.61861269856760548</c:v>
                </c:pt>
                <c:pt idx="45">
                  <c:v>-0.56337086335969011</c:v>
                </c:pt>
                <c:pt idx="46">
                  <c:v>-0.51295007514270419</c:v>
                </c:pt>
                <c:pt idx="47">
                  <c:v>-0.46706896115659552</c:v>
                </c:pt>
                <c:pt idx="48">
                  <c:v>-0.42540824167611341</c:v>
                </c:pt>
                <c:pt idx="49">
                  <c:v>-0.38763519349155268</c:v>
                </c:pt>
                <c:pt idx="50">
                  <c:v>-0.35341939711074749</c:v>
                </c:pt>
                <c:pt idx="51">
                  <c:v>-0.32244252753437863</c:v>
                </c:pt>
                <c:pt idx="52">
                  <c:v>-0.2944040993815068</c:v>
                </c:pt>
                <c:pt idx="53">
                  <c:v>-0.2690244897105048</c:v>
                </c:pt>
                <c:pt idx="54">
                  <c:v>-0.24604615430693397</c:v>
                </c:pt>
                <c:pt idx="55">
                  <c:v>-0.22523366978920129</c:v>
                </c:pt>
                <c:pt idx="56">
                  <c:v>-0.20637303648441904</c:v>
                </c:pt>
                <c:pt idx="57">
                  <c:v>-0.18927053942897543</c:v>
                </c:pt>
                <c:pt idx="58">
                  <c:v>-0.17375136894068444</c:v>
                </c:pt>
                <c:pt idx="59">
                  <c:v>-0.15965813543476218</c:v>
                </c:pt>
                <c:pt idx="60">
                  <c:v>-0.14684936677573893</c:v>
                </c:pt>
                <c:pt idx="61">
                  <c:v>-0.13519804437114738</c:v>
                </c:pt>
                <c:pt idx="62">
                  <c:v>-0.12459021214932116</c:v>
                </c:pt>
                <c:pt idx="63">
                  <c:v>-0.11492367752542534</c:v>
                </c:pt>
                <c:pt idx="64">
                  <c:v>-0.10610681333929771</c:v>
                </c:pt>
                <c:pt idx="65">
                  <c:v>-9.8057463061677341E-2</c:v>
                </c:pt>
                <c:pt idx="66">
                  <c:v>-9.0701947266040181E-2</c:v>
                </c:pt>
                <c:pt idx="67">
                  <c:v>-8.3974166714327059E-2</c:v>
                </c:pt>
                <c:pt idx="68">
                  <c:v>-7.7814795887016355E-2</c:v>
                </c:pt>
                <c:pt idx="69">
                  <c:v>-7.2170560035994799E-2</c:v>
                </c:pt>
                <c:pt idx="70">
                  <c:v>-6.6993588596290121E-2</c:v>
                </c:pt>
                <c:pt idx="71">
                  <c:v>-6.2240837880936997E-2</c:v>
                </c:pt>
                <c:pt idx="72">
                  <c:v>-5.7873576277730689E-2</c:v>
                </c:pt>
                <c:pt idx="73">
                  <c:v>-5.3856925581746394E-2</c:v>
                </c:pt>
                <c:pt idx="74">
                  <c:v>-5.0159452574969218E-2</c:v>
                </c:pt>
                <c:pt idx="75">
                  <c:v>-4.6752805465134994E-2</c:v>
                </c:pt>
                <c:pt idx="76">
                  <c:v>-4.3611390294401219E-2</c:v>
                </c:pt>
                <c:pt idx="77">
                  <c:v>-4.0712082908617039E-2</c:v>
                </c:pt>
                <c:pt idx="78">
                  <c:v>-3.8033972530163461E-2</c:v>
                </c:pt>
                <c:pt idx="79">
                  <c:v>-3.5558133396442593E-2</c:v>
                </c:pt>
                <c:pt idx="80">
                  <c:v>-3.3267421309986375E-2</c:v>
                </c:pt>
                <c:pt idx="81">
                  <c:v>-3.1146292294684193E-2</c:v>
                </c:pt>
                <c:pt idx="82">
                  <c:v>-2.9180640866905968E-2</c:v>
                </c:pt>
                <c:pt idx="83">
                  <c:v>-2.7357655712208061E-2</c:v>
                </c:pt>
                <c:pt idx="84">
                  <c:v>-2.5665690810149404E-2</c:v>
                </c:pt>
                <c:pt idx="85">
                  <c:v>-2.4094150274006968E-2</c:v>
                </c:pt>
                <c:pt idx="86">
                  <c:v>-2.263338537138317E-2</c:v>
                </c:pt>
                <c:pt idx="87">
                  <c:v>-2.1274602368303978E-2</c:v>
                </c:pt>
                <c:pt idx="88">
                  <c:v>-2.0009779995744444E-2</c:v>
                </c:pt>
                <c:pt idx="89">
                  <c:v>-1.8831595475764049E-2</c:v>
                </c:pt>
                <c:pt idx="90">
                  <c:v>-1.7733358166579179E-2</c:v>
                </c:pt>
                <c:pt idx="91">
                  <c:v>-1.6708949993762729E-2</c:v>
                </c:pt>
                <c:pt idx="92">
                  <c:v>-1.5752771929974742E-2</c:v>
                </c:pt>
                <c:pt idx="93">
                  <c:v>-1.4859695869665131E-2</c:v>
                </c:pt>
                <c:pt idx="94">
                  <c:v>-1.4025021319357806E-2</c:v>
                </c:pt>
                <c:pt idx="95">
                  <c:v>-1.3244436389590972E-2</c:v>
                </c:pt>
                <c:pt idx="96">
                  <c:v>-1.2513982632384646E-2</c:v>
                </c:pt>
                <c:pt idx="97">
                  <c:v>-1.18300233191458E-2</c:v>
                </c:pt>
                <c:pt idx="98">
                  <c:v>-1.1189214799011318E-2</c:v>
                </c:pt>
                <c:pt idx="99">
                  <c:v>-1.0588480617480071E-2</c:v>
                </c:pt>
                <c:pt idx="100">
                  <c:v>-1.0024988110422826E-2</c:v>
                </c:pt>
                <c:pt idx="101">
                  <c:v>-9.4961272197347495E-3</c:v>
                </c:pt>
                <c:pt idx="102">
                  <c:v>-8.9994913044921469E-3</c:v>
                </c:pt>
                <c:pt idx="103">
                  <c:v>-8.5328597459201367E-3</c:v>
                </c:pt>
                <c:pt idx="104">
                  <c:v>-8.0941821661440396E-3</c:v>
                </c:pt>
                <c:pt idx="105">
                  <c:v>-7.6815640999131508E-3</c:v>
                </c:pt>
                <c:pt idx="106">
                  <c:v>-7.2932539755404631E-3</c:v>
                </c:pt>
                <c:pt idx="107">
                  <c:v>-6.9276312764484666E-3</c:v>
                </c:pt>
                <c:pt idx="108">
                  <c:v>-6.5831957681734589E-3</c:v>
                </c:pt>
                <c:pt idx="109">
                  <c:v>-6.2585576876541598E-3</c:v>
                </c:pt>
                <c:pt idx="110">
                  <c:v>-5.9524288022873338E-3</c:v>
                </c:pt>
                <c:pt idx="111">
                  <c:v>-5.6636142557257877E-3</c:v>
                </c:pt>
                <c:pt idx="112">
                  <c:v>-5.3910051258553755E-3</c:v>
                </c:pt>
                <c:pt idx="113">
                  <c:v>-5.1335716279355785E-3</c:v>
                </c:pt>
                <c:pt idx="114">
                  <c:v>-4.89035690262659E-3</c:v>
                </c:pt>
                <c:pt idx="115">
                  <c:v>-4.6604713346452683E-3</c:v>
                </c:pt>
                <c:pt idx="116">
                  <c:v>-4.4430873531746485E-3</c:v>
                </c:pt>
                <c:pt idx="117">
                  <c:v>-4.2374346699668095E-3</c:v>
                </c:pt>
                <c:pt idx="118">
                  <c:v>-4.0427959153905933E-3</c:v>
                </c:pt>
                <c:pt idx="119">
                  <c:v>-3.8585026365391306E-3</c:v>
                </c:pt>
                <c:pt idx="120">
                  <c:v>-3.6839316249763989E-3</c:v>
                </c:pt>
                <c:pt idx="121">
                  <c:v>-3.5185015448111331E-3</c:v>
                </c:pt>
                <c:pt idx="122">
                  <c:v>-3.3616698345779968E-3</c:v>
                </c:pt>
                <c:pt idx="123">
                  <c:v>-3.2129298589151371E-3</c:v>
                </c:pt>
                <c:pt idx="124">
                  <c:v>-3.0718082882836167E-3</c:v>
                </c:pt>
                <c:pt idx="125">
                  <c:v>-2.9378626870049424E-3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Ile!$E$6</c:f>
              <c:strCache>
                <c:ptCount val="1"/>
                <c:pt idx="0">
                  <c:v>Ile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Ile!$E$7:$E$132</c:f>
              <c:numCache>
                <c:formatCode>0.00</c:formatCode>
                <c:ptCount val="126"/>
                <c:pt idx="0">
                  <c:v>5390038.3636907171</c:v>
                </c:pt>
                <c:pt idx="1">
                  <c:v>1716130.1575812572</c:v>
                </c:pt>
                <c:pt idx="2">
                  <c:v>603348.86310629023</c:v>
                </c:pt>
                <c:pt idx="3">
                  <c:v>230481.11546944527</c:v>
                </c:pt>
                <c:pt idx="4">
                  <c:v>94462.574679605867</c:v>
                </c:pt>
                <c:pt idx="5">
                  <c:v>41118.706923267877</c:v>
                </c:pt>
                <c:pt idx="6">
                  <c:v>18852.368994292738</c:v>
                </c:pt>
                <c:pt idx="7">
                  <c:v>9040.9938219436299</c:v>
                </c:pt>
                <c:pt idx="8">
                  <c:v>4508.159427920059</c:v>
                </c:pt>
                <c:pt idx="9">
                  <c:v>2325.0844276959178</c:v>
                </c:pt>
                <c:pt idx="10">
                  <c:v>1234.4585035713815</c:v>
                </c:pt>
                <c:pt idx="11">
                  <c:v>671.71938811527059</c:v>
                </c:pt>
                <c:pt idx="12">
                  <c:v>372.990057864508</c:v>
                </c:pt>
                <c:pt idx="13">
                  <c:v>210.41763709762191</c:v>
                </c:pt>
                <c:pt idx="14">
                  <c:v>120.01822176221911</c:v>
                </c:pt>
                <c:pt idx="15">
                  <c:v>68.823144466955156</c:v>
                </c:pt>
                <c:pt idx="16">
                  <c:v>39.391399792476285</c:v>
                </c:pt>
                <c:pt idx="17">
                  <c:v>22.274340377521991</c:v>
                </c:pt>
                <c:pt idx="18">
                  <c:v>12.242251390851616</c:v>
                </c:pt>
                <c:pt idx="19">
                  <c:v>6.3442642479615294</c:v>
                </c:pt>
                <c:pt idx="20">
                  <c:v>2.8864762942710382</c:v>
                </c:pt>
                <c:pt idx="21">
                  <c:v>0.88163966274528205</c:v>
                </c:pt>
                <c:pt idx="22">
                  <c:v>-0.25329160174276766</c:v>
                </c:pt>
                <c:pt idx="23">
                  <c:v>-0.8665262436082809</c:v>
                </c:pt>
                <c:pt idx="24">
                  <c:v>-1.1679140379829052</c:v>
                </c:pt>
                <c:pt idx="25">
                  <c:v>-1.2847726008012914</c:v>
                </c:pt>
                <c:pt idx="26">
                  <c:v>-1.2946560631984916</c:v>
                </c:pt>
                <c:pt idx="27">
                  <c:v>-1.2448397508163802</c:v>
                </c:pt>
                <c:pt idx="28">
                  <c:v>-1.1640413643097751</c:v>
                </c:pt>
                <c:pt idx="29">
                  <c:v>-1.0695448622809518</c:v>
                </c:pt>
                <c:pt idx="30">
                  <c:v>-0.9715690186835052</c:v>
                </c:pt>
                <c:pt idx="31">
                  <c:v>-0.87596647973242781</c:v>
                </c:pt>
                <c:pt idx="32">
                  <c:v>-0.78590126301926722</c:v>
                </c:pt>
                <c:pt idx="33">
                  <c:v>-0.70289571530096595</c:v>
                </c:pt>
                <c:pt idx="34">
                  <c:v>-0.6274853396030543</c:v>
                </c:pt>
                <c:pt idx="35">
                  <c:v>-0.55962822254789391</c:v>
                </c:pt>
                <c:pt idx="36">
                  <c:v>-0.49896013131368361</c:v>
                </c:pt>
                <c:pt idx="37">
                  <c:v>-0.44495222532818429</c:v>
                </c:pt>
                <c:pt idx="38">
                  <c:v>-0.39700721960242508</c:v>
                </c:pt>
                <c:pt idx="39">
                  <c:v>-0.35451667323356478</c:v>
                </c:pt>
                <c:pt idx="40">
                  <c:v>-0.31689380755771079</c:v>
                </c:pt>
                <c:pt idx="41">
                  <c:v>-0.28359103030790178</c:v>
                </c:pt>
                <c:pt idx="42">
                  <c:v>-0.25410801823709084</c:v>
                </c:pt>
                <c:pt idx="43">
                  <c:v>-0.22799408773356392</c:v>
                </c:pt>
                <c:pt idx="44">
                  <c:v>-0.20484722231692318</c:v>
                </c:pt>
                <c:pt idx="45">
                  <c:v>-0.18431125185880226</c:v>
                </c:pt>
                <c:pt idx="46">
                  <c:v>-0.16607211644616374</c:v>
                </c:pt>
                <c:pt idx="47">
                  <c:v>-0.1498537868769895</c:v>
                </c:pt>
                <c:pt idx="48">
                  <c:v>-0.13541418267769267</c:v>
                </c:pt>
                <c:pt idx="49">
                  <c:v>-0.12254128144644644</c:v>
                </c:pt>
                <c:pt idx="50">
                  <c:v>-0.11104952064170975</c:v>
                </c:pt>
                <c:pt idx="51">
                  <c:v>-0.10077653543927083</c:v>
                </c:pt>
                <c:pt idx="52">
                  <c:v>-9.1580241479588848E-2</c:v>
                </c:pt>
                <c:pt idx="53">
                  <c:v>-8.3336251081065377E-2</c:v>
                </c:pt>
                <c:pt idx="54">
                  <c:v>-7.5935600500269512E-2</c:v>
                </c:pt>
                <c:pt idx="55">
                  <c:v>-6.9282760624362436E-2</c:v>
                </c:pt>
                <c:pt idx="56">
                  <c:v>-6.3293901842683339E-2</c:v>
                </c:pt>
                <c:pt idx="57">
                  <c:v>-5.7895384316174074E-2</c:v>
                </c:pt>
                <c:pt idx="58">
                  <c:v>-5.3022446517763194E-2</c:v>
                </c:pt>
                <c:pt idx="59">
                  <c:v>-4.8618067167444191E-2</c:v>
                </c:pt>
                <c:pt idx="60">
                  <c:v>-4.4631978168420121E-2</c:v>
                </c:pt>
                <c:pt idx="61">
                  <c:v>-4.1019808645796206E-2</c:v>
                </c:pt>
                <c:pt idx="62">
                  <c:v>-3.7742342570593959E-2</c:v>
                </c:pt>
                <c:pt idx="63">
                  <c:v>-3.4764874652533681E-2</c:v>
                </c:pt>
                <c:pt idx="64">
                  <c:v>-3.2056651175611156E-2</c:v>
                </c:pt>
                <c:pt idx="65">
                  <c:v>-2.9590384224322721E-2</c:v>
                </c:pt>
                <c:pt idx="66">
                  <c:v>-2.7341829312227565E-2</c:v>
                </c:pt>
                <c:pt idx="67">
                  <c:v>-2.5289417792503741E-2</c:v>
                </c:pt>
                <c:pt idx="68">
                  <c:v>-2.3413936619909974E-2</c:v>
                </c:pt>
                <c:pt idx="69">
                  <c:v>-2.1698249063936654E-2</c:v>
                </c:pt>
                <c:pt idx="70">
                  <c:v>-2.0127050862483158E-2</c:v>
                </c:pt>
                <c:pt idx="71">
                  <c:v>-1.868665707164667E-2</c:v>
                </c:pt>
                <c:pt idx="72">
                  <c:v>-1.7364815526196439E-2</c:v>
                </c:pt>
                <c:pt idx="73">
                  <c:v>-1.6150543391449123E-2</c:v>
                </c:pt>
                <c:pt idx="74">
                  <c:v>-1.5033983773328551E-2</c:v>
                </c:pt>
                <c:pt idx="75">
                  <c:v>-1.4006279770584738E-2</c:v>
                </c:pt>
                <c:pt idx="76">
                  <c:v>-1.3059463711215432E-2</c:v>
                </c:pt>
                <c:pt idx="77">
                  <c:v>-1.2186359622512844E-2</c:v>
                </c:pt>
                <c:pt idx="78">
                  <c:v>-1.1380497248127853E-2</c:v>
                </c:pt>
                <c:pt idx="79">
                  <c:v>-1.063603615234985E-2</c:v>
                </c:pt>
                <c:pt idx="80">
                  <c:v>-9.9476986468015633E-3</c:v>
                </c:pt>
                <c:pt idx="81">
                  <c:v>-9.3107104425307688E-3</c:v>
                </c:pt>
                <c:pt idx="82">
                  <c:v>-8.7207480749609319E-3</c:v>
                </c:pt>
                <c:pt idx="83">
                  <c:v>-8.1738922736906711E-3</c:v>
                </c:pt>
                <c:pt idx="84">
                  <c:v>-7.6665865565629402E-3</c:v>
                </c:pt>
                <c:pt idx="85">
                  <c:v>-7.1956004201991193E-3</c:v>
                </c:pt>
                <c:pt idx="86">
                  <c:v>-6.7579965793926888E-3</c:v>
                </c:pt>
                <c:pt idx="87">
                  <c:v>-6.351101777159176E-3</c:v>
                </c:pt>
                <c:pt idx="88">
                  <c:v>-5.9724807473624181E-3</c:v>
                </c:pt>
                <c:pt idx="89">
                  <c:v>-5.6199129639792423E-3</c:v>
                </c:pt>
                <c:pt idx="90">
                  <c:v>-5.2913718563348091E-3</c:v>
                </c:pt>
                <c:pt idx="91">
                  <c:v>-4.9850062089891161E-3</c:v>
                </c:pt>
                <c:pt idx="92">
                  <c:v>-4.6991234991935879E-3</c:v>
                </c:pt>
                <c:pt idx="93">
                  <c:v>-4.4321749546633116E-3</c:v>
                </c:pt>
                <c:pt idx="94">
                  <c:v>-4.1827421404219594E-3</c:v>
                </c:pt>
                <c:pt idx="95">
                  <c:v>-3.9495249061869634E-3</c:v>
                </c:pt>
                <c:pt idx="96">
                  <c:v>-3.7313305456125228E-3</c:v>
                </c:pt>
                <c:pt idx="97">
                  <c:v>-3.527064036077371E-3</c:v>
                </c:pt>
                <c:pt idx="98">
                  <c:v>-3.3357192429196258E-3</c:v>
                </c:pt>
                <c:pt idx="99">
                  <c:v>-3.1563709853641795E-3</c:v>
                </c:pt>
                <c:pt idx="100">
                  <c:v>-2.9881678731019726E-3</c:v>
                </c:pt>
                <c:pt idx="101">
                  <c:v>-2.8303258327754158E-3</c:v>
                </c:pt>
                <c:pt idx="102">
                  <c:v>-2.6821222526813237E-3</c:v>
                </c:pt>
                <c:pt idx="103">
                  <c:v>-2.5428906819796454E-3</c:v>
                </c:pt>
                <c:pt idx="104">
                  <c:v>-2.4120160277289106E-3</c:v>
                </c:pt>
                <c:pt idx="105">
                  <c:v>-2.2889301992759536E-3</c:v>
                </c:pt>
                <c:pt idx="106">
                  <c:v>-2.1731081550108453E-3</c:v>
                </c:pt>
                <c:pt idx="107">
                  <c:v>-2.0640643113469985E-3</c:v>
                </c:pt>
                <c:pt idx="108">
                  <c:v>-1.9613492780789945E-3</c:v>
                </c:pt>
                <c:pt idx="109">
                  <c:v>-1.8645468880743663E-3</c:v>
                </c:pt>
                <c:pt idx="110">
                  <c:v>-1.7732714926291793E-3</c:v>
                </c:pt>
                <c:pt idx="111">
                  <c:v>-1.6871654968125588E-3</c:v>
                </c:pt>
                <c:pt idx="112">
                  <c:v>-1.6058971117870065E-3</c:v>
                </c:pt>
                <c:pt idx="113">
                  <c:v>-1.5291583034589349E-3</c:v>
                </c:pt>
                <c:pt idx="114">
                  <c:v>-1.4566629189217946E-3</c:v>
                </c:pt>
                <c:pt idx="115">
                  <c:v>-1.3881449740325729E-3</c:v>
                </c:pt>
                <c:pt idx="116">
                  <c:v>-1.3233570871378764E-3</c:v>
                </c:pt>
                <c:pt idx="117">
                  <c:v>-1.2620690454615293E-3</c:v>
                </c:pt>
                <c:pt idx="118">
                  <c:v>-1.2040664920020233E-3</c:v>
                </c:pt>
                <c:pt idx="119">
                  <c:v>-1.1491497219833125E-3</c:v>
                </c:pt>
                <c:pt idx="120">
                  <c:v>-1.0971325789721578E-3</c:v>
                </c:pt>
                <c:pt idx="121">
                  <c:v>-1.0478414417334993E-3</c:v>
                </c:pt>
                <c:pt idx="122">
                  <c:v>-1.0011142937544038E-3</c:v>
                </c:pt>
                <c:pt idx="123">
                  <c:v>-9.567998681380669E-4</c:v>
                </c:pt>
                <c:pt idx="124">
                  <c:v>-9.1475686126155813E-4</c:v>
                </c:pt>
                <c:pt idx="125">
                  <c:v>-8.7485320921316175E-4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Ile!$F$6</c:f>
              <c:strCache>
                <c:ptCount val="1"/>
                <c:pt idx="0">
                  <c:v>Leu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Ile!$F$7:$F$132</c:f>
              <c:numCache>
                <c:formatCode>0.00</c:formatCode>
                <c:ptCount val="126"/>
                <c:pt idx="0">
                  <c:v>1144772.3452308755</c:v>
                </c:pt>
                <c:pt idx="1">
                  <c:v>364159.29121390352</c:v>
                </c:pt>
                <c:pt idx="2">
                  <c:v>127849.80424653841</c:v>
                </c:pt>
                <c:pt idx="3">
                  <c:v>48734.717250922564</c:v>
                </c:pt>
                <c:pt idx="4">
                  <c:v>19910.856263719568</c:v>
                </c:pt>
                <c:pt idx="5">
                  <c:v>8627.556487242291</c:v>
                </c:pt>
                <c:pt idx="6">
                  <c:v>3930.1448485855153</c:v>
                </c:pt>
                <c:pt idx="7">
                  <c:v>1867.8658897274845</c:v>
                </c:pt>
                <c:pt idx="8">
                  <c:v>919.87644932380488</c:v>
                </c:pt>
                <c:pt idx="9">
                  <c:v>466.40810105926886</c:v>
                </c:pt>
                <c:pt idx="10">
                  <c:v>241.91859791972507</c:v>
                </c:pt>
                <c:pt idx="11">
                  <c:v>127.48206974895004</c:v>
                </c:pt>
                <c:pt idx="12">
                  <c:v>67.700576311801754</c:v>
                </c:pt>
                <c:pt idx="13">
                  <c:v>35.850301635670476</c:v>
                </c:pt>
                <c:pt idx="14">
                  <c:v>18.632273102625415</c:v>
                </c:pt>
                <c:pt idx="15">
                  <c:v>9.2428328924114194</c:v>
                </c:pt>
                <c:pt idx="16">
                  <c:v>4.1151691864956872</c:v>
                </c:pt>
                <c:pt idx="17">
                  <c:v>1.3389098839814308</c:v>
                </c:pt>
                <c:pt idx="18">
                  <c:v>-0.12821444691214059</c:v>
                </c:pt>
                <c:pt idx="19">
                  <c:v>-0.863745539432205</c:v>
                </c:pt>
                <c:pt idx="20">
                  <c:v>-1.1917118385456844</c:v>
                </c:pt>
                <c:pt idx="21">
                  <c:v>-1.2955549049153408</c:v>
                </c:pt>
                <c:pt idx="22">
                  <c:v>-1.2796500103384478</c:v>
                </c:pt>
                <c:pt idx="23">
                  <c:v>-1.2033885993645941</c:v>
                </c:pt>
                <c:pt idx="24">
                  <c:v>-1.1003418259304396</c:v>
                </c:pt>
                <c:pt idx="25">
                  <c:v>-0.98917490118493645</c:v>
                </c:pt>
                <c:pt idx="26">
                  <c:v>-0.87993068281905329</c:v>
                </c:pt>
                <c:pt idx="27">
                  <c:v>-0.77767846110341243</c:v>
                </c:pt>
                <c:pt idx="28">
                  <c:v>-0.68464575522547888</c:v>
                </c:pt>
                <c:pt idx="29">
                  <c:v>-0.60146781384061787</c:v>
                </c:pt>
                <c:pt idx="30">
                  <c:v>-0.52791968492438635</c:v>
                </c:pt>
                <c:pt idx="31">
                  <c:v>-0.46334291848396886</c:v>
                </c:pt>
                <c:pt idx="32">
                  <c:v>-0.4068913363241049</c:v>
                </c:pt>
                <c:pt idx="33">
                  <c:v>-0.35766947105726465</c:v>
                </c:pt>
                <c:pt idx="34">
                  <c:v>-0.314807486560088</c:v>
                </c:pt>
                <c:pt idx="35">
                  <c:v>-0.27749877578530269</c:v>
                </c:pt>
                <c:pt idx="36">
                  <c:v>-0.24501593381570977</c:v>
                </c:pt>
                <c:pt idx="37">
                  <c:v>-0.21671450838823281</c:v>
                </c:pt>
                <c:pt idx="38">
                  <c:v>-0.19203013664099264</c:v>
                </c:pt>
                <c:pt idx="39">
                  <c:v>-0.17047238431935197</c:v>
                </c:pt>
                <c:pt idx="40">
                  <c:v>-0.15161721715255777</c:v>
                </c:pt>
                <c:pt idx="41">
                  <c:v>-0.13509919715165689</c:v>
                </c:pt>
                <c:pt idx="42">
                  <c:v>-0.1206039941219349</c:v>
                </c:pt>
                <c:pt idx="43">
                  <c:v>-0.10786150417077209</c:v>
                </c:pt>
                <c:pt idx="44">
                  <c:v>-9.6639692767348642E-2</c:v>
                </c:pt>
                <c:pt idx="45">
                  <c:v>-8.6739181189920564E-2</c:v>
                </c:pt>
                <c:pt idx="46">
                  <c:v>-7.7988542033668784E-2</c:v>
                </c:pt>
                <c:pt idx="47">
                  <c:v>-7.0240243454348303E-2</c:v>
                </c:pt>
                <c:pt idx="48">
                  <c:v>-6.3367171710185369E-2</c:v>
                </c:pt>
                <c:pt idx="49">
                  <c:v>-5.725966044849469E-2</c:v>
                </c:pt>
                <c:pt idx="50">
                  <c:v>-5.182295889126716E-2</c:v>
                </c:pt>
                <c:pt idx="51">
                  <c:v>-4.6975077110553272E-2</c:v>
                </c:pt>
                <c:pt idx="52">
                  <c:v>-4.2644953489418276E-2</c:v>
                </c:pt>
                <c:pt idx="53">
                  <c:v>-3.8770896411588464E-2</c:v>
                </c:pt>
                <c:pt idx="54">
                  <c:v>-3.5299258772252873E-2</c:v>
                </c:pt>
                <c:pt idx="55">
                  <c:v>-3.2183309844406538E-2</c:v>
                </c:pt>
                <c:pt idx="56">
                  <c:v>-2.938227429540826E-2</c:v>
                </c:pt>
                <c:pt idx="57">
                  <c:v>-2.6860512729195676E-2</c:v>
                </c:pt>
                <c:pt idx="58">
                  <c:v>-2.4586822073357061E-2</c:v>
                </c:pt>
                <c:pt idx="59">
                  <c:v>-2.2533837498411678E-2</c:v>
                </c:pt>
                <c:pt idx="60">
                  <c:v>-2.0677520416881298E-2</c:v>
                </c:pt>
                <c:pt idx="61">
                  <c:v>-1.8996719528928271E-2</c:v>
                </c:pt>
                <c:pt idx="62">
                  <c:v>-1.7472793921856179E-2</c:v>
                </c:pt>
                <c:pt idx="63">
                  <c:v>-1.6089288948741249E-2</c:v>
                </c:pt>
                <c:pt idx="64">
                  <c:v>-1.4831657056267745E-2</c:v>
                </c:pt>
                <c:pt idx="65">
                  <c:v>-1.3687016946230316E-2</c:v>
                </c:pt>
                <c:pt idx="66">
                  <c:v>-1.2643945475758596E-2</c:v>
                </c:pt>
                <c:pt idx="67">
                  <c:v>-1.1692297559225739E-2</c:v>
                </c:pt>
                <c:pt idx="68">
                  <c:v>-1.0823050056305072E-2</c:v>
                </c:pt>
                <c:pt idx="69">
                  <c:v>-1.0028166237851669E-2</c:v>
                </c:pt>
                <c:pt idx="70">
                  <c:v>-9.3004779327590451E-3</c:v>
                </c:pt>
                <c:pt idx="71">
                  <c:v>-8.6335828902057501E-3</c:v>
                </c:pt>
                <c:pt idx="72">
                  <c:v>-8.0217552557491512E-3</c:v>
                </c:pt>
                <c:pt idx="73">
                  <c:v>-7.4598673673924873E-3</c:v>
                </c:pt>
                <c:pt idx="74">
                  <c:v>-6.9433213381089667E-3</c:v>
                </c:pt>
                <c:pt idx="75">
                  <c:v>-6.4679891119203805E-3</c:v>
                </c:pt>
                <c:pt idx="76">
                  <c:v>-6.0301598678219369E-3</c:v>
                </c:pt>
                <c:pt idx="77">
                  <c:v>-5.6264938049035151E-3</c:v>
                </c:pt>
                <c:pt idx="78">
                  <c:v>-5.2539814773627305E-3</c:v>
                </c:pt>
                <c:pt idx="79">
                  <c:v>-4.9099079634376376E-3</c:v>
                </c:pt>
                <c:pt idx="80">
                  <c:v>-4.5918212507076069E-3</c:v>
                </c:pt>
                <c:pt idx="81">
                  <c:v>-4.2975043043227421E-3</c:v>
                </c:pt>
                <c:pt idx="82">
                  <c:v>-4.0249503567086412E-3</c:v>
                </c:pt>
                <c:pt idx="83">
                  <c:v>-3.772341018992471E-3</c:v>
                </c:pt>
                <c:pt idx="84">
                  <c:v>-3.5380268673541075E-3</c:v>
                </c:pt>
                <c:pt idx="85">
                  <c:v>-3.3205102030263206E-3</c:v>
                </c:pt>
                <c:pt idx="86">
                  <c:v>-3.1184297238508593E-3</c:v>
                </c:pt>
                <c:pt idx="87">
                  <c:v>-2.9305468790727231E-3</c:v>
                </c:pt>
                <c:pt idx="88">
                  <c:v>-2.7557337082096071E-3</c:v>
                </c:pt>
                <c:pt idx="89">
                  <c:v>-2.5929619900349663E-3</c:v>
                </c:pt>
                <c:pt idx="90">
                  <c:v>-2.441293549526412E-3</c:v>
                </c:pt>
                <c:pt idx="91">
                  <c:v>-2.2998715895381021E-3</c:v>
                </c:pt>
                <c:pt idx="92">
                  <c:v>-2.1679129303647043E-3</c:v>
                </c:pt>
                <c:pt idx="93">
                  <c:v>-2.0447010546248757E-3</c:v>
                </c:pt>
                <c:pt idx="94">
                  <c:v>-1.9295798673009676E-3</c:v>
                </c:pt>
                <c:pt idx="95">
                  <c:v>-1.8219480915833224E-3</c:v>
                </c:pt>
                <c:pt idx="96">
                  <c:v>-1.7212542305994896E-3</c:v>
                </c:pt>
                <c:pt idx="97">
                  <c:v>-1.626992033347233E-3</c:v>
                </c:pt>
                <c:pt idx="98">
                  <c:v>-1.5386964103551932E-3</c:v>
                </c:pt>
                <c:pt idx="99">
                  <c:v>-1.4559397509038147E-3</c:v>
                </c:pt>
                <c:pt idx="100">
                  <c:v>-1.3783285991696254E-3</c:v>
                </c:pt>
                <c:pt idx="101">
                  <c:v>-1.305500651510043E-3</c:v>
                </c:pt>
                <c:pt idx="102">
                  <c:v>-1.2371220413709642E-3</c:v>
                </c:pt>
                <c:pt idx="103">
                  <c:v>-1.1728848820515131E-3</c:v>
                </c:pt>
                <c:pt idx="104">
                  <c:v>-1.1125050408646025E-3</c:v>
                </c:pt>
                <c:pt idx="105">
                  <c:v>-1.0557201211452651E-3</c:v>
                </c:pt>
                <c:pt idx="106">
                  <c:v>-1.0022876311299854E-3</c:v>
                </c:pt>
                <c:pt idx="107">
                  <c:v>-9.5198332100212299E-4</c:v>
                </c:pt>
                <c:pt idx="108">
                  <c:v>-9.045996714079445E-4</c:v>
                </c:pt>
                <c:pt idx="109">
                  <c:v>-8.5994451852697198E-4</c:v>
                </c:pt>
                <c:pt idx="110">
                  <c:v>-8.1783980235719945E-4</c:v>
                </c:pt>
                <c:pt idx="111">
                  <c:v>-7.7812042627479485E-4</c:v>
                </c:pt>
                <c:pt idx="112">
                  <c:v>-7.406332171703109E-4</c:v>
                </c:pt>
                <c:pt idx="113">
                  <c:v>-7.0523597656791575E-4</c:v>
                </c:pt>
                <c:pt idx="114">
                  <c:v>-6.7179661411691542E-4</c:v>
                </c:pt>
                <c:pt idx="115">
                  <c:v>-6.4019235572011432E-4</c:v>
                </c:pt>
                <c:pt idx="116">
                  <c:v>-6.1030901934388886E-4</c:v>
                </c:pt>
                <c:pt idx="117">
                  <c:v>-5.8204035225109248E-4</c:v>
                </c:pt>
                <c:pt idx="118">
                  <c:v>-5.5528742401975064E-4</c:v>
                </c:pt>
                <c:pt idx="119">
                  <c:v>-5.2995807026635976E-4</c:v>
                </c:pt>
                <c:pt idx="120">
                  <c:v>-5.0596638248992325E-4</c:v>
                </c:pt>
                <c:pt idx="121">
                  <c:v>-4.8323223989819283E-4</c:v>
                </c:pt>
                <c:pt idx="122">
                  <c:v>-4.6168087947667601E-4</c:v>
                </c:pt>
                <c:pt idx="123">
                  <c:v>-4.4124250091898956E-4</c:v>
                </c:pt>
                <c:pt idx="124">
                  <c:v>-4.218519033585002E-4</c:v>
                </c:pt>
                <c:pt idx="125">
                  <c:v>-4.034481511299414E-4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Ile!$G$6</c:f>
              <c:strCache>
                <c:ptCount val="1"/>
                <c:pt idx="0">
                  <c:v>Val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Ile!$G$7:$G$132</c:f>
              <c:numCache>
                <c:formatCode>0.00</c:formatCode>
                <c:ptCount val="126"/>
                <c:pt idx="0">
                  <c:v>2096422.4449628354</c:v>
                </c:pt>
                <c:pt idx="1">
                  <c:v>667172.45178566978</c:v>
                </c:pt>
                <c:pt idx="2">
                  <c:v>234391.71820117245</c:v>
                </c:pt>
                <c:pt idx="3">
                  <c:v>89439.857583907666</c:v>
                </c:pt>
                <c:pt idx="4">
                  <c:v>36597.345881866437</c:v>
                </c:pt>
                <c:pt idx="5">
                  <c:v>15893.230222508671</c:v>
                </c:pt>
                <c:pt idx="6">
                  <c:v>7262.7747679902486</c:v>
                </c:pt>
                <c:pt idx="7">
                  <c:v>3467.0292582342208</c:v>
                </c:pt>
                <c:pt idx="8">
                  <c:v>1717.9160959178844</c:v>
                </c:pt>
                <c:pt idx="9">
                  <c:v>878.44335408853453</c:v>
                </c:pt>
                <c:pt idx="10">
                  <c:v>460.99849172436251</c:v>
                </c:pt>
                <c:pt idx="11">
                  <c:v>246.92360314775524</c:v>
                </c:pt>
                <c:pt idx="12">
                  <c:v>134.19541826913317</c:v>
                </c:pt>
                <c:pt idx="13">
                  <c:v>73.492828542345876</c:v>
                </c:pt>
                <c:pt idx="14">
                  <c:v>40.203888673135069</c:v>
                </c:pt>
                <c:pt idx="15">
                  <c:v>21.693044786787617</c:v>
                </c:pt>
                <c:pt idx="16">
                  <c:v>11.306504477295485</c:v>
                </c:pt>
                <c:pt idx="17">
                  <c:v>5.4603061202313574</c:v>
                </c:pt>
                <c:pt idx="18">
                  <c:v>2.1850282205939604</c:v>
                </c:pt>
                <c:pt idx="19">
                  <c:v>0.37939569650229926</c:v>
                </c:pt>
                <c:pt idx="20">
                  <c:v>-0.58167861275256283</c:v>
                </c:pt>
                <c:pt idx="21">
                  <c:v>-1.0574016298692925</c:v>
                </c:pt>
                <c:pt idx="22">
                  <c:v>-1.256171989631897</c:v>
                </c:pt>
                <c:pt idx="23">
                  <c:v>-1.2996701136219371</c:v>
                </c:pt>
                <c:pt idx="24">
                  <c:v>-1.2591295096248363</c:v>
                </c:pt>
                <c:pt idx="25">
                  <c:v>-1.1761601807038546</c:v>
                </c:pt>
                <c:pt idx="26">
                  <c:v>-1.0748553704978261</c:v>
                </c:pt>
                <c:pt idx="27">
                  <c:v>-0.96890774232647481</c:v>
                </c:pt>
                <c:pt idx="28">
                  <c:v>-0.86583053035410584</c:v>
                </c:pt>
                <c:pt idx="29">
                  <c:v>-0.76947947335953193</c:v>
                </c:pt>
                <c:pt idx="30">
                  <c:v>-0.68156707530779281</c:v>
                </c:pt>
                <c:pt idx="31">
                  <c:v>-0.6025739985812143</c:v>
                </c:pt>
                <c:pt idx="32">
                  <c:v>-0.53229715627590268</c:v>
                </c:pt>
                <c:pt idx="33">
                  <c:v>-0.47017766795751753</c:v>
                </c:pt>
                <c:pt idx="34">
                  <c:v>-0.41549496378355094</c:v>
                </c:pt>
                <c:pt idx="35">
                  <c:v>-0.36747941567530545</c:v>
                </c:pt>
                <c:pt idx="36">
                  <c:v>-0.32537547511630949</c:v>
                </c:pt>
                <c:pt idx="37">
                  <c:v>-0.28847492364720045</c:v>
                </c:pt>
                <c:pt idx="38">
                  <c:v>-0.2561322834813316</c:v>
                </c:pt>
                <c:pt idx="39">
                  <c:v>-0.22776979106424239</c:v>
                </c:pt>
                <c:pt idx="40">
                  <c:v>-0.20287646934744707</c:v>
                </c:pt>
                <c:pt idx="41">
                  <c:v>-0.18100405931133517</c:v>
                </c:pt>
                <c:pt idx="42">
                  <c:v>-0.1617614706358278</c:v>
                </c:pt>
                <c:pt idx="43">
                  <c:v>-0.14480872960919736</c:v>
                </c:pt>
                <c:pt idx="44">
                  <c:v>-0.12985098152598207</c:v>
                </c:pt>
                <c:pt idx="45">
                  <c:v>-0.11663284695010839</c:v>
                </c:pt>
                <c:pt idx="46">
                  <c:v>-0.10493327516248915</c:v>
                </c:pt>
                <c:pt idx="47">
                  <c:v>-9.4560945571834989E-2</c:v>
                </c:pt>
                <c:pt idx="48">
                  <c:v>-8.5350214784158593E-2</c:v>
                </c:pt>
                <c:pt idx="49">
                  <c:v>-7.7157578265688448E-2</c:v>
                </c:pt>
                <c:pt idx="50">
                  <c:v>-6.9858601576077775E-2</c:v>
                </c:pt>
                <c:pt idx="51">
                  <c:v>-6.3345271018846128E-2</c:v>
                </c:pt>
                <c:pt idx="52">
                  <c:v>-5.7523713521124863E-2</c:v>
                </c:pt>
                <c:pt idx="53">
                  <c:v>-5.2312238301789583E-2</c:v>
                </c:pt>
                <c:pt idx="54">
                  <c:v>-4.7639657000957264E-2</c:v>
                </c:pt>
                <c:pt idx="55">
                  <c:v>-4.3443843576433147E-2</c:v>
                </c:pt>
                <c:pt idx="56">
                  <c:v>-3.9670499931724605E-2</c:v>
                </c:pt>
                <c:pt idx="57">
                  <c:v>-3.6272097655022005E-2</c:v>
                </c:pt>
                <c:pt idx="58">
                  <c:v>-3.3206970284551773E-2</c:v>
                </c:pt>
                <c:pt idx="59">
                  <c:v>-3.0438534120432223E-2</c:v>
                </c:pt>
                <c:pt idx="60">
                  <c:v>-2.7934618771930719E-2</c:v>
                </c:pt>
                <c:pt idx="61">
                  <c:v>-2.5666891383636935E-2</c:v>
                </c:pt>
                <c:pt idx="62">
                  <c:v>-2.3610360859637608E-2</c:v>
                </c:pt>
                <c:pt idx="63">
                  <c:v>-2.1742950441720876E-2</c:v>
                </c:pt>
                <c:pt idx="64">
                  <c:v>-2.0045128737035376E-2</c:v>
                </c:pt>
                <c:pt idx="65">
                  <c:v>-1.8499590771599763E-2</c:v>
                </c:pt>
                <c:pt idx="66">
                  <c:v>-1.7090981904455623E-2</c:v>
                </c:pt>
                <c:pt idx="67">
                  <c:v>-1.5805658505123363E-2</c:v>
                </c:pt>
                <c:pt idx="68">
                  <c:v>-1.4631480202500907E-2</c:v>
                </c:pt>
                <c:pt idx="69">
                  <c:v>-1.3557629280870797E-2</c:v>
                </c:pt>
                <c:pt idx="70">
                  <c:v>-1.2574453449267576E-2</c:v>
                </c:pt>
                <c:pt idx="71">
                  <c:v>-1.1673328762069321E-2</c:v>
                </c:pt>
                <c:pt idx="72">
                  <c:v>-1.0846539936602853E-2</c:v>
                </c:pt>
                <c:pt idx="73">
                  <c:v>-1.0087175710749794E-2</c:v>
                </c:pt>
                <c:pt idx="74">
                  <c:v>-9.3890372209759626E-3</c:v>
                </c:pt>
                <c:pt idx="75">
                  <c:v>-8.7465576681342461E-3</c:v>
                </c:pt>
                <c:pt idx="76">
                  <c:v>-8.1547317826216586E-3</c:v>
                </c:pt>
                <c:pt idx="77">
                  <c:v>-7.6090538085826524E-3</c:v>
                </c:pt>
                <c:pt idx="78">
                  <c:v>-7.105462904391153E-3</c:v>
                </c:pt>
                <c:pt idx="79">
                  <c:v>-6.6402950082836967E-3</c:v>
                </c:pt>
                <c:pt idx="80">
                  <c:v>-6.2102403476945846E-3</c:v>
                </c:pt>
                <c:pt idx="81">
                  <c:v>-5.8123058818818291E-3</c:v>
                </c:pt>
                <c:pt idx="82">
                  <c:v>-5.4437820626304723E-3</c:v>
                </c:pt>
                <c:pt idx="83">
                  <c:v>-5.1022133795442254E-3</c:v>
                </c:pt>
                <c:pt idx="84">
                  <c:v>-4.7853722266849802E-3</c:v>
                </c:pt>
                <c:pt idx="85">
                  <c:v>-4.4912356877836752E-3</c:v>
                </c:pt>
                <c:pt idx="86">
                  <c:v>-4.2179648893565409E-3</c:v>
                </c:pt>
                <c:pt idx="87">
                  <c:v>-3.9638866160304036E-3</c:v>
                </c:pt>
                <c:pt idx="88">
                  <c:v>-3.7274769212392866E-3</c:v>
                </c:pt>
                <c:pt idx="89">
                  <c:v>-3.5073465000759322E-3</c:v>
                </c:pt>
                <c:pt idx="90">
                  <c:v>-3.3022276202093791E-3</c:v>
                </c:pt>
                <c:pt idx="91">
                  <c:v>-3.1109624320469209E-3</c:v>
                </c:pt>
                <c:pt idx="92">
                  <c:v>-2.9324925012644124E-3</c:v>
                </c:pt>
                <c:pt idx="93">
                  <c:v>-2.7658494259144304E-3</c:v>
                </c:pt>
                <c:pt idx="94">
                  <c:v>-2.6101464169400752E-3</c:v>
                </c:pt>
                <c:pt idx="95">
                  <c:v>-2.4645707354104258E-3</c:v>
                </c:pt>
                <c:pt idx="96">
                  <c:v>-2.3283768924400941E-3</c:v>
                </c:pt>
                <c:pt idx="97">
                  <c:v>-2.2008805288074532E-3</c:v>
                </c:pt>
                <c:pt idx="98">
                  <c:v>-2.0814529009564086E-3</c:v>
                </c:pt>
                <c:pt idx="99">
                  <c:v>-1.969515908537878E-3</c:v>
                </c:pt>
                <c:pt idx="100">
                  <c:v>-1.8645376060764962E-3</c:v>
                </c:pt>
                <c:pt idx="101">
                  <c:v>-1.766028147871389E-3</c:v>
                </c:pt>
                <c:pt idx="102">
                  <c:v>-1.6735361209737737E-3</c:v>
                </c:pt>
                <c:pt idx="103">
                  <c:v>-1.5866452261301652E-3</c:v>
                </c:pt>
                <c:pt idx="104">
                  <c:v>-1.5049712710251688E-3</c:v>
                </c:pt>
                <c:pt idx="105">
                  <c:v>-1.4281594440782217E-3</c:v>
                </c:pt>
                <c:pt idx="106">
                  <c:v>-1.3558818405098039E-3</c:v>
                </c:pt>
                <c:pt idx="107">
                  <c:v>-1.2878352154515309E-3</c:v>
                </c:pt>
                <c:pt idx="108">
                  <c:v>-1.2237389415807722E-3</c:v>
                </c:pt>
                <c:pt idx="109">
                  <c:v>-1.163333151157177E-3</c:v>
                </c:pt>
                <c:pt idx="110">
                  <c:v>-1.1063770444630851E-3</c:v>
                </c:pt>
                <c:pt idx="111">
                  <c:v>-1.0526473485352854E-3</c:v>
                </c:pt>
                <c:pt idx="112">
                  <c:v>-1.0019369117502416E-3</c:v>
                </c:pt>
                <c:pt idx="113">
                  <c:v>-9.5405342131395991E-4</c:v>
                </c:pt>
                <c:pt idx="114">
                  <c:v>-9.0881823203281455E-4</c:v>
                </c:pt>
                <c:pt idx="115">
                  <c:v>-8.6606529592208616E-4</c:v>
                </c:pt>
                <c:pt idx="116">
                  <c:v>-8.2564018326148768E-4</c:v>
                </c:pt>
                <c:pt idx="117">
                  <c:v>-7.8739918664620136E-4</c:v>
                </c:pt>
                <c:pt idx="118">
                  <c:v>-7.51208500420953E-4</c:v>
                </c:pt>
                <c:pt idx="119">
                  <c:v>-7.1694346863471995E-4</c:v>
                </c:pt>
                <c:pt idx="120">
                  <c:v>-6.8448789532479912E-4</c:v>
                </c:pt>
                <c:pt idx="121">
                  <c:v>-6.5373341154006384E-4</c:v>
                </c:pt>
                <c:pt idx="122">
                  <c:v>-6.245788940519426E-4</c:v>
                </c:pt>
                <c:pt idx="123">
                  <c:v>-5.9692993118496524E-4</c:v>
                </c:pt>
                <c:pt idx="124">
                  <c:v>-5.7069833163261841E-4</c:v>
                </c:pt>
                <c:pt idx="125">
                  <c:v>-5.4580167251411737E-4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Ile!$H$6</c:f>
              <c:strCache>
                <c:ptCount val="1"/>
                <c:pt idx="0">
                  <c:v>Trp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Ile!$H$7:$H$132</c:f>
              <c:numCache>
                <c:formatCode>0.00</c:formatCode>
                <c:ptCount val="126"/>
                <c:pt idx="0">
                  <c:v>1845537998.8107924</c:v>
                </c:pt>
                <c:pt idx="1">
                  <c:v>588021197.44809163</c:v>
                </c:pt>
                <c:pt idx="2">
                  <c:v>206967547.18243447</c:v>
                </c:pt>
                <c:pt idx="3">
                  <c:v>79198058.232198492</c:v>
                </c:pt>
                <c:pt idx="4">
                  <c:v>32541383.192586727</c:v>
                </c:pt>
                <c:pt idx="5">
                  <c:v>14216355.562924057</c:v>
                </c:pt>
                <c:pt idx="6">
                  <c:v>6551176.9182617376</c:v>
                </c:pt>
                <c:pt idx="7">
                  <c:v>3163750.3505696738</c:v>
                </c:pt>
                <c:pt idx="8">
                  <c:v>1592543.1812554749</c:v>
                </c:pt>
                <c:pt idx="9">
                  <c:v>831796.26146136085</c:v>
                </c:pt>
                <c:pt idx="10">
                  <c:v>449064.00158739008</c:v>
                </c:pt>
                <c:pt idx="11">
                  <c:v>249765.75527312284</c:v>
                </c:pt>
                <c:pt idx="12">
                  <c:v>142709.31395935142</c:v>
                </c:pt>
                <c:pt idx="13">
                  <c:v>83557.603700098072</c:v>
                </c:pt>
                <c:pt idx="14">
                  <c:v>50024.562419781461</c:v>
                </c:pt>
                <c:pt idx="15">
                  <c:v>30563.365130497343</c:v>
                </c:pt>
                <c:pt idx="16">
                  <c:v>19023.290547974135</c:v>
                </c:pt>
                <c:pt idx="17">
                  <c:v>12043.614917020348</c:v>
                </c:pt>
                <c:pt idx="18">
                  <c:v>7744.5552035821247</c:v>
                </c:pt>
                <c:pt idx="19">
                  <c:v>5051.6928051995283</c:v>
                </c:pt>
                <c:pt idx="20">
                  <c:v>3338.5058036498917</c:v>
                </c:pt>
                <c:pt idx="21">
                  <c:v>2232.796765016471</c:v>
                </c:pt>
                <c:pt idx="22">
                  <c:v>1509.5962139173789</c:v>
                </c:pt>
                <c:pt idx="23">
                  <c:v>1030.7134836315408</c:v>
                </c:pt>
                <c:pt idx="24">
                  <c:v>709.97452563607396</c:v>
                </c:pt>
                <c:pt idx="25">
                  <c:v>492.87956001799688</c:v>
                </c:pt>
                <c:pt idx="26">
                  <c:v>344.50280056109688</c:v>
                </c:pt>
                <c:pt idx="27">
                  <c:v>242.18350742019783</c:v>
                </c:pt>
                <c:pt idx="28">
                  <c:v>171.0469737466145</c:v>
                </c:pt>
                <c:pt idx="29">
                  <c:v>121.22216738794398</c:v>
                </c:pt>
                <c:pt idx="30">
                  <c:v>86.091033144951041</c:v>
                </c:pt>
                <c:pt idx="31">
                  <c:v>61.173513712073088</c:v>
                </c:pt>
                <c:pt idx="32">
                  <c:v>43.409271635878241</c:v>
                </c:pt>
                <c:pt idx="33">
                  <c:v>30.689930315487324</c:v>
                </c:pt>
                <c:pt idx="34">
                  <c:v>21.551317683449962</c:v>
                </c:pt>
                <c:pt idx="35">
                  <c:v>14.969003099164633</c:v>
                </c:pt>
                <c:pt idx="36">
                  <c:v>10.221200161413323</c:v>
                </c:pt>
                <c:pt idx="37">
                  <c:v>6.7960317981287721</c:v>
                </c:pt>
                <c:pt idx="38">
                  <c:v>4.3282794336562285</c:v>
                </c:pt>
                <c:pt idx="39">
                  <c:v>2.5559004312233076</c:v>
                </c:pt>
                <c:pt idx="40">
                  <c:v>1.2899107562203154</c:v>
                </c:pt>
                <c:pt idx="41">
                  <c:v>0.39337596050450685</c:v>
                </c:pt>
                <c:pt idx="42">
                  <c:v>-0.23334332514227341</c:v>
                </c:pt>
                <c:pt idx="43">
                  <c:v>-0.66301989722181531</c:v>
                </c:pt>
                <c:pt idx="44">
                  <c:v>-0.94897567286173334</c:v>
                </c:pt>
                <c:pt idx="45">
                  <c:v>-1.1303853066557634</c:v>
                </c:pt>
                <c:pt idx="46">
                  <c:v>-1.2360898806956917</c:v>
                </c:pt>
                <c:pt idx="47">
                  <c:v>-1.2873532683049913</c:v>
                </c:pt>
                <c:pt idx="48">
                  <c:v>-1.2998638965771809</c:v>
                </c:pt>
                <c:pt idx="49">
                  <c:v>-1.2851950447056153</c:v>
                </c:pt>
                <c:pt idx="50">
                  <c:v>-1.2518746175403959</c:v>
                </c:pt>
                <c:pt idx="51">
                  <c:v>-1.2061718846027665</c:v>
                </c:pt>
                <c:pt idx="52">
                  <c:v>-1.1526781419464529</c:v>
                </c:pt>
                <c:pt idx="53">
                  <c:v>-1.094736675568756</c:v>
                </c:pt>
                <c:pt idx="54">
                  <c:v>-1.034762071096194</c:v>
                </c:pt>
                <c:pt idx="55">
                  <c:v>-0.97447796079214122</c:v>
                </c:pt>
                <c:pt idx="56">
                  <c:v>-0.91509443487329445</c:v>
                </c:pt>
                <c:pt idx="57">
                  <c:v>-0.8574406709628295</c:v>
                </c:pt>
                <c:pt idx="58">
                  <c:v>-0.80206422395174604</c:v>
                </c:pt>
                <c:pt idx="59">
                  <c:v>-0.74930542555256641</c:v>
                </c:pt>
                <c:pt idx="60">
                  <c:v>-0.69935315488182848</c:v>
                </c:pt>
                <c:pt idx="61">
                  <c:v>-0.65228663550216182</c:v>
                </c:pt>
                <c:pt idx="62">
                  <c:v>-0.6081067311146231</c:v>
                </c:pt>
                <c:pt idx="63">
                  <c:v>-0.56675933707748316</c:v>
                </c:pt>
                <c:pt idx="64">
                  <c:v>-0.52815281559527838</c:v>
                </c:pt>
                <c:pt idx="65">
                  <c:v>-0.49217093897524578</c:v>
                </c:pt>
                <c:pt idx="66">
                  <c:v>-0.45868244428804245</c:v>
                </c:pt>
                <c:pt idx="67">
                  <c:v>-0.42754803232460353</c:v>
                </c:pt>
                <c:pt idx="68">
                  <c:v>-0.39862544061543143</c:v>
                </c:pt>
                <c:pt idx="69">
                  <c:v>-0.37177306732782206</c:v>
                </c:pt>
                <c:pt idx="70">
                  <c:v>-0.34685250741724877</c:v>
                </c:pt>
                <c:pt idx="71">
                  <c:v>-0.32373027509592189</c:v>
                </c:pt>
                <c:pt idx="72">
                  <c:v>-0.30227892051541094</c:v>
                </c:pt>
                <c:pt idx="73">
                  <c:v>-0.28237769833506582</c:v>
                </c:pt>
                <c:pt idx="74">
                  <c:v>-0.26391290766855796</c:v>
                </c:pt>
                <c:pt idx="75">
                  <c:v>-0.24677799384424637</c:v>
                </c:pt>
                <c:pt idx="76">
                  <c:v>-0.23087348028197188</c:v>
                </c:pt>
                <c:pt idx="77">
                  <c:v>-0.21610678192007718</c:v>
                </c:pt>
                <c:pt idx="78">
                  <c:v>-0.20239193876723519</c:v>
                </c:pt>
                <c:pt idx="79">
                  <c:v>-0.18964929835285999</c:v>
                </c:pt>
                <c:pt idx="80">
                  <c:v>-0.17780516838496493</c:v>
                </c:pt>
                <c:pt idx="81">
                  <c:v>-0.16679145524532007</c:v>
                </c:pt>
                <c:pt idx="82">
                  <c:v>-0.15654529963919747</c:v>
                </c:pt>
                <c:pt idx="83">
                  <c:v>-0.14700871745049629</c:v>
                </c:pt>
                <c:pt idx="84">
                  <c:v>-0.13812825138745041</c:v>
                </c:pt>
                <c:pt idx="85">
                  <c:v>-0.12985463715166273</c:v>
                </c:pt>
                <c:pt idx="86">
                  <c:v>-0.12214248647983975</c:v>
                </c:pt>
                <c:pt idx="87">
                  <c:v>-0.11494998838275082</c:v>
                </c:pt>
                <c:pt idx="88">
                  <c:v>-0.10823862915466587</c:v>
                </c:pt>
                <c:pt idx="89">
                  <c:v>-0.10197293118355179</c:v>
                </c:pt>
                <c:pt idx="90">
                  <c:v>-9.6120210207446405E-2</c:v>
                </c:pt>
                <c:pt idx="91">
                  <c:v>-9.0650350397120244E-2</c:v>
                </c:pt>
                <c:pt idx="92">
                  <c:v>-8.5535596469742431E-2</c:v>
                </c:pt>
                <c:pt idx="93">
                  <c:v>-8.0750361930058245E-2</c:v>
                </c:pt>
                <c:pt idx="94">
                  <c:v>-7.6271052477134671E-2</c:v>
                </c:pt>
                <c:pt idx="95">
                  <c:v>-7.207590359270373E-2</c:v>
                </c:pt>
                <c:pt idx="96">
                  <c:v>-6.8144831331365813E-2</c:v>
                </c:pt>
                <c:pt idx="97">
                  <c:v>-6.4459295355673268E-2</c:v>
                </c:pt>
                <c:pt idx="98">
                  <c:v>-6.1002173294544826E-2</c:v>
                </c:pt>
                <c:pt idx="99">
                  <c:v>-5.7757645547164747E-2</c:v>
                </c:pt>
                <c:pt idx="100">
                  <c:v>-5.47110897031967E-2</c:v>
                </c:pt>
                <c:pt idx="101">
                  <c:v>-5.1848983801370645E-2</c:v>
                </c:pt>
                <c:pt idx="102">
                  <c:v>-4.9158817700485996E-2</c:v>
                </c:pt>
                <c:pt idx="103">
                  <c:v>-4.6629011888352619E-2</c:v>
                </c:pt>
                <c:pt idx="104">
                  <c:v>-4.4248843104257161E-2</c:v>
                </c:pt>
                <c:pt idx="105">
                  <c:v>-4.2008376198590741E-2</c:v>
                </c:pt>
                <c:pt idx="106">
                  <c:v>-3.989840169891587E-2</c:v>
                </c:pt>
                <c:pt idx="107">
                  <c:v>-3.7910378594755455E-2</c:v>
                </c:pt>
                <c:pt idx="108">
                  <c:v>-3.6036381893646587E-2</c:v>
                </c:pt>
                <c:pt idx="109">
                  <c:v>-3.4269054538499606E-2</c:v>
                </c:pt>
                <c:pt idx="110">
                  <c:v>-3.2601563311073063E-2</c:v>
                </c:pt>
                <c:pt idx="111">
                  <c:v>-3.1027558378511861E-2</c:v>
                </c:pt>
                <c:pt idx="112">
                  <c:v>-2.9541136169505253E-2</c:v>
                </c:pt>
                <c:pt idx="113">
                  <c:v>-2.8136805293842337E-2</c:v>
                </c:pt>
                <c:pt idx="114">
                  <c:v>-2.680945524411665E-2</c:v>
                </c:pt>
                <c:pt idx="115">
                  <c:v>-2.5554327641203491E-2</c:v>
                </c:pt>
                <c:pt idx="116">
                  <c:v>-2.4366989806058021E-2</c:v>
                </c:pt>
                <c:pt idx="117">
                  <c:v>-2.3243310459496212E-2</c:v>
                </c:pt>
                <c:pt idx="118">
                  <c:v>-2.2179437369070232E-2</c:v>
                </c:pt>
                <c:pt idx="119">
                  <c:v>-2.1171776778065428E-2</c:v>
                </c:pt>
                <c:pt idx="120">
                  <c:v>-2.0216974466153413E-2</c:v>
                </c:pt>
                <c:pt idx="121">
                  <c:v>-1.9311898304455764E-2</c:v>
                </c:pt>
                <c:pt idx="122">
                  <c:v>-1.8453622179811269E-2</c:v>
                </c:pt>
                <c:pt idx="123">
                  <c:v>-1.7639411174003632E-2</c:v>
                </c:pt>
                <c:pt idx="124">
                  <c:v>-1.6866707893686779E-2</c:v>
                </c:pt>
                <c:pt idx="125">
                  <c:v>-1.613311985583047E-2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Ile!$I$6</c:f>
              <c:strCache>
                <c:ptCount val="1"/>
                <c:pt idx="0">
                  <c:v>Tyr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Ile!$I$7:$I$132</c:f>
              <c:numCache>
                <c:formatCode>0.00</c:formatCode>
                <c:ptCount val="126"/>
                <c:pt idx="0">
                  <c:v>8895329.0339086391</c:v>
                </c:pt>
                <c:pt idx="1">
                  <c:v>2832653.3074203036</c:v>
                </c:pt>
                <c:pt idx="2">
                  <c:v>996154.87013151031</c:v>
                </c:pt>
                <c:pt idx="3">
                  <c:v>380687.61076500377</c:v>
                </c:pt>
                <c:pt idx="4">
                  <c:v>156117.35538865931</c:v>
                </c:pt>
                <c:pt idx="5">
                  <c:v>68014.511269924609</c:v>
                </c:pt>
                <c:pt idx="6">
                  <c:v>31221.193495116429</c:v>
                </c:pt>
                <c:pt idx="7">
                  <c:v>14997.550918055431</c:v>
                </c:pt>
                <c:pt idx="8">
                  <c:v>7495.2340234114054</c:v>
                </c:pt>
                <c:pt idx="9">
                  <c:v>3877.46182816287</c:v>
                </c:pt>
                <c:pt idx="10">
                  <c:v>2067.0635815412188</c:v>
                </c:pt>
                <c:pt idx="11">
                  <c:v>1130.8858247540884</c:v>
                </c:pt>
                <c:pt idx="12">
                  <c:v>632.49490211011801</c:v>
                </c:pt>
                <c:pt idx="13">
                  <c:v>360.25863927579513</c:v>
                </c:pt>
                <c:pt idx="14">
                  <c:v>208.15560028050666</c:v>
                </c:pt>
                <c:pt idx="15">
                  <c:v>121.48482166042092</c:v>
                </c:pt>
                <c:pt idx="16">
                  <c:v>71.260816224529464</c:v>
                </c:pt>
                <c:pt idx="17">
                  <c:v>41.748450560387511</c:v>
                </c:pt>
                <c:pt idx="18">
                  <c:v>24.216307551886107</c:v>
                </c:pt>
                <c:pt idx="19">
                  <c:v>13.722152120782003</c:v>
                </c:pt>
                <c:pt idx="20">
                  <c:v>7.4179352820254199</c:v>
                </c:pt>
                <c:pt idx="21">
                  <c:v>3.635787665895355</c:v>
                </c:pt>
                <c:pt idx="22">
                  <c:v>1.3848781691857812</c:v>
                </c:pt>
                <c:pt idx="23">
                  <c:v>6.912948328699775E-2</c:v>
                </c:pt>
                <c:pt idx="24">
                  <c:v>-0.67395448970454397</c:v>
                </c:pt>
                <c:pt idx="25">
                  <c:v>-1.0668073524109922</c:v>
                </c:pt>
                <c:pt idx="26">
                  <c:v>-1.2468735282629113</c:v>
                </c:pt>
                <c:pt idx="27">
                  <c:v>-1.2994842848054198</c:v>
                </c:pt>
                <c:pt idx="28">
                  <c:v>-1.2777274905367026</c:v>
                </c:pt>
                <c:pt idx="29">
                  <c:v>-1.2145919164613823</c:v>
                </c:pt>
                <c:pt idx="30">
                  <c:v>-1.130464686192199</c:v>
                </c:pt>
                <c:pt idx="31">
                  <c:v>-1.0378011253210755</c:v>
                </c:pt>
                <c:pt idx="32">
                  <c:v>-0.94405571220301876</c:v>
                </c:pt>
                <c:pt idx="33">
                  <c:v>-0.85353332566415596</c:v>
                </c:pt>
                <c:pt idx="34">
                  <c:v>-0.76856428009876787</c:v>
                </c:pt>
                <c:pt idx="35">
                  <c:v>-0.69025260825744483</c:v>
                </c:pt>
                <c:pt idx="36">
                  <c:v>-0.61895324545655483</c:v>
                </c:pt>
                <c:pt idx="37">
                  <c:v>-0.55457605269790511</c:v>
                </c:pt>
                <c:pt idx="38">
                  <c:v>-0.49677876649704678</c:v>
                </c:pt>
                <c:pt idx="39">
                  <c:v>-0.44508849925515742</c:v>
                </c:pt>
                <c:pt idx="40">
                  <c:v>-0.39897722362761828</c:v>
                </c:pt>
                <c:pt idx="41">
                  <c:v>-0.35790764409252213</c:v>
                </c:pt>
                <c:pt idx="42">
                  <c:v>-0.32136007412323453</c:v>
                </c:pt>
                <c:pt idx="43">
                  <c:v>-0.28884720974081934</c:v>
                </c:pt>
                <c:pt idx="44">
                  <c:v>-0.25992127594547054</c:v>
                </c:pt>
                <c:pt idx="45">
                  <c:v>-0.23417645223993411</c:v>
                </c:pt>
                <c:pt idx="46">
                  <c:v>-0.21124845875859488</c:v>
                </c:pt>
                <c:pt idx="47">
                  <c:v>-0.1908125143617404</c:v>
                </c:pt>
                <c:pt idx="48">
                  <c:v>-0.17258043934907508</c:v>
                </c:pt>
                <c:pt idx="49">
                  <c:v>-0.15629738840540869</c:v>
                </c:pt>
                <c:pt idx="50">
                  <c:v>-0.14173851202659177</c:v>
                </c:pt>
                <c:pt idx="51">
                  <c:v>-0.12870572294892668</c:v>
                </c:pt>
                <c:pt idx="52">
                  <c:v>-0.11702466564538545</c:v>
                </c:pt>
                <c:pt idx="53">
                  <c:v>-0.10654193699744474</c:v>
                </c:pt>
                <c:pt idx="54">
                  <c:v>-9.7122575040067979E-2</c:v>
                </c:pt>
                <c:pt idx="55">
                  <c:v>-8.8647813740745193E-2</c:v>
                </c:pt>
                <c:pt idx="56">
                  <c:v>-8.1013090821633285E-2</c:v>
                </c:pt>
                <c:pt idx="57">
                  <c:v>-7.4126289822623564E-2</c:v>
                </c:pt>
                <c:pt idx="58">
                  <c:v>-6.790619505014929E-2</c:v>
                </c:pt>
                <c:pt idx="59">
                  <c:v>-6.2281137520181877E-2</c:v>
                </c:pt>
                <c:pt idx="60">
                  <c:v>-5.7187810669906011E-2</c:v>
                </c:pt>
                <c:pt idx="61">
                  <c:v>-5.2570235951721549E-2</c:v>
                </c:pt>
                <c:pt idx="62">
                  <c:v>-4.8378860095921003E-2</c:v>
                </c:pt>
                <c:pt idx="63">
                  <c:v>-4.4569767620964679E-2</c:v>
                </c:pt>
                <c:pt idx="64">
                  <c:v>-4.1103993952258035E-2</c:v>
                </c:pt>
                <c:pt idx="65">
                  <c:v>-3.7946926205778747E-2</c:v>
                </c:pt>
                <c:pt idx="66">
                  <c:v>-3.5067780261213502E-2</c:v>
                </c:pt>
                <c:pt idx="67">
                  <c:v>-3.2439144172418187E-2</c:v>
                </c:pt>
                <c:pt idx="68">
                  <c:v>-3.003657923700578E-2</c:v>
                </c:pt>
                <c:pt idx="69">
                  <c:v>-2.783827117612292E-2</c:v>
                </c:pt>
                <c:pt idx="70">
                  <c:v>-2.5824724869158881E-2</c:v>
                </c:pt>
                <c:pt idx="71">
                  <c:v>-2.3978496957766649E-2</c:v>
                </c:pt>
                <c:pt idx="72">
                  <c:v>-2.2283961391560417E-2</c:v>
                </c:pt>
                <c:pt idx="73">
                  <c:v>-2.0727103646518662E-2</c:v>
                </c:pt>
                <c:pt idx="74">
                  <c:v>-1.9295339918207793E-2</c:v>
                </c:pt>
                <c:pt idx="75">
                  <c:v>-1.7977358086297534E-2</c:v>
                </c:pt>
                <c:pt idx="76">
                  <c:v>-1.6762977674304472E-2</c:v>
                </c:pt>
                <c:pt idx="77">
                  <c:v>-1.5643026397860985E-2</c:v>
                </c:pt>
                <c:pt idx="78">
                  <c:v>-1.460923121384051E-2</c:v>
                </c:pt>
                <c:pt idx="79">
                  <c:v>-1.3654122058198321E-2</c:v>
                </c:pt>
                <c:pt idx="80">
                  <c:v>-1.2770946698364144E-2</c:v>
                </c:pt>
                <c:pt idx="81">
                  <c:v>-1.1953595331622324E-2</c:v>
                </c:pt>
                <c:pt idx="82">
                  <c:v>-1.1196533738613427E-2</c:v>
                </c:pt>
                <c:pt idx="83">
                  <c:v>-1.0494743954757796E-2</c:v>
                </c:pt>
                <c:pt idx="84">
                  <c:v>-9.8436715553692454E-3</c:v>
                </c:pt>
                <c:pt idx="85">
                  <c:v>-9.2391787653666214E-3</c:v>
                </c:pt>
                <c:pt idx="86">
                  <c:v>-8.6775027042702985E-3</c:v>
                </c:pt>
                <c:pt idx="87">
                  <c:v>-8.1552181637113159E-3</c:v>
                </c:pt>
                <c:pt idx="88">
                  <c:v>-7.6692043898053414E-3</c:v>
                </c:pt>
                <c:pt idx="89">
                  <c:v>-7.216615408018507E-3</c:v>
                </c:pt>
                <c:pt idx="90">
                  <c:v>-6.7948534849216957E-3</c:v>
                </c:pt>
                <c:pt idx="91">
                  <c:v>-6.4015453706516281E-3</c:v>
                </c:pt>
                <c:pt idx="92">
                  <c:v>-6.0345210089634421E-3</c:v>
                </c:pt>
                <c:pt idx="93">
                  <c:v>-5.6917944393267382E-3</c:v>
                </c:pt>
                <c:pt idx="94">
                  <c:v>-5.3715466483199512E-3</c:v>
                </c:pt>
                <c:pt idx="95">
                  <c:v>-5.07211015625027E-3</c:v>
                </c:pt>
                <c:pt idx="96">
                  <c:v>-4.791955150014301E-3</c:v>
                </c:pt>
                <c:pt idx="97">
                  <c:v>-4.5296769951884896E-3</c:v>
                </c:pt>
                <c:pt idx="98">
                  <c:v>-4.2839849796048922E-3</c:v>
                </c:pt>
                <c:pt idx="99">
                  <c:v>-4.0536921575779587E-3</c:v>
                </c:pt>
                <c:pt idx="100">
                  <c:v>-3.837706178804827E-3</c:v>
                </c:pt>
                <c:pt idx="101">
                  <c:v>-3.6350209990284655E-3</c:v>
                </c:pt>
                <c:pt idx="102">
                  <c:v>-3.4447093810563694E-3</c:v>
                </c:pt>
                <c:pt idx="103">
                  <c:v>-3.2659161048655271E-3</c:v>
                </c:pt>
                <c:pt idx="104">
                  <c:v>-3.0978518144674956E-3</c:v>
                </c:pt>
                <c:pt idx="105">
                  <c:v>-2.939787437104564E-3</c:v>
                </c:pt>
                <c:pt idx="106">
                  <c:v>-2.791049117328393E-3</c:v>
                </c:pt>
                <c:pt idx="107">
                  <c:v>-2.6510136146884588E-3</c:v>
                </c:pt>
                <c:pt idx="108">
                  <c:v>-2.5191041192273384E-3</c:v>
                </c:pt>
                <c:pt idx="109">
                  <c:v>-2.3947864438285766E-3</c:v>
                </c:pt>
                <c:pt idx="110">
                  <c:v>-2.277565556765164E-3</c:v>
                </c:pt>
                <c:pt idx="111">
                  <c:v>-2.1669824216178756E-3</c:v>
                </c:pt>
                <c:pt idx="112">
                  <c:v>-2.0626111151295021E-3</c:v>
                </c:pt>
                <c:pt idx="113">
                  <c:v>-1.9640561965835368E-3</c:v>
                </c:pt>
                <c:pt idx="114">
                  <c:v>-1.8709503049877123E-3</c:v>
                </c:pt>
                <c:pt idx="115">
                  <c:v>-1.7829519627421601E-3</c:v>
                </c:pt>
                <c:pt idx="116">
                  <c:v>-1.6997435666128186E-3</c:v>
                </c:pt>
                <c:pt idx="117">
                  <c:v>-1.621029548742204E-3</c:v>
                </c:pt>
                <c:pt idx="118">
                  <c:v>-1.5465346921381704E-3</c:v>
                </c:pt>
                <c:pt idx="119">
                  <c:v>-1.4760025866094506E-3</c:v>
                </c:pt>
                <c:pt idx="120">
                  <c:v>-1.4091942124848484E-3</c:v>
                </c:pt>
                <c:pt idx="121">
                  <c:v>-1.3458866406788153E-3</c:v>
                </c:pt>
                <c:pt idx="122">
                  <c:v>-1.2858718387652643E-3</c:v>
                </c:pt>
                <c:pt idx="123">
                  <c:v>-1.2289555737080029E-3</c:v>
                </c:pt>
                <c:pt idx="124">
                  <c:v>-1.1749564027821716E-3</c:v>
                </c:pt>
                <c:pt idx="125">
                  <c:v>-1.1237047450174766E-3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Ile!$J$6</c:f>
              <c:strCache>
                <c:ptCount val="1"/>
                <c:pt idx="0">
                  <c:v>Ala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Ile!$J$7:$J$132</c:f>
              <c:numCache>
                <c:formatCode>0.00</c:formatCode>
                <c:ptCount val="126"/>
                <c:pt idx="0">
                  <c:v>292533.43982072617</c:v>
                </c:pt>
                <c:pt idx="1">
                  <c:v>92906.316510085453</c:v>
                </c:pt>
                <c:pt idx="2">
                  <c:v>32534.272319425068</c:v>
                </c:pt>
                <c:pt idx="3">
                  <c:v>12353.103254058249</c:v>
                </c:pt>
                <c:pt idx="4">
                  <c:v>5017.5260912830045</c:v>
                </c:pt>
                <c:pt idx="5">
                  <c:v>2155.67569509237</c:v>
                </c:pt>
                <c:pt idx="6">
                  <c:v>970.00952301763323</c:v>
                </c:pt>
                <c:pt idx="7">
                  <c:v>453.01445418530869</c:v>
                </c:pt>
                <c:pt idx="8">
                  <c:v>217.60440216362025</c:v>
                </c:pt>
                <c:pt idx="9">
                  <c:v>106.45683565868376</c:v>
                </c:pt>
                <c:pt idx="10">
                  <c:v>52.409146448999593</c:v>
                </c:pt>
                <c:pt idx="11">
                  <c:v>25.526125442411427</c:v>
                </c:pt>
                <c:pt idx="12">
                  <c:v>11.95147188204805</c:v>
                </c:pt>
                <c:pt idx="13">
                  <c:v>5.0561093949632392</c:v>
                </c:pt>
                <c:pt idx="14">
                  <c:v>1.5764766785851765</c:v>
                </c:pt>
                <c:pt idx="15">
                  <c:v>-0.13386569875000451</c:v>
                </c:pt>
                <c:pt idx="16">
                  <c:v>-0.9225565782231917</c:v>
                </c:pt>
                <c:pt idx="17">
                  <c:v>-1.2330048706796375</c:v>
                </c:pt>
                <c:pt idx="18">
                  <c:v>-1.2997619834856009</c:v>
                </c:pt>
                <c:pt idx="19">
                  <c:v>-1.2475717734374798</c:v>
                </c:pt>
                <c:pt idx="20">
                  <c:v>-1.1426415145150108</c:v>
                </c:pt>
                <c:pt idx="21">
                  <c:v>-1.0196635116667774</c:v>
                </c:pt>
                <c:pt idx="22">
                  <c:v>-0.89627452945424069</c:v>
                </c:pt>
                <c:pt idx="23">
                  <c:v>-0.78088824540902624</c:v>
                </c:pt>
                <c:pt idx="24">
                  <c:v>-0.67697595350203921</c:v>
                </c:pt>
                <c:pt idx="25">
                  <c:v>-0.58541790213989309</c:v>
                </c:pt>
                <c:pt idx="26">
                  <c:v>-0.50579504673665099</c:v>
                </c:pt>
                <c:pt idx="27">
                  <c:v>-0.43709413601213354</c:v>
                </c:pt>
                <c:pt idx="28">
                  <c:v>-0.37808638997421484</c:v>
                </c:pt>
                <c:pt idx="29">
                  <c:v>-0.32752442061684939</c:v>
                </c:pt>
                <c:pt idx="30">
                  <c:v>-0.28423839795260369</c:v>
                </c:pt>
                <c:pt idx="31">
                  <c:v>-0.24717703678734462</c:v>
                </c:pt>
                <c:pt idx="32">
                  <c:v>-0.21541908121190179</c:v>
                </c:pt>
                <c:pt idx="33">
                  <c:v>-0.18816970907341427</c:v>
                </c:pt>
                <c:pt idx="34">
                  <c:v>-0.1647498835783589</c:v>
                </c:pt>
                <c:pt idx="35">
                  <c:v>-0.14458303910247641</c:v>
                </c:pt>
                <c:pt idx="36">
                  <c:v>-0.12718142036517707</c:v>
                </c:pt>
                <c:pt idx="37">
                  <c:v>-0.11213322739033539</c:v>
                </c:pt>
                <c:pt idx="38">
                  <c:v>-9.909106955150819E-2</c:v>
                </c:pt>
                <c:pt idx="39">
                  <c:v>-8.7761879858352973E-2</c:v>
                </c:pt>
                <c:pt idx="40">
                  <c:v>-7.7898258020982755E-2</c:v>
                </c:pt>
                <c:pt idx="41">
                  <c:v>-6.9291123928299947E-2</c:v>
                </c:pt>
                <c:pt idx="42">
                  <c:v>-6.1763529279581939E-2</c:v>
                </c:pt>
                <c:pt idx="43">
                  <c:v>-5.5165469586405641E-2</c:v>
                </c:pt>
                <c:pt idx="44">
                  <c:v>-4.9369547533051006E-2</c:v>
                </c:pt>
                <c:pt idx="45">
                  <c:v>-4.426735381885602E-2</c:v>
                </c:pt>
                <c:pt idx="46">
                  <c:v>-3.9766448755581302E-2</c:v>
                </c:pt>
                <c:pt idx="47">
                  <c:v>-3.5787844774731098E-2</c:v>
                </c:pt>
                <c:pt idx="48">
                  <c:v>-3.2263905512806994E-2</c:v>
                </c:pt>
                <c:pt idx="49">
                  <c:v>-2.9136590846092467E-2</c:v>
                </c:pt>
                <c:pt idx="50">
                  <c:v>-2.6355989057444823E-2</c:v>
                </c:pt>
                <c:pt idx="51">
                  <c:v>-2.3879087334315364E-2</c:v>
                </c:pt>
                <c:pt idx="52">
                  <c:v>-2.1668740200777407E-2</c:v>
                </c:pt>
                <c:pt idx="53">
                  <c:v>-1.969280248481654E-2</c:v>
                </c:pt>
                <c:pt idx="54">
                  <c:v>-1.7923399221600626E-2</c:v>
                </c:pt>
                <c:pt idx="55">
                  <c:v>-1.6336309683667491E-2</c:v>
                </c:pt>
                <c:pt idx="56">
                  <c:v>-1.4910446677584295E-2</c:v>
                </c:pt>
                <c:pt idx="57">
                  <c:v>-1.3627415497934893E-2</c:v>
                </c:pt>
                <c:pt idx="58">
                  <c:v>-1.247113960553662E-2</c:v>
                </c:pt>
                <c:pt idx="59">
                  <c:v>-1.1427542299638865E-2</c:v>
                </c:pt>
                <c:pt idx="60">
                  <c:v>-1.0484275468154646E-2</c:v>
                </c:pt>
                <c:pt idx="61">
                  <c:v>-9.6304879955295374E-3</c:v>
                </c:pt>
                <c:pt idx="62">
                  <c:v>-8.8566276420138871E-3</c:v>
                </c:pt>
                <c:pt idx="63">
                  <c:v>-8.1542712278689488E-3</c:v>
                </c:pt>
                <c:pt idx="64">
                  <c:v>-7.5159787998624918E-3</c:v>
                </c:pt>
                <c:pt idx="65">
                  <c:v>-6.9351681567304891E-3</c:v>
                </c:pt>
                <c:pt idx="66">
                  <c:v>-6.4060066907936763E-3</c:v>
                </c:pt>
                <c:pt idx="67">
                  <c:v>-5.9233179856260582E-3</c:v>
                </c:pt>
                <c:pt idx="68">
                  <c:v>-5.4825010117569746E-3</c:v>
                </c:pt>
                <c:pt idx="69">
                  <c:v>-5.0794600979122383E-3</c:v>
                </c:pt>
                <c:pt idx="70">
                  <c:v>-4.7105441357873524E-3</c:v>
                </c:pt>
                <c:pt idx="71">
                  <c:v>-4.3724937112501975E-3</c:v>
                </c:pt>
                <c:pt idx="72">
                  <c:v>-4.0623950519590403E-3</c:v>
                </c:pt>
                <c:pt idx="73">
                  <c:v>-3.7776398470426519E-3</c:v>
                </c:pt>
                <c:pt idx="74">
                  <c:v>-3.5158901339871537E-3</c:v>
                </c:pt>
                <c:pt idx="75">
                  <c:v>-3.2750475655527237E-3</c:v>
                </c:pt>
                <c:pt idx="76">
                  <c:v>-3.053226468993404E-3</c:v>
                </c:pt>
                <c:pt idx="77">
                  <c:v>-2.8487301940470491E-3</c:v>
                </c:pt>
                <c:pt idx="78">
                  <c:v>-2.6600303175660137E-3</c:v>
                </c:pt>
                <c:pt idx="79">
                  <c:v>-2.4857483333202996E-3</c:v>
                </c:pt>
                <c:pt idx="80">
                  <c:v>-2.3246395071278218E-3</c:v>
                </c:pt>
                <c:pt idx="81">
                  <c:v>-2.1755786214725089E-3</c:v>
                </c:pt>
                <c:pt idx="82">
                  <c:v>-2.0375473713459143E-3</c:v>
                </c:pt>
                <c:pt idx="83">
                  <c:v>-1.9096232051848175E-3</c:v>
                </c:pt>
                <c:pt idx="84">
                  <c:v>-1.7909694323071902E-3</c:v>
                </c:pt>
                <c:pt idx="85">
                  <c:v>-1.6808264418698125E-3</c:v>
                </c:pt>
                <c:pt idx="86">
                  <c:v>-1.5785038986696699E-3</c:v>
                </c:pt>
                <c:pt idx="87">
                  <c:v>-1.4833737985819396E-3</c:v>
                </c:pt>
                <c:pt idx="88">
                  <c:v>-1.3948642814868013E-3</c:v>
                </c:pt>
                <c:pt idx="89">
                  <c:v>-1.3124541125376743E-3</c:v>
                </c:pt>
                <c:pt idx="90">
                  <c:v>-1.2356677538625268E-3</c:v>
                </c:pt>
                <c:pt idx="91">
                  <c:v>-1.1640709585206321E-3</c:v>
                </c:pt>
                <c:pt idx="92">
                  <c:v>-1.0972668269734166E-3</c:v>
                </c:pt>
                <c:pt idx="93">
                  <c:v>-1.0348922736527206E-3</c:v>
                </c:pt>
                <c:pt idx="94">
                  <c:v>-9.7661485757765819E-4</c:v>
                </c:pt>
                <c:pt idx="95">
                  <c:v>-9.2212993651497608E-4</c:v>
                </c:pt>
                <c:pt idx="96">
                  <c:v>-8.7115810901032033E-4</c:v>
                </c:pt>
                <c:pt idx="97">
                  <c:v>-8.2344291283583705E-4</c:v>
                </c:pt>
                <c:pt idx="98">
                  <c:v>-7.7874875208592425E-4</c:v>
                </c:pt>
                <c:pt idx="99">
                  <c:v>-7.3685902837876166E-4</c:v>
                </c:pt>
                <c:pt idx="100">
                  <c:v>-6.9757445444744198E-4</c:v>
                </c:pt>
                <c:pt idx="101">
                  <c:v>-6.607115308837401E-4</c:v>
                </c:pt>
                <c:pt idx="102">
                  <c:v>-6.2610116897481017E-4</c:v>
                </c:pt>
                <c:pt idx="103">
                  <c:v>-5.9358744448757882E-4</c:v>
                </c:pt>
                <c:pt idx="104">
                  <c:v>-5.6302646894084037E-4</c:v>
                </c:pt>
                <c:pt idx="105">
                  <c:v>-5.3428536639023717E-4</c:v>
                </c:pt>
                <c:pt idx="106">
                  <c:v>-5.0724134506164404E-4</c:v>
                </c:pt>
                <c:pt idx="107">
                  <c:v>-4.8178085432577171E-4</c:v>
                </c:pt>
                <c:pt idx="108">
                  <c:v>-4.5779881853008349E-4</c:v>
                </c:pt>
                <c:pt idx="109">
                  <c:v>-4.3519794010983548E-4</c:v>
                </c:pt>
                <c:pt idx="110">
                  <c:v>-4.1388806520254308E-4</c:v>
                </c:pt>
                <c:pt idx="111">
                  <c:v>-3.9378560570196147E-4</c:v>
                </c:pt>
                <c:pt idx="112">
                  <c:v>-3.7481301231959797E-4</c:v>
                </c:pt>
                <c:pt idx="113">
                  <c:v>-3.5689829378340534E-4</c:v>
                </c:pt>
                <c:pt idx="114">
                  <c:v>-3.3997457780291461E-4</c:v>
                </c:pt>
                <c:pt idx="115">
                  <c:v>-3.2397970987494275E-4</c:v>
                </c:pt>
                <c:pt idx="116">
                  <c:v>-3.0885588640052939E-4</c:v>
                </c:pt>
                <c:pt idx="117">
                  <c:v>-2.9454931893748982E-4</c:v>
                </c:pt>
                <c:pt idx="118">
                  <c:v>-2.8100992672883742E-4</c:v>
                </c:pt>
                <c:pt idx="119">
                  <c:v>-2.6819105492962886E-4</c:v>
                </c:pt>
                <c:pt idx="120">
                  <c:v>-2.5604921620730862E-4</c:v>
                </c:pt>
                <c:pt idx="121">
                  <c:v>-2.4454385361673254E-4</c:v>
                </c:pt>
                <c:pt idx="122">
                  <c:v>-2.3363712285362872E-4</c:v>
                </c:pt>
                <c:pt idx="123">
                  <c:v>-2.2329369217197325E-4</c:v>
                </c:pt>
                <c:pt idx="124">
                  <c:v>-2.1348055841383643E-4</c:v>
                </c:pt>
                <c:pt idx="125">
                  <c:v>-2.0416687774677249E-4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Ile!$K$6</c:f>
              <c:strCache>
                <c:ptCount val="1"/>
                <c:pt idx="0">
                  <c:v>Gly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Ile!$K$7:$K$132</c:f>
              <c:numCache>
                <c:formatCode>0.00</c:formatCode>
                <c:ptCount val="126"/>
                <c:pt idx="0">
                  <c:v>435392.99875075824</c:v>
                </c:pt>
                <c:pt idx="1">
                  <c:v>138359.07375440837</c:v>
                </c:pt>
                <c:pt idx="2">
                  <c:v>48496.48957166633</c:v>
                </c:pt>
                <c:pt idx="3">
                  <c:v>18440.354153942259</c:v>
                </c:pt>
                <c:pt idx="4">
                  <c:v>7506.1177992060948</c:v>
                </c:pt>
                <c:pt idx="5">
                  <c:v>3235.0158332045512</c:v>
                </c:pt>
                <c:pt idx="6">
                  <c:v>1462.340922720964</c:v>
                </c:pt>
                <c:pt idx="7">
                  <c:v>687.44079259146724</c:v>
                </c:pt>
                <c:pt idx="8">
                  <c:v>333.35407963641256</c:v>
                </c:pt>
                <c:pt idx="9">
                  <c:v>165.35791486016319</c:v>
                </c:pt>
                <c:pt idx="10">
                  <c:v>83.113916143445707</c:v>
                </c:pt>
                <c:pt idx="11">
                  <c:v>41.820861720523041</c:v>
                </c:pt>
                <c:pt idx="12">
                  <c:v>20.69275720592934</c:v>
                </c:pt>
                <c:pt idx="13">
                  <c:v>9.7546416511133227</c:v>
                </c:pt>
                <c:pt idx="14">
                  <c:v>4.0759555997473917</c:v>
                </c:pt>
                <c:pt idx="15">
                  <c:v>1.1561671217457332</c:v>
                </c:pt>
                <c:pt idx="16">
                  <c:v>-0.3009685050129533</c:v>
                </c:pt>
                <c:pt idx="17">
                  <c:v>-0.9797111846563592</c:v>
                </c:pt>
                <c:pt idx="18">
                  <c:v>-1.2464200137574779</c:v>
                </c:pt>
                <c:pt idx="19">
                  <c:v>-1.2991620459373179</c:v>
                </c:pt>
                <c:pt idx="20">
                  <c:v>-1.2454892404430089</c:v>
                </c:pt>
                <c:pt idx="21">
                  <c:v>-1.1436529514716798</c:v>
                </c:pt>
                <c:pt idx="22">
                  <c:v>-1.0248097343876095</c:v>
                </c:pt>
                <c:pt idx="23">
                  <c:v>-0.90515504513163203</c:v>
                </c:pt>
                <c:pt idx="24">
                  <c:v>-0.79262914947113616</c:v>
                </c:pt>
                <c:pt idx="25">
                  <c:v>-0.69065445008036863</c:v>
                </c:pt>
                <c:pt idx="26">
                  <c:v>-0.60022856913885647</c:v>
                </c:pt>
                <c:pt idx="27">
                  <c:v>-0.52109721860448277</c:v>
                </c:pt>
                <c:pt idx="28">
                  <c:v>-0.45240800080474469</c:v>
                </c:pt>
                <c:pt idx="29">
                  <c:v>-0.3930699555577174</c:v>
                </c:pt>
                <c:pt idx="30">
                  <c:v>-0.3419460586319864</c:v>
                </c:pt>
                <c:pt idx="31">
                  <c:v>-0.29795118249285013</c:v>
                </c:pt>
                <c:pt idx="32">
                  <c:v>-0.2600970598105562</c:v>
                </c:pt>
                <c:pt idx="33">
                  <c:v>-0.22750809707037184</c:v>
                </c:pt>
                <c:pt idx="34">
                  <c:v>-0.19942170630547354</c:v>
                </c:pt>
                <c:pt idx="35">
                  <c:v>-0.17518093735403706</c:v>
                </c:pt>
                <c:pt idx="36">
                  <c:v>-0.15422378140071127</c:v>
                </c:pt>
                <c:pt idx="37">
                  <c:v>-0.13607153997988633</c:v>
                </c:pt>
                <c:pt idx="38">
                  <c:v>-0.12031751356779848</c:v>
                </c:pt>
                <c:pt idx="39">
                  <c:v>-0.10661661286973255</c:v>
                </c:pt>
                <c:pt idx="40">
                  <c:v>-9.4676130863497188E-2</c:v>
                </c:pt>
                <c:pt idx="41">
                  <c:v>-8.4247715363511999E-2</c:v>
                </c:pt>
                <c:pt idx="42">
                  <c:v>-7.5120480097946724E-2</c:v>
                </c:pt>
                <c:pt idx="43">
                  <c:v>-6.7115145644297394E-2</c:v>
                </c:pt>
                <c:pt idx="44">
                  <c:v>-6.0079085681196284E-2</c:v>
                </c:pt>
                <c:pt idx="45">
                  <c:v>-5.3882154620920664E-2</c:v>
                </c:pt>
                <c:pt idx="46">
                  <c:v>-4.8413181520222483E-2</c:v>
                </c:pt>
                <c:pt idx="47">
                  <c:v>-4.3577027517118318E-2</c:v>
                </c:pt>
                <c:pt idx="48">
                  <c:v>-3.9292117301851628E-2</c:v>
                </c:pt>
                <c:pt idx="49">
                  <c:v>-3.548836792899495E-2</c:v>
                </c:pt>
                <c:pt idx="50">
                  <c:v>-3.2105449956693531E-2</c:v>
                </c:pt>
                <c:pt idx="51">
                  <c:v>-2.9091326205331829E-2</c:v>
                </c:pt>
                <c:pt idx="52">
                  <c:v>-2.6401022329798018E-2</c:v>
                </c:pt>
                <c:pt idx="53">
                  <c:v>-2.3995590979115775E-2</c:v>
                </c:pt>
                <c:pt idx="54">
                  <c:v>-2.1841237708181076E-2</c:v>
                </c:pt>
                <c:pt idx="55">
                  <c:v>-1.9908582159007482E-2</c:v>
                </c:pt>
                <c:pt idx="56">
                  <c:v>-1.8172032491407471E-2</c:v>
                </c:pt>
                <c:pt idx="57">
                  <c:v>-1.6609254752109937E-2</c:v>
                </c:pt>
                <c:pt idx="58">
                  <c:v>-1.5200721948209357E-2</c:v>
                </c:pt>
                <c:pt idx="59">
                  <c:v>-1.3929330140558461E-2</c:v>
                </c:pt>
                <c:pt idx="60">
                  <c:v>-1.2780070984658373E-2</c:v>
                </c:pt>
                <c:pt idx="61">
                  <c:v>-1.1739751896034243E-2</c:v>
                </c:pt>
                <c:pt idx="62">
                  <c:v>-1.0796756466881011E-2</c:v>
                </c:pt>
                <c:pt idx="63">
                  <c:v>-9.9408389631352803E-3</c:v>
                </c:pt>
                <c:pt idx="64">
                  <c:v>-9.1629477292796812E-3</c:v>
                </c:pt>
                <c:pt idx="65">
                  <c:v>-8.4550731577649422E-3</c:v>
                </c:pt>
                <c:pt idx="66">
                  <c:v>-7.8101165703121237E-3</c:v>
                </c:pt>
                <c:pt idx="67">
                  <c:v>-7.2217769337063311E-3</c:v>
                </c:pt>
                <c:pt idx="68">
                  <c:v>-6.68445281290084E-3</c:v>
                </c:pt>
                <c:pt idx="69">
                  <c:v>-6.1931573656794983E-3</c:v>
                </c:pt>
                <c:pt idx="70">
                  <c:v>-5.7434445192433153E-3</c:v>
                </c:pt>
                <c:pt idx="71">
                  <c:v>-5.3313447509855038E-3</c:v>
                </c:pt>
                <c:pt idx="72">
                  <c:v>-4.9533091325425389E-3</c:v>
                </c:pt>
                <c:pt idx="73">
                  <c:v>-4.6061604955008589E-3</c:v>
                </c:pt>
                <c:pt idx="74">
                  <c:v>-4.2870507451341381E-3</c:v>
                </c:pt>
                <c:pt idx="75">
                  <c:v>-3.9934234904005347E-3</c:v>
                </c:pt>
                <c:pt idx="76">
                  <c:v>-3.7229812784150382E-3</c:v>
                </c:pt>
                <c:pt idx="77">
                  <c:v>-3.4736568232718902E-3</c:v>
                </c:pt>
                <c:pt idx="78">
                  <c:v>-3.2435877053707267E-3</c:v>
                </c:pt>
                <c:pt idx="79">
                  <c:v>-3.0310940907469189E-3</c:v>
                </c:pt>
                <c:pt idx="80">
                  <c:v>-2.8346590823628702E-3</c:v>
                </c:pt>
                <c:pt idx="81">
                  <c:v>-2.6529113685876344E-3</c:v>
                </c:pt>
                <c:pt idx="82">
                  <c:v>-2.484609879600818E-3</c:v>
                </c:pt>
                <c:pt idx="83">
                  <c:v>-2.3286302013972647E-3</c:v>
                </c:pt>
                <c:pt idx="84">
                  <c:v>-2.1839525304416007E-3</c:v>
                </c:pt>
                <c:pt idx="85">
                  <c:v>-2.0496509806670902E-3</c:v>
                </c:pt>
                <c:pt idx="86">
                  <c:v>-1.924884079138918E-3</c:v>
                </c:pt>
                <c:pt idx="87">
                  <c:v>-1.8088863079037784E-3</c:v>
                </c:pt>
                <c:pt idx="88">
                  <c:v>-1.7009605678290232E-3</c:v>
                </c:pt>
                <c:pt idx="89">
                  <c:v>-1.6004714560207704E-3</c:v>
                </c:pt>
                <c:pt idx="90">
                  <c:v>-1.5068392620616682E-3</c:v>
                </c:pt>
                <c:pt idx="91">
                  <c:v>-1.4195346001309333E-3</c:v>
                </c:pt>
                <c:pt idx="92">
                  <c:v>-1.3380736043211348E-3</c:v>
                </c:pt>
                <c:pt idx="93">
                  <c:v>-1.2620136233689675E-3</c:v>
                </c:pt>
                <c:pt idx="94">
                  <c:v>-1.1909493587587182E-3</c:v>
                </c:pt>
                <c:pt idx="95">
                  <c:v>-1.1245093968978422E-3</c:v>
                </c:pt>
                <c:pt idx="96">
                  <c:v>-1.0623530919410679E-3</c:v>
                </c:pt>
                <c:pt idx="97">
                  <c:v>-1.0041677609699197E-3</c:v>
                </c:pt>
                <c:pt idx="98">
                  <c:v>-9.496661577191169E-4</c:v>
                </c:pt>
                <c:pt idx="99">
                  <c:v>-8.9858419496605774E-4</c:v>
                </c:pt>
                <c:pt idx="100">
                  <c:v>-8.5067888913865192E-4</c:v>
                </c:pt>
                <c:pt idx="101">
                  <c:v>-8.0572650371391725E-4</c:v>
                </c:pt>
                <c:pt idx="102">
                  <c:v>-7.6352087062976095E-4</c:v>
                </c:pt>
                <c:pt idx="103">
                  <c:v>-7.2387187126277933E-4</c:v>
                </c:pt>
                <c:pt idx="104">
                  <c:v>-6.8660406057647228E-4</c:v>
                </c:pt>
                <c:pt idx="105">
                  <c:v>-6.5155541985247099E-4</c:v>
                </c:pt>
                <c:pt idx="106">
                  <c:v>-6.1857622501283814E-4</c:v>
                </c:pt>
                <c:pt idx="107">
                  <c:v>-5.8752801895073294E-4</c:v>
                </c:pt>
                <c:pt idx="108">
                  <c:v>-5.5828267753289221E-4</c:v>
                </c:pt>
                <c:pt idx="109">
                  <c:v>-5.3072156004041829E-4</c:v>
                </c:pt>
                <c:pt idx="110">
                  <c:v>-5.047347357917865E-4</c:v>
                </c:pt>
                <c:pt idx="111">
                  <c:v>-4.8022027955895894E-4</c:v>
                </c:pt>
                <c:pt idx="112">
                  <c:v>-4.5708362915727153E-4</c:v>
                </c:pt>
                <c:pt idx="113">
                  <c:v>-4.3523699927391939E-4</c:v>
                </c:pt>
                <c:pt idx="114">
                  <c:v>-4.1459884620852688E-4</c:v>
                </c:pt>
                <c:pt idx="115">
                  <c:v>-3.9509337874128297E-4</c:v>
                </c:pt>
                <c:pt idx="116">
                  <c:v>-3.7665011082723272E-4</c:v>
                </c:pt>
                <c:pt idx="117">
                  <c:v>-3.5920345224631727E-4</c:v>
                </c:pt>
                <c:pt idx="118">
                  <c:v>-3.4269233372362395E-4</c:v>
                </c:pt>
                <c:pt idx="119">
                  <c:v>-3.2705986337830444E-4</c:v>
                </c:pt>
                <c:pt idx="120">
                  <c:v>-3.1225301166734078E-4</c:v>
                </c:pt>
                <c:pt idx="121">
                  <c:v>-2.9822232226585859E-4</c:v>
                </c:pt>
                <c:pt idx="122">
                  <c:v>-2.8492164657258393E-4</c:v>
                </c:pt>
                <c:pt idx="123">
                  <c:v>-2.7230789975047829E-4</c:v>
                </c:pt>
                <c:pt idx="124">
                  <c:v>-2.6034083641135247E-4</c:v>
                </c:pt>
                <c:pt idx="125">
                  <c:v>-2.4898284423182146E-4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Ile!$L$6</c:f>
              <c:strCache>
                <c:ptCount val="1"/>
                <c:pt idx="0">
                  <c:v>Thr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Ile!$L$7:$L$132</c:f>
              <c:numCache>
                <c:formatCode>0.00</c:formatCode>
                <c:ptCount val="126"/>
                <c:pt idx="0">
                  <c:v>845274.63937306963</c:v>
                </c:pt>
                <c:pt idx="1">
                  <c:v>268814.49306590308</c:v>
                </c:pt>
                <c:pt idx="2">
                  <c:v>94335.613102984134</c:v>
                </c:pt>
                <c:pt idx="3">
                  <c:v>35936.072354268275</c:v>
                </c:pt>
                <c:pt idx="4">
                  <c:v>14667.682376187386</c:v>
                </c:pt>
                <c:pt idx="5">
                  <c:v>6346.7176640632852</c:v>
                </c:pt>
                <c:pt idx="6">
                  <c:v>2885.3585257119585</c:v>
                </c:pt>
                <c:pt idx="7">
                  <c:v>1367.4484780432547</c:v>
                </c:pt>
                <c:pt idx="8">
                  <c:v>670.77858270057584</c:v>
                </c:pt>
                <c:pt idx="9">
                  <c:v>338.23401152720595</c:v>
                </c:pt>
                <c:pt idx="10">
                  <c:v>174.07946699068259</c:v>
                </c:pt>
                <c:pt idx="11">
                  <c:v>90.722572622817722</c:v>
                </c:pt>
                <c:pt idx="12">
                  <c:v>47.403700611250223</c:v>
                </c:pt>
                <c:pt idx="13">
                  <c:v>24.487177776493475</c:v>
                </c:pt>
                <c:pt idx="14">
                  <c:v>12.218501569186966</c:v>
                </c:pt>
                <c:pt idx="15">
                  <c:v>5.6185393519803055</c:v>
                </c:pt>
                <c:pt idx="16">
                  <c:v>2.0844787078084299</c:v>
                </c:pt>
                <c:pt idx="17">
                  <c:v>0.2273771417196695</c:v>
                </c:pt>
                <c:pt idx="18">
                  <c:v>-0.70699116810712703</c:v>
                </c:pt>
                <c:pt idx="19">
                  <c:v>-1.1340319299986923</c:v>
                </c:pt>
                <c:pt idx="20">
                  <c:v>-1.2849807460350851</c:v>
                </c:pt>
                <c:pt idx="21">
                  <c:v>-1.2893984407373096</c:v>
                </c:pt>
                <c:pt idx="22">
                  <c:v>-1.2199868703599004</c:v>
                </c:pt>
                <c:pt idx="23">
                  <c:v>-1.1173308545545624</c:v>
                </c:pt>
                <c:pt idx="24">
                  <c:v>-1.0037502518793753</c:v>
                </c:pt>
                <c:pt idx="25">
                  <c:v>-0.89114734061428114</c:v>
                </c:pt>
                <c:pt idx="26">
                  <c:v>-0.78549475698775184</c:v>
                </c:pt>
                <c:pt idx="27">
                  <c:v>-0.68941981849908252</c:v>
                </c:pt>
                <c:pt idx="28">
                  <c:v>-0.6036983323369064</c:v>
                </c:pt>
                <c:pt idx="29">
                  <c:v>-0.52811805717085014</c:v>
                </c:pt>
                <c:pt idx="30">
                  <c:v>-0.4619753139184159</c:v>
                </c:pt>
                <c:pt idx="31">
                  <c:v>-0.40435716504321784</c:v>
                </c:pt>
                <c:pt idx="32">
                  <c:v>-0.35429808378284222</c:v>
                </c:pt>
                <c:pt idx="33">
                  <c:v>-0.31086333988654058</c:v>
                </c:pt>
                <c:pt idx="34">
                  <c:v>-0.27318992051354124</c:v>
                </c:pt>
                <c:pt idx="35">
                  <c:v>-0.24050321384165643</c:v>
                </c:pt>
                <c:pt idx="36">
                  <c:v>-0.21212022851778101</c:v>
                </c:pt>
                <c:pt idx="37">
                  <c:v>-0.18744568714121648</c:v>
                </c:pt>
                <c:pt idx="38">
                  <c:v>-0.16596468572679923</c:v>
                </c:pt>
                <c:pt idx="39">
                  <c:v>-0.14723403128722473</c:v>
                </c:pt>
                <c:pt idx="40">
                  <c:v>-0.13087342887025422</c:v>
                </c:pt>
                <c:pt idx="41">
                  <c:v>-0.11655713275806157</c:v>
                </c:pt>
                <c:pt idx="42">
                  <c:v>-0.10400635120309908</c:v>
                </c:pt>
                <c:pt idx="43">
                  <c:v>-9.2982507856747915E-2</c:v>
                </c:pt>
                <c:pt idx="44">
                  <c:v>-8.3281360158768566E-2</c:v>
                </c:pt>
                <c:pt idx="45">
                  <c:v>-7.4727921568830305E-2</c:v>
                </c:pt>
                <c:pt idx="46">
                  <c:v>-6.7172110120823039E-2</c:v>
                </c:pt>
                <c:pt idx="47">
                  <c:v>-6.0485037953892103E-2</c:v>
                </c:pt>
                <c:pt idx="48">
                  <c:v>-5.4555857753194395E-2</c:v>
                </c:pt>
                <c:pt idx="49">
                  <c:v>-4.9289087969928626E-2</c:v>
                </c:pt>
                <c:pt idx="50">
                  <c:v>-4.4602346678044268E-2</c:v>
                </c:pt>
                <c:pt idx="51">
                  <c:v>-4.042443247774144E-2</c:v>
                </c:pt>
                <c:pt idx="52">
                  <c:v>-3.6693699162897407E-2</c:v>
                </c:pt>
                <c:pt idx="53">
                  <c:v>-3.3356678523594634E-2</c:v>
                </c:pt>
                <c:pt idx="54">
                  <c:v>-3.036691248477609E-2</c:v>
                </c:pt>
                <c:pt idx="55">
                  <c:v>-2.7683961750662348E-2</c:v>
                </c:pt>
                <c:pt idx="56">
                  <c:v>-2.5272563267315737E-2</c:v>
                </c:pt>
                <c:pt idx="57">
                  <c:v>-2.3101913203664354E-2</c:v>
                </c:pt>
                <c:pt idx="58">
                  <c:v>-2.1145055869527647E-2</c:v>
                </c:pt>
                <c:pt idx="59">
                  <c:v>-1.9378362124798602E-2</c:v>
                </c:pt>
                <c:pt idx="60">
                  <c:v>-1.7781083469458833E-2</c:v>
                </c:pt>
                <c:pt idx="61">
                  <c:v>-1.633497021439443E-2</c:v>
                </c:pt>
                <c:pt idx="62">
                  <c:v>-1.5023943984106532E-2</c:v>
                </c:pt>
                <c:pt idx="63">
                  <c:v>-1.3833816351594318E-2</c:v>
                </c:pt>
                <c:pt idx="64">
                  <c:v>-1.275204670187725E-2</c:v>
                </c:pt>
                <c:pt idx="65">
                  <c:v>-1.176753350529859E-2</c:v>
                </c:pt>
                <c:pt idx="66">
                  <c:v>-1.0870434089846559E-2</c:v>
                </c:pt>
                <c:pt idx="67">
                  <c:v>-1.0052008762524664E-2</c:v>
                </c:pt>
                <c:pt idx="68">
                  <c:v>-9.304485767761151E-3</c:v>
                </c:pt>
                <c:pt idx="69">
                  <c:v>-8.6209441063643932E-3</c:v>
                </c:pt>
                <c:pt idx="70">
                  <c:v>-7.9952116885807275E-3</c:v>
                </c:pt>
                <c:pt idx="71">
                  <c:v>-7.4217766735130914E-3</c:v>
                </c:pt>
                <c:pt idx="72">
                  <c:v>-6.895710166251086E-3</c:v>
                </c:pt>
                <c:pt idx="73">
                  <c:v>-6.4125987133038E-3</c:v>
                </c:pt>
                <c:pt idx="74">
                  <c:v>-5.968485264432717E-3</c:v>
                </c:pt>
                <c:pt idx="75">
                  <c:v>-5.5598174615050979E-3</c:v>
                </c:pt>
                <c:pt idx="76">
                  <c:v>-5.183402278153045E-3</c:v>
                </c:pt>
                <c:pt idx="77">
                  <c:v>-4.8363661725147932E-3</c:v>
                </c:pt>
                <c:pt idx="78">
                  <c:v>-4.5161200330642252E-3</c:v>
                </c:pt>
                <c:pt idx="79">
                  <c:v>-4.2203282977666071E-3</c:v>
                </c:pt>
                <c:pt idx="80">
                  <c:v>-3.9468817122642191E-3</c:v>
                </c:pt>
                <c:pt idx="81">
                  <c:v>-3.693873265781624E-3</c:v>
                </c:pt>
                <c:pt idx="82">
                  <c:v>-3.4595769058626885E-3</c:v>
                </c:pt>
                <c:pt idx="83">
                  <c:v>-3.2424286865203678E-3</c:v>
                </c:pt>
                <c:pt idx="84">
                  <c:v>-3.0410100502476717E-3</c:v>
                </c:pt>
                <c:pt idx="85">
                  <c:v>-2.8540329837433162E-3</c:v>
                </c:pt>
                <c:pt idx="86">
                  <c:v>-2.6803268211085373E-3</c:v>
                </c:pt>
                <c:pt idx="87">
                  <c:v>-2.51882649748254E-3</c:v>
                </c:pt>
                <c:pt idx="88">
                  <c:v>-2.3685620812888926E-3</c:v>
                </c:pt>
                <c:pt idx="89">
                  <c:v>-2.2286494350437025E-3</c:v>
                </c:pt>
                <c:pt idx="90">
                  <c:v>-2.0982818735208048E-3</c:v>
                </c:pt>
                <c:pt idx="91">
                  <c:v>-1.9767227043972803E-3</c:v>
                </c:pt>
                <c:pt idx="92">
                  <c:v>-1.8632985506693276E-3</c:v>
                </c:pt>
                <c:pt idx="93">
                  <c:v>-1.7573933664367886E-3</c:v>
                </c:pt>
                <c:pt idx="94">
                  <c:v>-1.6584430683620473E-3</c:v>
                </c:pt>
                <c:pt idx="95">
                  <c:v>-1.5659307144360736E-3</c:v>
                </c:pt>
                <c:pt idx="96">
                  <c:v>-1.4793821698193814E-3</c:v>
                </c:pt>
                <c:pt idx="97">
                  <c:v>-1.3983622066299042E-3</c:v>
                </c:pt>
                <c:pt idx="98">
                  <c:v>-1.3224709907615542E-3</c:v>
                </c:pt>
                <c:pt idx="99">
                  <c:v>-1.2513409142553597E-3</c:v>
                </c:pt>
                <c:pt idx="100">
                  <c:v>-1.1846337365114877E-3</c:v>
                </c:pt>
                <c:pt idx="101">
                  <c:v>-1.1220380018133233E-3</c:v>
                </c:pt>
                <c:pt idx="102">
                  <c:v>-1.0632667043095271E-3</c:v>
                </c:pt>
                <c:pt idx="103">
                  <c:v>-1.0080551748323076E-3</c:v>
                </c:pt>
                <c:pt idx="104">
                  <c:v>-9.5615916677636653E-4</c:v>
                </c:pt>
                <c:pt idx="105">
                  <c:v>-9.0735312077203588E-4</c:v>
                </c:pt>
                <c:pt idx="106">
                  <c:v>-8.6142859010044108E-4</c:v>
                </c:pt>
                <c:pt idx="107">
                  <c:v>-8.1819281075472901E-4</c:v>
                </c:pt>
                <c:pt idx="108">
                  <c:v>-7.774674017815103E-4</c:v>
                </c:pt>
                <c:pt idx="109">
                  <c:v>-7.3908718306835662E-4</c:v>
                </c:pt>
                <c:pt idx="110">
                  <c:v>-7.0289909910060532E-4</c:v>
                </c:pt>
                <c:pt idx="111">
                  <c:v>-6.6876123841497096E-4</c:v>
                </c:pt>
                <c:pt idx="112">
                  <c:v>-6.3654193954680127E-4</c:v>
                </c:pt>
                <c:pt idx="113">
                  <c:v>-6.0611897521836234E-4</c:v>
                </c:pt>
                <c:pt idx="114">
                  <c:v>-5.7737880736128191E-4</c:v>
                </c:pt>
                <c:pt idx="115">
                  <c:v>-5.5021590631945964E-4</c:v>
                </c:pt>
                <c:pt idx="116">
                  <c:v>-5.2453212825020134E-4</c:v>
                </c:pt>
                <c:pt idx="117">
                  <c:v>-5.0023614534039059E-4</c:v>
                </c:pt>
                <c:pt idx="118">
                  <c:v>-4.7724292398951967E-4</c:v>
                </c:pt>
                <c:pt idx="119">
                  <c:v>-4.5547324658962331E-4</c:v>
                </c:pt>
                <c:pt idx="120">
                  <c:v>-4.348532729599852E-4</c:v>
                </c:pt>
                <c:pt idx="121">
                  <c:v>-4.1531413787758708E-4</c:v>
                </c:pt>
                <c:pt idx="122">
                  <c:v>-3.9679158148757512E-4</c:v>
                </c:pt>
                <c:pt idx="123">
                  <c:v>-3.7922560968596812E-4</c:v>
                </c:pt>
                <c:pt idx="124">
                  <c:v>-3.6256018184325107E-4</c:v>
                </c:pt>
                <c:pt idx="125">
                  <c:v>-3.4674292348585228E-4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Ile!$M$6</c:f>
              <c:strCache>
                <c:ptCount val="1"/>
                <c:pt idx="0">
                  <c:v>Ser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Ile!$M$7:$M$132</c:f>
              <c:numCache>
                <c:formatCode>0.00</c:formatCode>
                <c:ptCount val="126"/>
                <c:pt idx="0">
                  <c:v>320379.74536288885</c:v>
                </c:pt>
                <c:pt idx="1">
                  <c:v>101764.90420812693</c:v>
                </c:pt>
                <c:pt idx="2">
                  <c:v>35644.642682255871</c:v>
                </c:pt>
                <c:pt idx="3">
                  <c:v>13538.899034932918</c:v>
                </c:pt>
                <c:pt idx="4">
                  <c:v>5502.0882104419907</c:v>
                </c:pt>
                <c:pt idx="5">
                  <c:v>2365.702596100316</c:v>
                </c:pt>
                <c:pt idx="6">
                  <c:v>1065.7239139345336</c:v>
                </c:pt>
                <c:pt idx="7">
                  <c:v>498.53101558541567</c:v>
                </c:pt>
                <c:pt idx="8">
                  <c:v>240.03850698356942</c:v>
                </c:pt>
                <c:pt idx="9">
                  <c:v>117.84462680024338</c:v>
                </c:pt>
                <c:pt idx="10">
                  <c:v>58.325199292480342</c:v>
                </c:pt>
                <c:pt idx="11">
                  <c:v>28.650652799692605</c:v>
                </c:pt>
                <c:pt idx="12">
                  <c:v>13.616142901711367</c:v>
                </c:pt>
                <c:pt idx="13">
                  <c:v>5.9418751013698223</c:v>
                </c:pt>
                <c:pt idx="14">
                  <c:v>2.0403433299067677</c:v>
                </c:pt>
                <c:pt idx="15">
                  <c:v>9.9302932528553003E-2</c:v>
                </c:pt>
                <c:pt idx="16">
                  <c:v>-0.81585998727974318</c:v>
                </c:pt>
                <c:pt idx="17">
                  <c:v>-1.1951732421403234</c:v>
                </c:pt>
                <c:pt idx="18">
                  <c:v>-1.2986474006874953</c:v>
                </c:pt>
                <c:pt idx="19">
                  <c:v>-1.2651511955853851</c:v>
                </c:pt>
                <c:pt idx="20">
                  <c:v>-1.1688292594132419</c:v>
                </c:pt>
                <c:pt idx="21">
                  <c:v>-1.0488767780892427</c:v>
                </c:pt>
                <c:pt idx="22">
                  <c:v>-0.92549960769893735</c:v>
                </c:pt>
                <c:pt idx="23">
                  <c:v>-0.80857870538768839</c:v>
                </c:pt>
                <c:pt idx="24">
                  <c:v>-0.70241904042065995</c:v>
                </c:pt>
                <c:pt idx="25">
                  <c:v>-0.60836788346689452</c:v>
                </c:pt>
                <c:pt idx="26">
                  <c:v>-0.52626045491143725</c:v>
                </c:pt>
                <c:pt idx="27">
                  <c:v>-0.45521452650769617</c:v>
                </c:pt>
                <c:pt idx="28">
                  <c:v>-0.39406150969073678</c:v>
                </c:pt>
                <c:pt idx="29">
                  <c:v>-0.3415741789545344</c:v>
                </c:pt>
                <c:pt idx="30">
                  <c:v>-0.29658094904392251</c:v>
                </c:pt>
                <c:pt idx="31">
                  <c:v>-0.25801746854767815</c:v>
                </c:pt>
                <c:pt idx="32">
                  <c:v>-0.22494425414976427</c:v>
                </c:pt>
                <c:pt idx="33">
                  <c:v>-0.19654659281111952</c:v>
                </c:pt>
                <c:pt idx="34">
                  <c:v>-0.1721258153419776</c:v>
                </c:pt>
                <c:pt idx="35">
                  <c:v>-0.15108697335722127</c:v>
                </c:pt>
                <c:pt idx="36">
                  <c:v>-0.1329256262738471</c:v>
                </c:pt>
                <c:pt idx="37">
                  <c:v>-0.11721512365660693</c:v>
                </c:pt>
                <c:pt idx="38">
                  <c:v>-0.10359502574860968</c:v>
                </c:pt>
                <c:pt idx="39">
                  <c:v>-9.1760896336702369E-2</c:v>
                </c:pt>
                <c:pt idx="40">
                  <c:v>-8.1455485180877515E-2</c:v>
                </c:pt>
                <c:pt idx="41">
                  <c:v>-7.2461209553139241E-2</c:v>
                </c:pt>
                <c:pt idx="42">
                  <c:v>-6.4593797996584504E-2</c:v>
                </c:pt>
                <c:pt idx="43">
                  <c:v>-5.76969463956074E-2</c:v>
                </c:pt>
                <c:pt idx="44">
                  <c:v>-5.1637840803156504E-2</c:v>
                </c:pt>
                <c:pt idx="45">
                  <c:v>-4.6303414070090705E-2</c:v>
                </c:pt>
                <c:pt idx="46">
                  <c:v>-4.1597219075401197E-2</c:v>
                </c:pt>
                <c:pt idx="47">
                  <c:v>-3.7436817526963241E-2</c:v>
                </c:pt>
                <c:pt idx="48">
                  <c:v>-3.3751598509051295E-2</c:v>
                </c:pt>
                <c:pt idx="49">
                  <c:v>-3.0480954582588125E-2</c:v>
                </c:pt>
                <c:pt idx="50">
                  <c:v>-2.7572755108869178E-2</c:v>
                </c:pt>
                <c:pt idx="51">
                  <c:v>-2.4982066602772805E-2</c:v>
                </c:pt>
                <c:pt idx="52">
                  <c:v>-2.2670078470802681E-2</c:v>
                </c:pt>
                <c:pt idx="53">
                  <c:v>-2.0603199639325411E-2</c:v>
                </c:pt>
                <c:pt idx="54">
                  <c:v>-1.8752297523354007E-2</c:v>
                </c:pt>
                <c:pt idx="55">
                  <c:v>-1.7092055710052737E-2</c:v>
                </c:pt>
                <c:pt idx="56">
                  <c:v>-1.5600430799007912E-2</c:v>
                </c:pt>
                <c:pt idx="57">
                  <c:v>-1.4258192197085167E-2</c:v>
                </c:pt>
                <c:pt idx="58">
                  <c:v>-1.304853143209595E-2</c:v>
                </c:pt>
                <c:pt idx="59">
                  <c:v>-1.1956729829791693E-2</c:v>
                </c:pt>
                <c:pt idx="60">
                  <c:v>-1.0969875278957507E-2</c:v>
                </c:pt>
                <c:pt idx="61">
                  <c:v>-1.0076620360845232E-2</c:v>
                </c:pt>
                <c:pt idx="62">
                  <c:v>-9.2669754006009988E-3</c:v>
                </c:pt>
                <c:pt idx="63">
                  <c:v>-8.5321310579558138E-3</c:v>
                </c:pt>
                <c:pt idx="64">
                  <c:v>-7.864305951831501E-3</c:v>
                </c:pt>
                <c:pt idx="65">
                  <c:v>-7.2566155410752464E-3</c:v>
                </c:pt>
                <c:pt idx="66">
                  <c:v>-6.702959087805588E-3</c:v>
                </c:pt>
                <c:pt idx="67">
                  <c:v>-6.1979220325490752E-3</c:v>
                </c:pt>
                <c:pt idx="68">
                  <c:v>-5.7366915292542137E-3</c:v>
                </c:pt>
                <c:pt idx="69">
                  <c:v>-5.314983237960892E-3</c:v>
                </c:pt>
                <c:pt idx="70">
                  <c:v>-4.9289777653320592E-3</c:v>
                </c:pt>
                <c:pt idx="71">
                  <c:v>-4.5752653882323935E-3</c:v>
                </c:pt>
                <c:pt idx="72">
                  <c:v>-4.2507979011349225E-3</c:v>
                </c:pt>
                <c:pt idx="73">
                  <c:v>-3.9528466009904183E-3</c:v>
                </c:pt>
                <c:pt idx="74">
                  <c:v>-3.6789655687817302E-3</c:v>
                </c:pt>
                <c:pt idx="75">
                  <c:v>-3.4269595298251857E-3</c:v>
                </c:pt>
                <c:pt idx="76">
                  <c:v>-3.1948556787123271E-3</c:v>
                </c:pt>
                <c:pt idx="77">
                  <c:v>-2.9808789427025577E-3</c:v>
                </c:pt>
                <c:pt idx="78">
                  <c:v>-2.7834302319501591E-3</c:v>
                </c:pt>
                <c:pt idx="79">
                  <c:v>-2.6010672883113343E-3</c:v>
                </c:pt>
                <c:pt idx="80">
                  <c:v>-2.4324877984056065E-3</c:v>
                </c:pt>
                <c:pt idx="81">
                  <c:v>-2.2765144825826768E-3</c:v>
                </c:pt>
                <c:pt idx="82">
                  <c:v>-2.1320819107077701E-3</c:v>
                </c:pt>
                <c:pt idx="83">
                  <c:v>-1.9982248292614757E-3</c:v>
                </c:pt>
                <c:pt idx="84">
                  <c:v>-1.8740678130213179E-3</c:v>
                </c:pt>
                <c:pt idx="85">
                  <c:v>-1.7588160792804887E-3</c:v>
                </c:pt>
                <c:pt idx="86">
                  <c:v>-1.6517473237767251E-3</c:v>
                </c:pt>
                <c:pt idx="87">
                  <c:v>-1.5522044557670441E-3</c:v>
                </c:pt>
                <c:pt idx="88">
                  <c:v>-1.4595891254272388E-3</c:v>
                </c:pt>
                <c:pt idx="89">
                  <c:v>-1.37335595034648E-3</c:v>
                </c:pt>
                <c:pt idx="90">
                  <c:v>-1.293007359638134E-3</c:v>
                </c:pt>
                <c:pt idx="91">
                  <c:v>-1.21808898436211E-3</c:v>
                </c:pt>
                <c:pt idx="92">
                  <c:v>-1.1481855317753468E-3</c:v>
                </c:pt>
                <c:pt idx="93">
                  <c:v>-1.082917088586261E-3</c:v>
                </c:pt>
                <c:pt idx="94">
                  <c:v>-1.021935805048034E-3</c:v>
                </c:pt>
                <c:pt idx="95">
                  <c:v>-9.6492291752300256E-4</c:v>
                </c:pt>
                <c:pt idx="96">
                  <c:v>-9.1158607220428675E-4</c:v>
                </c:pt>
                <c:pt idx="97">
                  <c:v>-8.6165691709212894E-4</c:v>
                </c:pt>
                <c:pt idx="98">
                  <c:v>-8.148889331779127E-4</c:v>
                </c:pt>
                <c:pt idx="99">
                  <c:v>-7.7105547916270353E-4</c:v>
                </c:pt>
                <c:pt idx="100">
                  <c:v>-7.2994802699316195E-4</c:v>
                </c:pt>
                <c:pt idx="101">
                  <c:v>-6.9137456809081552E-4</c:v>
                </c:pt>
                <c:pt idx="102">
                  <c:v>-6.5515817242806041E-4</c:v>
                </c:pt>
                <c:pt idx="103">
                  <c:v>-6.2113568460680113E-4</c:v>
                </c:pt>
                <c:pt idx="104">
                  <c:v>-5.8915654285845358E-4</c:v>
                </c:pt>
                <c:pt idx="105">
                  <c:v>-5.5908170843759939E-4</c:v>
                </c:pt>
                <c:pt idx="106">
                  <c:v>-5.3078269425227355E-4</c:v>
                </c:pt>
                <c:pt idx="107">
                  <c:v>-5.0414068278451017E-4</c:v>
                </c:pt>
                <c:pt idx="108">
                  <c:v>-4.7904572442521095E-4</c:v>
                </c:pt>
                <c:pt idx="109">
                  <c:v>-4.5539600829490442E-4</c:v>
                </c:pt>
                <c:pt idx="110">
                  <c:v>-4.3309719846146597E-4</c:v>
                </c:pt>
                <c:pt idx="111">
                  <c:v>-4.1206182921050129E-4</c:v>
                </c:pt>
                <c:pt idx="112">
                  <c:v>-3.9220875368521207E-4</c:v>
                </c:pt>
                <c:pt idx="113">
                  <c:v>-3.7346264080010295E-4</c:v>
                </c:pt>
                <c:pt idx="114">
                  <c:v>-3.5575351585559809E-4</c:v>
                </c:pt>
                <c:pt idx="115">
                  <c:v>-3.3901634074604079E-4</c:v>
                </c:pt>
                <c:pt idx="116">
                  <c:v>-3.2319063006841335E-4</c:v>
                </c:pt>
                <c:pt idx="117">
                  <c:v>-3.0822009980917823E-4</c:v>
                </c:pt>
                <c:pt idx="118">
                  <c:v>-2.9405234561711782E-4</c:v>
                </c:pt>
                <c:pt idx="119">
                  <c:v>-2.8063854796540286E-4</c:v>
                </c:pt>
                <c:pt idx="120">
                  <c:v>-2.6793320177031767E-4</c:v>
                </c:pt>
                <c:pt idx="121">
                  <c:v>-2.5589386827063018E-4</c:v>
                </c:pt>
                <c:pt idx="122">
                  <c:v>-2.4448094718355261E-4</c:v>
                </c:pt>
                <c:pt idx="123">
                  <c:v>-2.3365746734335354E-4</c:v>
                </c:pt>
                <c:pt idx="124">
                  <c:v>-2.2338889419931641E-4</c:v>
                </c:pt>
                <c:pt idx="125">
                  <c:v>-2.1364295270303406E-4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Ile!$N$6</c:f>
              <c:strCache>
                <c:ptCount val="1"/>
                <c:pt idx="0">
                  <c:v>Gln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Ile!$N$7:$N$132</c:f>
              <c:numCache>
                <c:formatCode>0.00</c:formatCode>
                <c:ptCount val="126"/>
                <c:pt idx="0">
                  <c:v>125241.84927979189</c:v>
                </c:pt>
                <c:pt idx="1">
                  <c:v>39706.875921739775</c:v>
                </c:pt>
                <c:pt idx="2">
                  <c:v>13866.373358054143</c:v>
                </c:pt>
                <c:pt idx="3">
                  <c:v>5242.6466644893362</c:v>
                </c:pt>
                <c:pt idx="4">
                  <c:v>2115.8440069351532</c:v>
                </c:pt>
                <c:pt idx="5">
                  <c:v>900.44545526562672</c:v>
                </c:pt>
                <c:pt idx="6">
                  <c:v>399.56825368641211</c:v>
                </c:pt>
                <c:pt idx="7">
                  <c:v>182.8104836817308</c:v>
                </c:pt>
                <c:pt idx="8">
                  <c:v>85.159202812207923</c:v>
                </c:pt>
                <c:pt idx="9">
                  <c:v>39.742498727656525</c:v>
                </c:pt>
                <c:pt idx="10">
                  <c:v>18.124133079820687</c:v>
                </c:pt>
                <c:pt idx="11">
                  <c:v>7.6965358534378465</c:v>
                </c:pt>
                <c:pt idx="12">
                  <c:v>2.6649553773031989</c:v>
                </c:pt>
                <c:pt idx="13">
                  <c:v>0.28292489298238305</c:v>
                </c:pt>
                <c:pt idx="14">
                  <c:v>-0.78496874111918813</c:v>
                </c:pt>
                <c:pt idx="15">
                  <c:v>-1.2013680700294087</c:v>
                </c:pt>
                <c:pt idx="16">
                  <c:v>-1.2999167207102482</c:v>
                </c:pt>
                <c:pt idx="17">
                  <c:v>-1.2499304826737982</c:v>
                </c:pt>
                <c:pt idx="18">
                  <c:v>-1.137255598976133</c:v>
                </c:pt>
                <c:pt idx="19">
                  <c:v>-1.0048284737663593</c:v>
                </c:pt>
                <c:pt idx="20">
                  <c:v>-0.87338742436045336</c:v>
                </c:pt>
                <c:pt idx="21">
                  <c:v>-0.75220003857656415</c:v>
                </c:pt>
                <c:pt idx="22">
                  <c:v>-0.64467541649365157</c:v>
                </c:pt>
                <c:pt idx="23">
                  <c:v>-0.55131548231237859</c:v>
                </c:pt>
                <c:pt idx="24">
                  <c:v>-0.47126515497770805</c:v>
                </c:pt>
                <c:pt idx="25">
                  <c:v>-0.40311838207389833</c:v>
                </c:pt>
                <c:pt idx="26">
                  <c:v>-0.34532726288463483</c:v>
                </c:pt>
                <c:pt idx="27">
                  <c:v>-0.29639971295651363</c:v>
                </c:pt>
                <c:pt idx="28">
                  <c:v>-0.25498545683001372</c:v>
                </c:pt>
                <c:pt idx="29">
                  <c:v>-0.21990423886952101</c:v>
                </c:pt>
                <c:pt idx="30">
                  <c:v>-0.19014532343955021</c:v>
                </c:pt>
                <c:pt idx="31">
                  <c:v>-0.16485384744184789</c:v>
                </c:pt>
                <c:pt idx="32">
                  <c:v>-0.1433122125050536</c:v>
                </c:pt>
                <c:pt idx="33">
                  <c:v>-0.1249206808990517</c:v>
                </c:pt>
                <c:pt idx="34">
                  <c:v>-0.10917915936339684</c:v>
                </c:pt>
                <c:pt idx="35">
                  <c:v>-9.5670991559634752E-2</c:v>
                </c:pt>
                <c:pt idx="36">
                  <c:v>-8.404897631557641E-2</c:v>
                </c:pt>
                <c:pt idx="37">
                  <c:v>-7.4023531951198429E-2</c:v>
                </c:pt>
                <c:pt idx="38">
                  <c:v>-6.5352795872153688E-2</c:v>
                </c:pt>
                <c:pt idx="39">
                  <c:v>-5.7834404976275205E-2</c:v>
                </c:pt>
                <c:pt idx="40">
                  <c:v>-5.1298702936318372E-2</c:v>
                </c:pt>
                <c:pt idx="41">
                  <c:v>-4.5603141422783294E-2</c:v>
                </c:pt>
                <c:pt idx="42">
                  <c:v>-4.0627671137405279E-2</c:v>
                </c:pt>
                <c:pt idx="43">
                  <c:v>-3.6270948599652339E-2</c:v>
                </c:pt>
                <c:pt idx="44">
                  <c:v>-3.2447212812754589E-2</c:v>
                </c:pt>
                <c:pt idx="45">
                  <c:v>-2.9083710917681645E-2</c:v>
                </c:pt>
                <c:pt idx="46">
                  <c:v>-2.6118573374465433E-2</c:v>
                </c:pt>
                <c:pt idx="47">
                  <c:v>-2.3499057221864478E-2</c:v>
                </c:pt>
                <c:pt idx="48">
                  <c:v>-2.1180090903685275E-2</c:v>
                </c:pt>
                <c:pt idx="49">
                  <c:v>-1.9123066429436036E-2</c:v>
                </c:pt>
                <c:pt idx="50">
                  <c:v>-1.7294834673328829E-2</c:v>
                </c:pt>
                <c:pt idx="51">
                  <c:v>-1.5666867788648644E-2</c:v>
                </c:pt>
                <c:pt idx="52">
                  <c:v>-1.4214559355654516E-2</c:v>
                </c:pt>
                <c:pt idx="53">
                  <c:v>-1.2916638271715696E-2</c:v>
                </c:pt>
                <c:pt idx="54">
                  <c:v>-1.1754676766586314E-2</c:v>
                </c:pt>
                <c:pt idx="55">
                  <c:v>-1.0712676476354982E-2</c:v>
                </c:pt>
                <c:pt idx="56">
                  <c:v>-9.7767193939792135E-3</c:v>
                </c:pt>
                <c:pt idx="57">
                  <c:v>-8.93467286009734E-3</c:v>
                </c:pt>
                <c:pt idx="58">
                  <c:v>-8.1759396682319491E-3</c:v>
                </c:pt>
                <c:pt idx="59">
                  <c:v>-7.4912459168453814E-3</c:v>
                </c:pt>
                <c:pt idx="60">
                  <c:v>-6.8724605140899021E-3</c:v>
                </c:pt>
                <c:pt idx="61">
                  <c:v>-6.3124412835631151E-3</c:v>
                </c:pt>
                <c:pt idx="62">
                  <c:v>-5.8049034744731484E-3</c:v>
                </c:pt>
                <c:pt idx="63">
                  <c:v>-5.3443071824266688E-3</c:v>
                </c:pt>
                <c:pt idx="64">
                  <c:v>-4.9257607658841542E-3</c:v>
                </c:pt>
                <c:pt idx="65">
                  <c:v>-4.5449378210420882E-3</c:v>
                </c:pt>
                <c:pt idx="66">
                  <c:v>-4.1980056729908509E-3</c:v>
                </c:pt>
                <c:pt idx="67">
                  <c:v>-3.8815636684373378E-3</c:v>
                </c:pt>
                <c:pt idx="68">
                  <c:v>-3.5925898272242593E-3</c:v>
                </c:pt>
                <c:pt idx="69">
                  <c:v>-3.3283946362013036E-3</c:v>
                </c:pt>
                <c:pt idx="70">
                  <c:v>-3.0865809577497695E-3</c:v>
                </c:pt>
                <c:pt idx="71">
                  <c:v>-2.8650091829937525E-3</c:v>
                </c:pt>
                <c:pt idx="72">
                  <c:v>-2.6617668918118573E-3</c:v>
                </c:pt>
                <c:pt idx="73">
                  <c:v>-2.475142392586348E-3</c:v>
                </c:pt>
                <c:pt idx="74">
                  <c:v>-2.3036016077974887E-3</c:v>
                </c:pt>
                <c:pt idx="75">
                  <c:v>-2.1457678500535629E-3</c:v>
                </c:pt>
                <c:pt idx="76">
                  <c:v>-2.0004040993846662E-3</c:v>
                </c:pt>
                <c:pt idx="77">
                  <c:v>-1.8663974486365421E-3</c:v>
                </c:pt>
                <c:pt idx="78">
                  <c:v>-1.742745431247851E-3</c:v>
                </c:pt>
                <c:pt idx="79">
                  <c:v>-1.6285439859620543E-3</c:v>
                </c:pt>
                <c:pt idx="80">
                  <c:v>-1.5229768472614115E-3</c:v>
                </c:pt>
                <c:pt idx="81">
                  <c:v>-1.4253061794704176E-3</c:v>
                </c:pt>
                <c:pt idx="82">
                  <c:v>-1.3348642973548225E-3</c:v>
                </c:pt>
                <c:pt idx="83">
                  <c:v>-1.2510463373052096E-3</c:v>
                </c:pt>
                <c:pt idx="84">
                  <c:v>-1.1733037613966631E-3</c:v>
                </c:pt>
                <c:pt idx="85">
                  <c:v>-1.101138592224517E-3</c:v>
                </c:pt>
                <c:pt idx="86">
                  <c:v>-1.0340982898217844E-3</c:v>
                </c:pt>
                <c:pt idx="87">
                  <c:v>-9.7177119349571735E-4</c:v>
                </c:pt>
                <c:pt idx="88">
                  <c:v>-9.1378246135639734E-4</c:v>
                </c:pt>
                <c:pt idx="89">
                  <c:v>-8.5979044888335305E-4</c:v>
                </c:pt>
                <c:pt idx="90">
                  <c:v>-8.094834752847863E-4</c:v>
                </c:pt>
                <c:pt idx="91">
                  <c:v>-7.6257693281575395E-4</c:v>
                </c:pt>
                <c:pt idx="92">
                  <c:v>-7.1881069977857608E-4</c:v>
                </c:pt>
                <c:pt idx="93">
                  <c:v>-6.7794682275178686E-4</c:v>
                </c:pt>
                <c:pt idx="94">
                  <c:v>-6.3976743778570457E-4</c:v>
                </c:pt>
                <c:pt idx="95">
                  <c:v>-6.0407290395088332E-4</c:v>
                </c:pt>
                <c:pt idx="96">
                  <c:v>-5.7068012580501306E-4</c:v>
                </c:pt>
                <c:pt idx="97">
                  <c:v>-5.3942104411817038E-4</c:v>
                </c:pt>
                <c:pt idx="98">
                  <c:v>-5.1014127662042728E-4</c:v>
                </c:pt>
                <c:pt idx="99">
                  <c:v>-4.8269889265659365E-4</c:v>
                </c:pt>
                <c:pt idx="100">
                  <c:v>-4.5696330749054161E-4</c:v>
                </c:pt>
                <c:pt idx="101">
                  <c:v>-4.3281428363084261E-4</c:v>
                </c:pt>
                <c:pt idx="102">
                  <c:v>-4.1014102798004177E-4</c:v>
                </c:pt>
                <c:pt idx="103">
                  <c:v>-3.8884137486761206E-4</c:v>
                </c:pt>
                <c:pt idx="104">
                  <c:v>-3.6882104613358005E-4</c:v>
                </c:pt>
                <c:pt idx="105">
                  <c:v>-3.499929804052079E-4</c:v>
                </c:pt>
                <c:pt idx="106">
                  <c:v>-3.3227672456956629E-4</c:v>
                </c:pt>
                <c:pt idx="107">
                  <c:v>-3.1559788120468564E-4</c:v>
                </c:pt>
                <c:pt idx="108">
                  <c:v>-2.9988760640375797E-4</c:v>
                </c:pt>
                <c:pt idx="109">
                  <c:v>-2.8508215302139165E-4</c:v>
                </c:pt>
                <c:pt idx="110">
                  <c:v>-2.7112245489764207E-4</c:v>
                </c:pt>
                <c:pt idx="111">
                  <c:v>-2.5795374808267252E-4</c:v>
                </c:pt>
                <c:pt idx="112">
                  <c:v>-2.4552522549959476E-4</c:v>
                </c:pt>
                <c:pt idx="113">
                  <c:v>-2.3378972185155412E-4</c:v>
                </c:pt>
                <c:pt idx="114">
                  <c:v>-2.2270342590692988E-4</c:v>
                </c:pt>
                <c:pt idx="115">
                  <c:v>-2.1222561758838147E-4</c:v>
                </c:pt>
                <c:pt idx="116">
                  <c:v>-2.0231842755159504E-4</c:v>
                </c:pt>
                <c:pt idx="117">
                  <c:v>-1.9294661717162014E-4</c:v>
                </c:pt>
                <c:pt idx="118">
                  <c:v>-1.8407737706186453E-4</c:v>
                </c:pt>
                <c:pt idx="119">
                  <c:v>-1.7568014243597805E-4</c:v>
                </c:pt>
                <c:pt idx="120">
                  <c:v>-1.6772642378846194E-4</c:v>
                </c:pt>
                <c:pt idx="121">
                  <c:v>-1.6018965151812445E-4</c:v>
                </c:pt>
                <c:pt idx="122">
                  <c:v>-1.5304503325134716E-4</c:v>
                </c:pt>
                <c:pt idx="123">
                  <c:v>-1.4626942274128301E-4</c:v>
                </c:pt>
                <c:pt idx="124">
                  <c:v>-1.3984119932604247E-4</c:v>
                </c:pt>
                <c:pt idx="125">
                  <c:v>-1.337401570249859E-4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Ile!$O$6</c:f>
              <c:strCache>
                <c:ptCount val="1"/>
                <c:pt idx="0">
                  <c:v>Asn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Ile!$O$7:$O$132</c:f>
              <c:numCache>
                <c:formatCode>0.00</c:formatCode>
                <c:ptCount val="126"/>
                <c:pt idx="0">
                  <c:v>99331.790759711381</c:v>
                </c:pt>
                <c:pt idx="1">
                  <c:v>31472.842670075428</c:v>
                </c:pt>
                <c:pt idx="2">
                  <c:v>10980.05768078152</c:v>
                </c:pt>
                <c:pt idx="3">
                  <c:v>4145.040529246573</c:v>
                </c:pt>
                <c:pt idx="4">
                  <c:v>1668.9979868791331</c:v>
                </c:pt>
                <c:pt idx="5">
                  <c:v>707.81971361759429</c:v>
                </c:pt>
                <c:pt idx="6">
                  <c:v>312.46706098689378</c:v>
                </c:pt>
                <c:pt idx="7">
                  <c:v>141.84598289824055</c:v>
                </c:pt>
                <c:pt idx="8">
                  <c:v>65.281786175364473</c:v>
                </c:pt>
                <c:pt idx="9">
                  <c:v>29.873209601210689</c:v>
                </c:pt>
                <c:pt idx="10">
                  <c:v>13.156686123290896</c:v>
                </c:pt>
                <c:pt idx="11">
                  <c:v>5.1917812313374112</c:v>
                </c:pt>
                <c:pt idx="12">
                  <c:v>1.4213905902376731</c:v>
                </c:pt>
                <c:pt idx="13">
                  <c:v>-0.30689276256218284</c:v>
                </c:pt>
                <c:pt idx="14">
                  <c:v>-1.0347601681270031</c:v>
                </c:pt>
                <c:pt idx="15">
                  <c:v>-1.2758392446282119</c:v>
                </c:pt>
                <c:pt idx="16">
                  <c:v>-1.2864896884335015</c:v>
                </c:pt>
                <c:pt idx="17">
                  <c:v>-1.1952055977688065</c:v>
                </c:pt>
                <c:pt idx="18">
                  <c:v>-1.0659591411316922</c:v>
                </c:pt>
                <c:pt idx="19">
                  <c:v>-0.92984796094420641</c:v>
                </c:pt>
                <c:pt idx="20">
                  <c:v>-0.80117231381358156</c:v>
                </c:pt>
                <c:pt idx="21">
                  <c:v>-0.68570560207615183</c:v>
                </c:pt>
                <c:pt idx="22">
                  <c:v>-0.58498229225587506</c:v>
                </c:pt>
                <c:pt idx="23">
                  <c:v>-0.49852516386064027</c:v>
                </c:pt>
                <c:pt idx="24">
                  <c:v>-0.42499501437627291</c:v>
                </c:pt>
                <c:pt idx="25">
                  <c:v>-0.36277329230338656</c:v>
                </c:pt>
                <c:pt idx="26">
                  <c:v>-0.31024594872633654</c:v>
                </c:pt>
                <c:pt idx="27">
                  <c:v>-0.26593078858307839</c:v>
                </c:pt>
                <c:pt idx="28">
                  <c:v>-0.22852417881077436</c:v>
                </c:pt>
                <c:pt idx="29">
                  <c:v>-0.19690758474831738</c:v>
                </c:pt>
                <c:pt idx="30">
                  <c:v>-0.17013540835121499</c:v>
                </c:pt>
                <c:pt idx="31">
                  <c:v>-0.1474153565712594</c:v>
                </c:pt>
                <c:pt idx="32">
                  <c:v>-0.12808704123513165</c:v>
                </c:pt>
                <c:pt idx="33">
                  <c:v>-0.11160154538776945</c:v>
                </c:pt>
                <c:pt idx="34">
                  <c:v>-9.7503119715448588E-2</c:v>
                </c:pt>
                <c:pt idx="35">
                  <c:v>-8.5413361391477399E-2</c:v>
                </c:pt>
                <c:pt idx="36">
                  <c:v>-7.5017828567128464E-2</c:v>
                </c:pt>
                <c:pt idx="37">
                  <c:v>-6.6054865481607897E-2</c:v>
                </c:pt>
                <c:pt idx="38">
                  <c:v>-5.830635063243772E-2</c:v>
                </c:pt>
                <c:pt idx="39">
                  <c:v>-5.1590076079729187E-2</c:v>
                </c:pt>
                <c:pt idx="40">
                  <c:v>-4.5753488589294934E-2</c:v>
                </c:pt>
                <c:pt idx="41">
                  <c:v>-4.066855640908295E-2</c:v>
                </c:pt>
                <c:pt idx="42">
                  <c:v>-3.6227560551185374E-2</c:v>
                </c:pt>
                <c:pt idx="43">
                  <c:v>-3.2339642460074328E-2</c:v>
                </c:pt>
                <c:pt idx="44">
                  <c:v>-2.8927969198399434E-2</c:v>
                </c:pt>
                <c:pt idx="45">
                  <c:v>-2.5927402319136702E-2</c:v>
                </c:pt>
                <c:pt idx="46">
                  <c:v>-2.3282577568004507E-2</c:v>
                </c:pt>
                <c:pt idx="47">
                  <c:v>-2.0946319890144366E-2</c:v>
                </c:pt>
                <c:pt idx="48">
                  <c:v>-1.8878332404353819E-2</c:v>
                </c:pt>
                <c:pt idx="49">
                  <c:v>-1.7044109557639561E-2</c:v>
                </c:pt>
                <c:pt idx="50">
                  <c:v>-1.5414034038856862E-2</c:v>
                </c:pt>
                <c:pt idx="51">
                  <c:v>-1.3962624609127363E-2</c:v>
                </c:pt>
                <c:pt idx="52">
                  <c:v>-1.2667908133203867E-2</c:v>
                </c:pt>
                <c:pt idx="53">
                  <c:v>-1.1510894047292329E-2</c:v>
                </c:pt>
                <c:pt idx="54">
                  <c:v>-1.0475133502087912E-2</c:v>
                </c:pt>
                <c:pt idx="55">
                  <c:v>-9.5463486593112597E-3</c:v>
                </c:pt>
                <c:pt idx="56">
                  <c:v>-8.7121202447556154E-3</c:v>
                </c:pt>
                <c:pt idx="57">
                  <c:v>-7.9616235906393076E-3</c:v>
                </c:pt>
                <c:pt idx="58">
                  <c:v>-7.2854051311627794E-3</c:v>
                </c:pt>
                <c:pt idx="59">
                  <c:v>-6.6751927248318845E-3</c:v>
                </c:pt>
                <c:pt idx="60">
                  <c:v>-6.1237343272707986E-3</c:v>
                </c:pt>
                <c:pt idx="61">
                  <c:v>-5.6246604786002984E-3</c:v>
                </c:pt>
                <c:pt idx="62">
                  <c:v>-5.1723668398930521E-3</c:v>
                </c:pt>
                <c:pt idx="63">
                  <c:v>-4.7619136457924711E-3</c:v>
                </c:pt>
                <c:pt idx="64">
                  <c:v>-4.3889394608912701E-3</c:v>
                </c:pt>
                <c:pt idx="65">
                  <c:v>-4.0495870566969044E-3</c:v>
                </c:pt>
                <c:pt idx="66">
                  <c:v>-3.7404395807420043E-3</c:v>
                </c:pt>
                <c:pt idx="67">
                  <c:v>-3.4584654831979018E-3</c:v>
                </c:pt>
                <c:pt idx="68">
                  <c:v>-3.2009709102097409E-3</c:v>
                </c:pt>
                <c:pt idx="69">
                  <c:v>-2.965558476015602E-3</c:v>
                </c:pt>
                <c:pt idx="70">
                  <c:v>-2.7500914949964558E-3</c:v>
                </c:pt>
                <c:pt idx="71">
                  <c:v>-2.552662896042804E-3</c:v>
                </c:pt>
                <c:pt idx="72">
                  <c:v>-2.3715681598477719E-3</c:v>
                </c:pt>
                <c:pt idx="73">
                  <c:v>-2.2052817188973196E-3</c:v>
                </c:pt>
                <c:pt idx="74">
                  <c:v>-2.0524363432673962E-3</c:v>
                </c:pt>
                <c:pt idx="75">
                  <c:v>-1.9118051055181746E-3</c:v>
                </c:pt>
                <c:pt idx="76">
                  <c:v>-1.7822855771899859E-3</c:v>
                </c:pt>
                <c:pt idx="77">
                  <c:v>-1.6628859594629538E-3</c:v>
                </c:pt>
                <c:pt idx="78">
                  <c:v>-1.5527128929386375E-3</c:v>
                </c:pt>
                <c:pt idx="79">
                  <c:v>-1.450960727475772E-3</c:v>
                </c:pt>
                <c:pt idx="80">
                  <c:v>-1.3569020635919057E-3</c:v>
                </c:pt>
                <c:pt idx="81">
                  <c:v>-1.2698794029835584E-3</c:v>
                </c:pt>
                <c:pt idx="82">
                  <c:v>-1.1892977679317258E-3</c:v>
                </c:pt>
                <c:pt idx="83">
                  <c:v>-1.1146181683421913E-3</c:v>
                </c:pt>
                <c:pt idx="84">
                  <c:v>-1.0453518114185167E-3</c:v>
                </c:pt>
                <c:pt idx="85">
                  <c:v>-9.8105496289654383E-4</c:v>
                </c:pt>
                <c:pt idx="86">
                  <c:v>-9.2132438073278607E-4</c:v>
                </c:pt>
                <c:pt idx="87">
                  <c:v>-8.6579325242927595E-4</c:v>
                </c:pt>
                <c:pt idx="88">
                  <c:v>-8.1412757604227431E-4</c:v>
                </c:pt>
                <c:pt idx="89">
                  <c:v>-7.6602293257079716E-4</c:v>
                </c:pt>
                <c:pt idx="90">
                  <c:v>-7.2120160402999376E-4</c:v>
                </c:pt>
                <c:pt idx="91">
                  <c:v>-6.794099972337801E-4</c:v>
                </c:pt>
                <c:pt idx="92">
                  <c:v>-6.4041633826761139E-4</c:v>
                </c:pt>
                <c:pt idx="93">
                  <c:v>-6.0400860693387778E-4</c:v>
                </c:pt>
                <c:pt idx="94">
                  <c:v>-5.6999268419074124E-4</c:v>
                </c:pt>
                <c:pt idx="95">
                  <c:v>-5.3819068885859454E-4</c:v>
                </c:pt>
                <c:pt idx="96">
                  <c:v>-5.0843948270338666E-4</c:v>
                </c:pt>
                <c:pt idx="97">
                  <c:v>-4.8058932547989099E-4</c:v>
                </c:pt>
                <c:pt idx="98">
                  <c:v>-4.5450266367940074E-4</c:v>
                </c:pt>
                <c:pt idx="99">
                  <c:v>-4.3005303861722043E-4</c:v>
                </c:pt>
                <c:pt idx="100">
                  <c:v>-4.0712410115153813E-4</c:v>
                </c:pt>
                <c:pt idx="101">
                  <c:v>-3.8560872177781521E-4</c:v>
                </c:pt>
                <c:pt idx="102">
                  <c:v>-3.6540818611819091E-4</c:v>
                </c:pt>
                <c:pt idx="103">
                  <c:v>-3.4643146694660716E-4</c:v>
                </c:pt>
                <c:pt idx="104">
                  <c:v>-3.2859456487712514E-4</c:v>
                </c:pt>
                <c:pt idx="105">
                  <c:v>-3.1181991071238253E-4</c:v>
                </c:pt>
                <c:pt idx="106">
                  <c:v>-2.9603582321612428E-4</c:v>
                </c:pt>
                <c:pt idx="107">
                  <c:v>-2.8117601675103817E-4</c:v>
                </c:pt>
                <c:pt idx="108">
                  <c:v>-2.6717915382191434E-4</c:v>
                </c:pt>
                <c:pt idx="109">
                  <c:v>-2.5398843809405959E-4</c:v>
                </c:pt>
                <c:pt idx="110">
                  <c:v>-2.4155124392635715E-4</c:v>
                </c:pt>
                <c:pt idx="111">
                  <c:v>-2.2981877887471035E-4</c:v>
                </c:pt>
                <c:pt idx="112">
                  <c:v>-2.1874577599120183E-4</c:v>
                </c:pt>
                <c:pt idx="113">
                  <c:v>-2.0829021307274264E-4</c:v>
                </c:pt>
                <c:pt idx="114">
                  <c:v>-1.9841305630512979E-4</c:v>
                </c:pt>
                <c:pt idx="115">
                  <c:v>-1.8907802600854056E-4</c:v>
                </c:pt>
                <c:pt idx="116">
                  <c:v>-1.8025138242231583E-4</c:v>
                </c:pt>
                <c:pt idx="117">
                  <c:v>-1.7190172967366659E-4</c:v>
                </c:pt>
                <c:pt idx="118">
                  <c:v>-1.6399983625957427E-4</c:v>
                </c:pt>
                <c:pt idx="119">
                  <c:v>-1.5651847053615872E-4</c:v>
                </c:pt>
                <c:pt idx="120">
                  <c:v>-1.4943224985737404E-4</c:v>
                </c:pt>
                <c:pt idx="121">
                  <c:v>-1.4271750213702892E-4</c:v>
                </c:pt>
                <c:pt idx="122">
                  <c:v>-1.3635213872651184E-4</c:v>
                </c:pt>
                <c:pt idx="123">
                  <c:v>-1.3031553760678267E-4</c:v>
                </c:pt>
                <c:pt idx="124">
                  <c:v>-1.2458843598848411E-4</c:v>
                </c:pt>
                <c:pt idx="125">
                  <c:v>-1.1915283149962791E-4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Ile!$P$6</c:f>
              <c:strCache>
                <c:ptCount val="1"/>
                <c:pt idx="0">
                  <c:v>Glu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Ile!$P$7:$P$132</c:f>
              <c:numCache>
                <c:formatCode>0.00</c:formatCode>
                <c:ptCount val="126"/>
                <c:pt idx="0">
                  <c:v>134177.38830550999</c:v>
                </c:pt>
                <c:pt idx="1">
                  <c:v>42547.058555592026</c:v>
                </c:pt>
                <c:pt idx="2">
                  <c:v>14862.251654584383</c:v>
                </c:pt>
                <c:pt idx="3">
                  <c:v>5621.5305798543659</c:v>
                </c:pt>
                <c:pt idx="4">
                  <c:v>2270.1957339800742</c:v>
                </c:pt>
                <c:pt idx="5">
                  <c:v>967.04898530536002</c:v>
                </c:pt>
                <c:pt idx="6">
                  <c:v>429.72782610460928</c:v>
                </c:pt>
                <c:pt idx="7">
                  <c:v>197.02367867289598</c:v>
                </c:pt>
                <c:pt idx="8">
                  <c:v>92.075981410647174</c:v>
                </c:pt>
                <c:pt idx="9">
                  <c:v>43.191078976837979</c:v>
                </c:pt>
                <c:pt idx="10">
                  <c:v>19.870500929990087</c:v>
                </c:pt>
                <c:pt idx="11">
                  <c:v>8.5852609617098068</c:v>
                </c:pt>
                <c:pt idx="12">
                  <c:v>3.1127227341270887</c:v>
                </c:pt>
                <c:pt idx="13">
                  <c:v>0.50084111892775829</c:v>
                </c:pt>
                <c:pt idx="14">
                  <c:v>-0.68756867270313438</c:v>
                </c:pt>
                <c:pt idx="15">
                  <c:v>-1.1668652878793797</c:v>
                </c:pt>
                <c:pt idx="16">
                  <c:v>-1.2975706129268667</c:v>
                </c:pt>
                <c:pt idx="17">
                  <c:v>-1.2632367146284516</c:v>
                </c:pt>
                <c:pt idx="18">
                  <c:v>-1.1573658366182988</c:v>
                </c:pt>
                <c:pt idx="19">
                  <c:v>-1.0270579062154799</c:v>
                </c:pt>
                <c:pt idx="20">
                  <c:v>-0.89533016435242441</c:v>
                </c:pt>
                <c:pt idx="21">
                  <c:v>-0.77269828892097847</c:v>
                </c:pt>
                <c:pt idx="22">
                  <c:v>-0.66324981069924371</c:v>
                </c:pt>
                <c:pt idx="23">
                  <c:v>-0.56784823016976493</c:v>
                </c:pt>
                <c:pt idx="24">
                  <c:v>-0.4858234738345607</c:v>
                </c:pt>
                <c:pt idx="25">
                  <c:v>-0.4158565186575075</c:v>
                </c:pt>
                <c:pt idx="26">
                  <c:v>-0.3564328266936892</c:v>
                </c:pt>
                <c:pt idx="27">
                  <c:v>-0.30606506177846865</c:v>
                </c:pt>
                <c:pt idx="28">
                  <c:v>-0.2633932171617116</c:v>
                </c:pt>
                <c:pt idx="29">
                  <c:v>-0.2272207336203089</c:v>
                </c:pt>
                <c:pt idx="30">
                  <c:v>-0.19651834273052535</c:v>
                </c:pt>
                <c:pt idx="31">
                  <c:v>-0.17041272364491158</c:v>
                </c:pt>
                <c:pt idx="32">
                  <c:v>-0.14816903962248379</c:v>
                </c:pt>
                <c:pt idx="33">
                  <c:v>-0.12917202673670564</c:v>
                </c:pt>
                <c:pt idx="34">
                  <c:v>-0.11290791313790575</c:v>
                </c:pt>
                <c:pt idx="35">
                  <c:v>-9.8948159257463086E-2</c:v>
                </c:pt>
                <c:pt idx="36">
                  <c:v>-8.6935333128515382E-2</c:v>
                </c:pt>
                <c:pt idx="37">
                  <c:v>-7.6571095645860801E-2</c:v>
                </c:pt>
                <c:pt idx="38">
                  <c:v>-6.7606114704243894E-2</c:v>
                </c:pt>
                <c:pt idx="39">
                  <c:v>-5.9831669143884256E-2</c:v>
                </c:pt>
                <c:pt idx="40">
                  <c:v>-5.3072695716944271E-2</c:v>
                </c:pt>
                <c:pt idx="41">
                  <c:v>-4.7182048671414484E-2</c:v>
                </c:pt>
                <c:pt idx="42">
                  <c:v>-4.2035767859001656E-2</c:v>
                </c:pt>
                <c:pt idx="43">
                  <c:v>-3.7529180082535425E-2</c:v>
                </c:pt>
                <c:pt idx="44">
                  <c:v>-3.3573686026460964E-2</c:v>
                </c:pt>
                <c:pt idx="45">
                  <c:v>-3.0094109934072064E-2</c:v>
                </c:pt>
                <c:pt idx="46">
                  <c:v>-2.7026510674713889E-2</c:v>
                </c:pt>
                <c:pt idx="47">
                  <c:v>-2.4316371007676214E-2</c:v>
                </c:pt>
                <c:pt idx="48">
                  <c:v>-2.1917096980833745E-2</c:v>
                </c:pt>
                <c:pt idx="49">
                  <c:v>-1.9788771883724056E-2</c:v>
                </c:pt>
                <c:pt idx="50">
                  <c:v>-1.7897119403882774E-2</c:v>
                </c:pt>
                <c:pt idx="51">
                  <c:v>-1.6212638983187498E-2</c:v>
                </c:pt>
                <c:pt idx="52">
                  <c:v>-1.470988316613967E-2</c:v>
                </c:pt>
                <c:pt idx="53">
                  <c:v>-1.3366852255556536E-2</c:v>
                </c:pt>
                <c:pt idx="54">
                  <c:v>-1.2164486078695157E-2</c:v>
                </c:pt>
                <c:pt idx="55">
                  <c:v>-1.1086236313190573E-2</c:v>
                </c:pt>
                <c:pt idx="56">
                  <c:v>-1.0117705786903498E-2</c:v>
                </c:pt>
                <c:pt idx="57">
                  <c:v>-9.2463435786940256E-3</c:v>
                </c:pt>
                <c:pt idx="58">
                  <c:v>-8.4611867135035261E-3</c:v>
                </c:pt>
                <c:pt idx="59">
                  <c:v>-7.7526408500067315E-3</c:v>
                </c:pt>
                <c:pt idx="60">
                  <c:v>-7.1122936711439932E-3</c:v>
                </c:pt>
                <c:pt idx="61">
                  <c:v>-6.5327557624273863E-3</c:v>
                </c:pt>
                <c:pt idx="62">
                  <c:v>-6.0075246446853426E-3</c:v>
                </c:pt>
                <c:pt idx="63">
                  <c:v>-5.5308683528879398E-3</c:v>
                </c:pt>
                <c:pt idx="64">
                  <c:v>-5.0977255499621817E-3</c:v>
                </c:pt>
                <c:pt idx="65">
                  <c:v>-4.7036196575679767E-3</c:v>
                </c:pt>
                <c:pt idx="66">
                  <c:v>-4.3445848936827028E-3</c:v>
                </c:pt>
                <c:pt idx="67">
                  <c:v>-4.0171024449530759E-3</c:v>
                </c:pt>
                <c:pt idx="68">
                  <c:v>-3.7180452826311265E-3</c:v>
                </c:pt>
                <c:pt idx="69">
                  <c:v>-3.4446303646942038E-3</c:v>
                </c:pt>
                <c:pt idx="70">
                  <c:v>-3.1943771617469088E-3</c:v>
                </c:pt>
                <c:pt idx="71">
                  <c:v>-2.9650716072812202E-3</c:v>
                </c:pt>
                <c:pt idx="72">
                  <c:v>-2.7547347093630986E-3</c:v>
                </c:pt>
                <c:pt idx="73">
                  <c:v>-2.5615951753510495E-3</c:v>
                </c:pt>
                <c:pt idx="74">
                  <c:v>-2.3840654975557196E-3</c:v>
                </c:pt>
                <c:pt idx="75">
                  <c:v>-2.2207210288789198E-3</c:v>
                </c:pt>
                <c:pt idx="76">
                  <c:v>-2.0702816459477343E-3</c:v>
                </c:pt>
                <c:pt idx="77">
                  <c:v>-1.9315956551658638E-3</c:v>
                </c:pt>
                <c:pt idx="78">
                  <c:v>-1.8036256461632452E-3</c:v>
                </c:pt>
                <c:pt idx="79">
                  <c:v>-1.6854360387633879E-3</c:v>
                </c:pt>
                <c:pt idx="80">
                  <c:v>-1.5761821049917154E-3</c:v>
                </c:pt>
                <c:pt idx="81">
                  <c:v>-1.4751002778040651E-3</c:v>
                </c:pt>
                <c:pt idx="82">
                  <c:v>-1.3814995839445277E-3</c:v>
                </c:pt>
                <c:pt idx="83">
                  <c:v>-1.2947540603330998E-3</c:v>
                </c:pt>
                <c:pt idx="84">
                  <c:v>-1.2142960322106861E-3</c:v>
                </c:pt>
                <c:pt idx="85">
                  <c:v>-1.1396101474135359E-3</c:v>
                </c:pt>
                <c:pt idx="86">
                  <c:v>-1.0702280750158435E-3</c:v>
                </c:pt>
                <c:pt idx="87">
                  <c:v>-1.0057237885079974E-3</c:v>
                </c:pt>
                <c:pt idx="88">
                  <c:v>-9.457093639557865E-4</c:v>
                </c:pt>
                <c:pt idx="89">
                  <c:v>-8.8983123245460493E-4</c:v>
                </c:pt>
                <c:pt idx="90">
                  <c:v>-8.3776683385699754E-4</c:v>
                </c:pt>
                <c:pt idx="91">
                  <c:v>-7.8922162538511739E-4</c:v>
                </c:pt>
                <c:pt idx="92">
                  <c:v>-7.4392640448867715E-4</c:v>
                </c:pt>
                <c:pt idx="93">
                  <c:v>-7.0163491029882896E-4</c:v>
                </c:pt>
                <c:pt idx="94">
                  <c:v>-6.6212167236526513E-4</c:v>
                </c:pt>
                <c:pt idx="95">
                  <c:v>-6.2518007913832168E-4</c:v>
                </c:pt>
                <c:pt idx="96">
                  <c:v>-5.9062064194735945E-4</c:v>
                </c:pt>
                <c:pt idx="97">
                  <c:v>-5.5826943309717273E-4</c:v>
                </c:pt>
                <c:pt idx="98">
                  <c:v>-5.2796667921237628E-4</c:v>
                </c:pt>
                <c:pt idx="99">
                  <c:v>-4.9956549315405448E-4</c:v>
                </c:pt>
                <c:pt idx="100">
                  <c:v>-4.7293072975511494E-4</c:v>
                </c:pt>
                <c:pt idx="101">
                  <c:v>-4.4793795230663994E-4</c:v>
                </c:pt>
                <c:pt idx="102">
                  <c:v>-4.2447249820782272E-4</c:v>
                </c:pt>
                <c:pt idx="103">
                  <c:v>-4.0242863349348394E-4</c:v>
                </c:pt>
                <c:pt idx="104">
                  <c:v>-3.8170878709859265E-4</c:v>
                </c:pt>
                <c:pt idx="105">
                  <c:v>-3.622228567285215E-4</c:v>
                </c:pt>
                <c:pt idx="106">
                  <c:v>-3.4388757909413497E-4</c:v>
                </c:pt>
                <c:pt idx="107">
                  <c:v>-3.2662595805709978E-4</c:v>
                </c:pt>
                <c:pt idx="108">
                  <c:v>-3.1036674492595693E-4</c:v>
                </c:pt>
                <c:pt idx="109">
                  <c:v>-2.950439657587239E-4</c:v>
                </c:pt>
                <c:pt idx="110">
                  <c:v>-2.8059649107284513E-4</c:v>
                </c:pt>
                <c:pt idx="111">
                  <c:v>-2.6696764384670583E-4</c:v>
                </c:pt>
                <c:pt idx="112">
                  <c:v>-2.5410484212605948E-4</c:v>
                </c:pt>
                <c:pt idx="113">
                  <c:v>-2.4195927293006961E-4</c:v>
                </c:pt>
                <c:pt idx="114">
                  <c:v>-2.3048559449089071E-4</c:v>
                </c:pt>
                <c:pt idx="115">
                  <c:v>-2.1964166416274026E-4</c:v>
                </c:pt>
                <c:pt idx="116">
                  <c:v>-2.093882896056068E-4</c:v>
                </c:pt>
                <c:pt idx="117">
                  <c:v>-1.9968900108885098E-4</c:v>
                </c:pt>
                <c:pt idx="118">
                  <c:v>-1.9050984297436753E-4</c:v>
                </c:pt>
                <c:pt idx="119">
                  <c:v>-1.8181918263058213E-4</c:v>
                </c:pt>
                <c:pt idx="120">
                  <c:v>-1.7358753519994396E-4</c:v>
                </c:pt>
                <c:pt idx="121">
                  <c:v>-1.6578740279602763E-4</c:v>
                </c:pt>
                <c:pt idx="122">
                  <c:v>-1.583931268438293E-4</c:v>
                </c:pt>
                <c:pt idx="123">
                  <c:v>-1.5138075240016209E-4</c:v>
                </c:pt>
                <c:pt idx="124">
                  <c:v>-1.4472790340171188E-4</c:v>
                </c:pt>
                <c:pt idx="125">
                  <c:v>-1.3841366788773499E-4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Ile!$Q$6</c:f>
              <c:strCache>
                <c:ptCount val="1"/>
                <c:pt idx="0">
                  <c:v>Asp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Ile!$Q$7:$Q$132</c:f>
              <c:numCache>
                <c:formatCode>0.00</c:formatCode>
                <c:ptCount val="126"/>
                <c:pt idx="0">
                  <c:v>147049.48591982454</c:v>
                </c:pt>
                <c:pt idx="1">
                  <c:v>46638.881060308697</c:v>
                </c:pt>
                <c:pt idx="2">
                  <c:v>16297.222988628926</c:v>
                </c:pt>
                <c:pt idx="3">
                  <c:v>6167.5961574005923</c:v>
                </c:pt>
                <c:pt idx="4">
                  <c:v>2492.7323879260648</c:v>
                </c:pt>
                <c:pt idx="5">
                  <c:v>1063.1234983266345</c:v>
                </c:pt>
                <c:pt idx="6">
                  <c:v>473.26433275865236</c:v>
                </c:pt>
                <c:pt idx="7">
                  <c:v>217.56235161962539</c:v>
                </c:pt>
                <c:pt idx="8">
                  <c:v>102.08582902801605</c:v>
                </c:pt>
                <c:pt idx="9">
                  <c:v>48.192379338666065</c:v>
                </c:pt>
                <c:pt idx="10">
                  <c:v>22.410959388811779</c:v>
                </c:pt>
                <c:pt idx="11">
                  <c:v>9.8840405294036486</c:v>
                </c:pt>
                <c:pt idx="12">
                  <c:v>3.7718085311592744</c:v>
                </c:pt>
                <c:pt idx="13">
                  <c:v>0.82554695630552899</c:v>
                </c:pt>
                <c:pt idx="14">
                  <c:v>-0.53889051343624006</c:v>
                </c:pt>
                <c:pt idx="15">
                  <c:v>-1.1106043502668939</c:v>
                </c:pt>
                <c:pt idx="16">
                  <c:v>-1.2890036299057086</c:v>
                </c:pt>
                <c:pt idx="17">
                  <c:v>-1.2782661241753903</c:v>
                </c:pt>
                <c:pt idx="18">
                  <c:v>-1.183006462620571</c:v>
                </c:pt>
                <c:pt idx="19">
                  <c:v>-1.0563823547553719</c:v>
                </c:pt>
                <c:pt idx="20">
                  <c:v>-0.92473755069283037</c:v>
                </c:pt>
                <c:pt idx="21">
                  <c:v>-0.80041768059872664</c:v>
                </c:pt>
                <c:pt idx="22">
                  <c:v>-0.68851133004447462</c:v>
                </c:pt>
                <c:pt idx="23">
                  <c:v>-0.59042063943796752</c:v>
                </c:pt>
                <c:pt idx="24">
                  <c:v>-0.50575546845260133</c:v>
                </c:pt>
                <c:pt idx="25">
                  <c:v>-0.43333238424895543</c:v>
                </c:pt>
                <c:pt idx="26">
                  <c:v>-0.37169275410218444</c:v>
                </c:pt>
                <c:pt idx="27">
                  <c:v>-0.31936214825854264</c:v>
                </c:pt>
                <c:pt idx="28">
                  <c:v>-0.27497126600584049</c:v>
                </c:pt>
                <c:pt idx="29">
                  <c:v>-0.23730376618263721</c:v>
                </c:pt>
                <c:pt idx="30">
                  <c:v>-0.20530660576769683</c:v>
                </c:pt>
                <c:pt idx="31">
                  <c:v>-0.17808219484680049</c:v>
                </c:pt>
                <c:pt idx="32">
                  <c:v>-0.15487271647086409</c:v>
                </c:pt>
                <c:pt idx="33">
                  <c:v>-0.13504202766192108</c:v>
                </c:pt>
                <c:pt idx="34">
                  <c:v>-0.11805785206102723</c:v>
                </c:pt>
                <c:pt idx="35">
                  <c:v>-0.10347550509638702</c:v>
                </c:pt>
                <c:pt idx="36">
                  <c:v>-9.0923610036137067E-2</c:v>
                </c:pt>
                <c:pt idx="37">
                  <c:v>-8.009186159109008E-2</c:v>
                </c:pt>
                <c:pt idx="38">
                  <c:v>-7.0720701311201367E-2</c:v>
                </c:pt>
                <c:pt idx="39">
                  <c:v>-6.2592689694826953E-2</c:v>
                </c:pt>
                <c:pt idx="40">
                  <c:v>-5.5525339903453388E-2</c:v>
                </c:pt>
                <c:pt idx="41">
                  <c:v>-4.9365187371521187E-2</c:v>
                </c:pt>
                <c:pt idx="42">
                  <c:v>-4.3982892066224438E-2</c:v>
                </c:pt>
                <c:pt idx="43">
                  <c:v>-3.9269196956013899E-2</c:v>
                </c:pt>
                <c:pt idx="44">
                  <c:v>-3.5131592933411539E-2</c:v>
                </c:pt>
                <c:pt idx="45">
                  <c:v>-3.1491564918687383E-2</c:v>
                </c:pt>
                <c:pt idx="46">
                  <c:v>-2.8282315339766079E-2</c:v>
                </c:pt>
                <c:pt idx="47">
                  <c:v>-2.5446879504216979E-2</c:v>
                </c:pt>
                <c:pt idx="48">
                  <c:v>-2.2936562742453794E-2</c:v>
                </c:pt>
                <c:pt idx="49">
                  <c:v>-2.0709641937533711E-2</c:v>
                </c:pt>
                <c:pt idx="50">
                  <c:v>-1.8730284535250885E-2</c:v>
                </c:pt>
                <c:pt idx="51">
                  <c:v>-1.6967646705879403E-2</c:v>
                </c:pt>
                <c:pt idx="52">
                  <c:v>-1.5395119328542485E-2</c:v>
                </c:pt>
                <c:pt idx="53">
                  <c:v>-1.3989696170604148E-2</c:v>
                </c:pt>
                <c:pt idx="54">
                  <c:v>-1.2731443274473828E-2</c:v>
                </c:pt>
                <c:pt idx="55">
                  <c:v>-1.160305233987668E-2</c:v>
                </c:pt>
                <c:pt idx="56">
                  <c:v>-1.0589463963246492E-2</c:v>
                </c:pt>
                <c:pt idx="57">
                  <c:v>-9.6775491000673404E-3</c:v>
                </c:pt>
                <c:pt idx="58">
                  <c:v>-8.8558391585634114E-3</c:v>
                </c:pt>
                <c:pt idx="59">
                  <c:v>-8.1142968015228741E-3</c:v>
                </c:pt>
                <c:pt idx="60">
                  <c:v>-7.4441208979431983E-3</c:v>
                </c:pt>
                <c:pt idx="61">
                  <c:v>-6.8375801847280074E-3</c:v>
                </c:pt>
                <c:pt idx="62">
                  <c:v>-6.2878711169933451E-3</c:v>
                </c:pt>
                <c:pt idx="63">
                  <c:v>-5.7889961409281973E-3</c:v>
                </c:pt>
                <c:pt idx="64">
                  <c:v>-5.3356592457319794E-3</c:v>
                </c:pt>
                <c:pt idx="65">
                  <c:v>-4.9231761652976059E-3</c:v>
                </c:pt>
                <c:pt idx="66">
                  <c:v>-4.5473970257681367E-3</c:v>
                </c:pt>
                <c:pt idx="67">
                  <c:v>-4.2046395878844733E-3</c:v>
                </c:pt>
                <c:pt idx="68">
                  <c:v>-3.8916315261707793E-3</c:v>
                </c:pt>
                <c:pt idx="69">
                  <c:v>-3.6054604310597317E-3</c:v>
                </c:pt>
                <c:pt idx="70">
                  <c:v>-3.3435304236695759E-3</c:v>
                </c:pt>
                <c:pt idx="71">
                  <c:v>-3.1035244431543933E-3</c:v>
                </c:pt>
                <c:pt idx="72">
                  <c:v>-2.8833714091218055E-3</c:v>
                </c:pt>
                <c:pt idx="73">
                  <c:v>-2.6812175812715141E-3</c:v>
                </c:pt>
                <c:pt idx="74">
                  <c:v>-2.4954015390327542E-3</c:v>
                </c:pt>
                <c:pt idx="75">
                  <c:v>-2.3244322887595922E-3</c:v>
                </c:pt>
                <c:pt idx="76">
                  <c:v>-2.1669700776109223E-3</c:v>
                </c:pt>
                <c:pt idx="77">
                  <c:v>-2.0218095537687334E-3</c:v>
                </c:pt>
                <c:pt idx="78">
                  <c:v>-1.8878649639321732E-3</c:v>
                </c:pt>
                <c:pt idx="79">
                  <c:v>-1.7641571225558573E-3</c:v>
                </c:pt>
                <c:pt idx="80">
                  <c:v>-1.6498019243169862E-3</c:v>
                </c:pt>
                <c:pt idx="81">
                  <c:v>-1.5440002028274692E-3</c:v>
                </c:pt>
                <c:pt idx="82">
                  <c:v>-1.446028765512994E-3</c:v>
                </c:pt>
                <c:pt idx="83">
                  <c:v>-1.3552324575787479E-3</c:v>
                </c:pt>
                <c:pt idx="84">
                  <c:v>-1.2710171276713149E-3</c:v>
                </c:pt>
                <c:pt idx="85">
                  <c:v>-1.1928433847316947E-3</c:v>
                </c:pt>
                <c:pt idx="86">
                  <c:v>-1.1202210500380067E-3</c:v>
                </c:pt>
                <c:pt idx="87">
                  <c:v>-1.0527042209138946E-3</c:v>
                </c:pt>
                <c:pt idx="88">
                  <c:v>-9.8988687332953948E-4</c:v>
                </c:pt>
                <c:pt idx="89">
                  <c:v>-9.3139893989966976E-4</c:v>
                </c:pt>
                <c:pt idx="90">
                  <c:v>-8.7690280780067134E-4</c:v>
                </c:pt>
                <c:pt idx="91">
                  <c:v>-8.2609018806833079E-4</c:v>
                </c:pt>
                <c:pt idx="92">
                  <c:v>-7.7867931375229054E-4</c:v>
                </c:pt>
                <c:pt idx="93">
                  <c:v>-7.3441242962379188E-4</c:v>
                </c:pt>
                <c:pt idx="94">
                  <c:v>-6.9305354067073042E-4</c:v>
                </c:pt>
                <c:pt idx="95">
                  <c:v>-6.5438639056322224E-4</c:v>
                </c:pt>
                <c:pt idx="96">
                  <c:v>-6.1821264471467882E-4</c:v>
                </c:pt>
                <c:pt idx="97">
                  <c:v>-5.8435025556687569E-4</c:v>
                </c:pt>
                <c:pt idx="98">
                  <c:v>-5.5263199035193104E-4</c:v>
                </c:pt>
                <c:pt idx="99">
                  <c:v>-5.2290410388022553E-4</c:v>
                </c:pt>
                <c:pt idx="100">
                  <c:v>-4.9502514091460644E-4</c:v>
                </c:pt>
                <c:pt idx="101">
                  <c:v>-4.688648544553249E-4</c:v>
                </c:pt>
                <c:pt idx="102">
                  <c:v>-4.4430322780916721E-4</c:v>
                </c:pt>
                <c:pt idx="103">
                  <c:v>-4.2122958967809093E-4</c:v>
                </c:pt>
                <c:pt idx="104">
                  <c:v>-3.9954181270132811E-4</c:v>
                </c:pt>
                <c:pt idx="105">
                  <c:v>-3.7914558694111794E-4</c:v>
                </c:pt>
                <c:pt idx="106">
                  <c:v>-3.5995376073399515E-4</c:v>
                </c:pt>
                <c:pt idx="107">
                  <c:v>-3.4188574215241249E-4</c:v>
                </c:pt>
                <c:pt idx="108">
                  <c:v>-3.2486695504895473E-4</c:v>
                </c:pt>
                <c:pt idx="109">
                  <c:v>-3.0882834429925196E-4</c:v>
                </c:pt>
                <c:pt idx="110">
                  <c:v>-2.9370592543011043E-4</c:v>
                </c:pt>
                <c:pt idx="111">
                  <c:v>-2.794403743252778E-4</c:v>
                </c:pt>
                <c:pt idx="112">
                  <c:v>-2.6597665315036546E-4</c:v>
                </c:pt>
                <c:pt idx="113">
                  <c:v>-2.5326366903755712E-4</c:v>
                </c:pt>
                <c:pt idx="114">
                  <c:v>-2.4125396242575839E-4</c:v>
                </c:pt>
                <c:pt idx="115">
                  <c:v>-2.2990342226792955E-4</c:v>
                </c:pt>
                <c:pt idx="116">
                  <c:v>-2.1917102559907808E-4</c:v>
                </c:pt>
                <c:pt idx="117">
                  <c:v>-2.0901859920968824E-4</c:v>
                </c:pt>
                <c:pt idx="118">
                  <c:v>-1.9941060139376312E-4</c:v>
                </c:pt>
                <c:pt idx="119">
                  <c:v>-1.9031392194118928E-4</c:v>
                </c:pt>
                <c:pt idx="120">
                  <c:v>-1.816976987235149E-4</c:v>
                </c:pt>
                <c:pt idx="121">
                  <c:v>-1.7353314938282528E-4</c:v>
                </c:pt>
                <c:pt idx="122">
                  <c:v>-1.6579341677729582E-4</c:v>
                </c:pt>
                <c:pt idx="123">
                  <c:v>-1.5845342696605558E-4</c:v>
                </c:pt>
                <c:pt idx="124">
                  <c:v>-1.5148975863182285E-4</c:v>
                </c:pt>
                <c:pt idx="125">
                  <c:v>-1.4488052294382223E-4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Ile!$R$6</c:f>
              <c:strCache>
                <c:ptCount val="1"/>
                <c:pt idx="0">
                  <c:v>His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Ile!$R$7:$R$132</c:f>
              <c:numCache>
                <c:formatCode>0.00</c:formatCode>
                <c:ptCount val="126"/>
                <c:pt idx="0">
                  <c:v>1212606.9101289667</c:v>
                </c:pt>
                <c:pt idx="1">
                  <c:v>385755.95846653159</c:v>
                </c:pt>
                <c:pt idx="2">
                  <c:v>135442.03243195533</c:v>
                </c:pt>
                <c:pt idx="3">
                  <c:v>51634.608601283246</c:v>
                </c:pt>
                <c:pt idx="4">
                  <c:v>21099.155871413514</c:v>
                </c:pt>
                <c:pt idx="5">
                  <c:v>9144.6752221525021</c:v>
                </c:pt>
                <c:pt idx="6">
                  <c:v>4167.14809285106</c:v>
                </c:pt>
                <c:pt idx="7">
                  <c:v>1981.4662193986042</c:v>
                </c:pt>
                <c:pt idx="8">
                  <c:v>976.48153274040499</c:v>
                </c:pt>
                <c:pt idx="9">
                  <c:v>495.57427389257134</c:v>
                </c:pt>
                <c:pt idx="10">
                  <c:v>257.38392804651426</c:v>
                </c:pt>
                <c:pt idx="11">
                  <c:v>135.88292162305007</c:v>
                </c:pt>
                <c:pt idx="12">
                  <c:v>72.354625379434921</c:v>
                </c:pt>
                <c:pt idx="13">
                  <c:v>38.467671227773614</c:v>
                </c:pt>
                <c:pt idx="14">
                  <c:v>20.118848852239296</c:v>
                </c:pt>
                <c:pt idx="15">
                  <c:v>10.090274896791241</c:v>
                </c:pt>
                <c:pt idx="16">
                  <c:v>4.5961178841726547</c:v>
                </c:pt>
                <c:pt idx="17">
                  <c:v>1.6074284255158604</c:v>
                </c:pt>
                <c:pt idx="18">
                  <c:v>1.6358522390470753E-2</c:v>
                </c:pt>
                <c:pt idx="19">
                  <c:v>-0.79159953059184285</c:v>
                </c:pt>
                <c:pt idx="20">
                  <c:v>-1.1616678379653964</c:v>
                </c:pt>
                <c:pt idx="21">
                  <c:v>-1.2896213092001581</c:v>
                </c:pt>
                <c:pt idx="22">
                  <c:v>-1.2871052195651862</c:v>
                </c:pt>
                <c:pt idx="23">
                  <c:v>-1.2178425820211878</c:v>
                </c:pt>
                <c:pt idx="24">
                  <c:v>-1.1180072590592021</c:v>
                </c:pt>
                <c:pt idx="25">
                  <c:v>-1.0078376194379521</c:v>
                </c:pt>
                <c:pt idx="26">
                  <c:v>-0.89833017348919675</c:v>
                </c:pt>
                <c:pt idx="27">
                  <c:v>-0.79513187314681877</c:v>
                </c:pt>
                <c:pt idx="28">
                  <c:v>-0.70081817638542032</c:v>
                </c:pt>
                <c:pt idx="29">
                  <c:v>-0.6162312857036053</c:v>
                </c:pt>
                <c:pt idx="30">
                  <c:v>-0.54126651556192962</c:v>
                </c:pt>
                <c:pt idx="31">
                  <c:v>-0.47533245304809946</c:v>
                </c:pt>
                <c:pt idx="32">
                  <c:v>-0.41761745455224331</c:v>
                </c:pt>
                <c:pt idx="33">
                  <c:v>-0.36724096877334939</c:v>
                </c:pt>
                <c:pt idx="34">
                  <c:v>-0.32333647494538059</c:v>
                </c:pt>
                <c:pt idx="35">
                  <c:v>-0.28509406153214245</c:v>
                </c:pt>
                <c:pt idx="36">
                  <c:v>-0.25177947671593143</c:v>
                </c:pt>
                <c:pt idx="37">
                  <c:v>-0.22273976019991351</c:v>
                </c:pt>
                <c:pt idx="38">
                  <c:v>-0.19740150911956605</c:v>
                </c:pt>
                <c:pt idx="39">
                  <c:v>-0.17526537442992673</c:v>
                </c:pt>
                <c:pt idx="40">
                  <c:v>-0.15589889483071998</c:v>
                </c:pt>
                <c:pt idx="41">
                  <c:v>-0.13892887348547361</c:v>
                </c:pt>
                <c:pt idx="42">
                  <c:v>-0.12403395920991903</c:v>
                </c:pt>
                <c:pt idx="43">
                  <c:v>-0.11093776910558029</c:v>
                </c:pt>
                <c:pt idx="44">
                  <c:v>-9.9402698665611328E-2</c:v>
                </c:pt>
                <c:pt idx="45">
                  <c:v>-8.9224455961805976E-2</c:v>
                </c:pt>
                <c:pt idx="46">
                  <c:v>-8.0227296517445201E-2</c:v>
                </c:pt>
                <c:pt idx="47">
                  <c:v>-7.2259905106882585E-2</c:v>
                </c:pt>
                <c:pt idx="48">
                  <c:v>-6.5191857837214581E-2</c:v>
                </c:pt>
                <c:pt idx="49">
                  <c:v>-5.8910595005179367E-2</c:v>
                </c:pt>
                <c:pt idx="50">
                  <c:v>-5.3318837845186429E-2</c:v>
                </c:pt>
                <c:pt idx="51">
                  <c:v>-4.8332387660883387E-2</c:v>
                </c:pt>
                <c:pt idx="52">
                  <c:v>-4.3878252349402125E-2</c:v>
                </c:pt>
                <c:pt idx="53">
                  <c:v>-3.9893052059123475E-2</c:v>
                </c:pt>
                <c:pt idx="54">
                  <c:v>-3.6321662163704811E-2</c:v>
                </c:pt>
                <c:pt idx="55">
                  <c:v>-3.3116057636173056E-2</c:v>
                </c:pt>
                <c:pt idx="56">
                  <c:v>-3.0234328166078479E-2</c:v>
                </c:pt>
                <c:pt idx="57">
                  <c:v>-2.7639837965009136E-2</c:v>
                </c:pt>
                <c:pt idx="58">
                  <c:v>-2.530050818284944E-2</c:v>
                </c:pt>
                <c:pt idx="59">
                  <c:v>-2.3188203263704712E-2</c:v>
                </c:pt>
                <c:pt idx="60">
                  <c:v>-2.127820547001024E-2</c:v>
                </c:pt>
                <c:pt idx="61">
                  <c:v>-1.9548764260514523E-2</c:v>
                </c:pt>
                <c:pt idx="62">
                  <c:v>-1.7980709283658844E-2</c:v>
                </c:pt>
                <c:pt idx="63">
                  <c:v>-1.6557117497896966E-2</c:v>
                </c:pt>
                <c:pt idx="64">
                  <c:v>-1.5263026403913381E-2</c:v>
                </c:pt>
                <c:pt idx="65">
                  <c:v>-1.4085186613328372E-2</c:v>
                </c:pt>
                <c:pt idx="66">
                  <c:v>-1.3011848021148378E-2</c:v>
                </c:pt>
                <c:pt idx="67">
                  <c:v>-1.2032574726317538E-2</c:v>
                </c:pt>
                <c:pt idx="68">
                  <c:v>-1.1138084582834338E-2</c:v>
                </c:pt>
                <c:pt idx="69">
                  <c:v>-1.032010988542929E-2</c:v>
                </c:pt>
                <c:pt idx="70">
                  <c:v>-9.5712762175909315E-3</c:v>
                </c:pt>
                <c:pt idx="71">
                  <c:v>-8.8849969315702854E-3</c:v>
                </c:pt>
                <c:pt idx="72">
                  <c:v>-8.2553811031098583E-3</c:v>
                </c:pt>
                <c:pt idx="73">
                  <c:v>-7.6771531190896834E-3</c:v>
                </c:pt>
                <c:pt idx="74">
                  <c:v>-7.1455823233047217E-3</c:v>
                </c:pt>
                <c:pt idx="75">
                  <c:v>-6.6564213719116335E-3</c:v>
                </c:pt>
                <c:pt idx="76">
                  <c:v>-6.2058521421704911E-3</c:v>
                </c:pt>
                <c:pt idx="77">
                  <c:v>-5.7904382013602464E-3</c:v>
                </c:pt>
                <c:pt idx="78">
                  <c:v>-5.4070829816903138E-3</c:v>
                </c:pt>
                <c:pt idx="79">
                  <c:v>-5.0529929254509148E-3</c:v>
                </c:pt>
                <c:pt idx="80">
                  <c:v>-4.7256449657184021E-3</c:v>
                </c:pt>
                <c:pt idx="81">
                  <c:v>-4.4227577943238457E-3</c:v>
                </c:pt>
                <c:pt idx="82">
                  <c:v>-4.1422664427416059E-3</c:v>
                </c:pt>
                <c:pt idx="83">
                  <c:v>-3.8822997649438458E-3</c:v>
                </c:pt>
                <c:pt idx="84">
                  <c:v>-3.6411604656815815E-3</c:v>
                </c:pt>
                <c:pt idx="85">
                  <c:v>-3.4173073644305865E-3</c:v>
                </c:pt>
                <c:pt idx="86">
                  <c:v>-3.209339625509794E-3</c:v>
                </c:pt>
                <c:pt idx="87">
                  <c:v>-3.0159827195948971E-3</c:v>
                </c:pt>
                <c:pt idx="88">
                  <c:v>-2.8360759118183933E-3</c:v>
                </c:pt>
                <c:pt idx="89">
                  <c:v>-2.6685610975539995E-3</c:v>
                </c:pt>
                <c:pt idx="90">
                  <c:v>-2.5124728294089751E-3</c:v>
                </c:pt>
                <c:pt idx="91">
                  <c:v>-2.3669293983866906E-3</c:v>
                </c:pt>
                <c:pt idx="92">
                  <c:v>-2.2311248490534453E-3</c:v>
                </c:pt>
                <c:pt idx="93">
                  <c:v>-2.1043218232068149E-3</c:v>
                </c:pt>
                <c:pt idx="94">
                  <c:v>-1.9858451393029624E-3</c:v>
                </c:pt>
                <c:pt idx="95">
                  <c:v>-1.8750760260186163E-3</c:v>
                </c:pt>
                <c:pt idx="96">
                  <c:v>-1.7714469380233787E-3</c:v>
                </c:pt>
                <c:pt idx="97">
                  <c:v>-1.6744368905110053E-3</c:v>
                </c:pt>
                <c:pt idx="98">
                  <c:v>-1.5835672564485893E-3</c:v>
                </c:pt>
                <c:pt idx="99">
                  <c:v>-1.498397976991396E-3</c:v>
                </c:pt>
                <c:pt idx="100">
                  <c:v>-1.4185241411995223E-3</c:v>
                </c:pt>
                <c:pt idx="101">
                  <c:v>-1.3435728961855476E-3</c:v>
                </c:pt>
                <c:pt idx="102">
                  <c:v>-1.2732006532095435E-3</c:v>
                </c:pt>
                <c:pt idx="103">
                  <c:v>-1.2070905590974579E-3</c:v>
                </c:pt>
                <c:pt idx="104">
                  <c:v>-1.1449502057580246E-3</c:v>
                </c:pt>
                <c:pt idx="105">
                  <c:v>-1.0865095535702778E-3</c:v>
                </c:pt>
                <c:pt idx="106">
                  <c:v>-1.0315190470589479E-3</c:v>
                </c:pt>
                <c:pt idx="107">
                  <c:v>-9.7974790361222497E-4</c:v>
                </c:pt>
                <c:pt idx="108">
                  <c:v>-9.3098255806364468E-4</c:v>
                </c:pt>
                <c:pt idx="109">
                  <c:v>-8.8502524779028569E-4</c:v>
                </c:pt>
                <c:pt idx="110">
                  <c:v>-8.4169272460178429E-4</c:v>
                </c:pt>
                <c:pt idx="111">
                  <c:v>-8.0081508113406233E-4</c:v>
                </c:pt>
                <c:pt idx="112">
                  <c:v>-7.6223468073995299E-4</c:v>
                </c:pt>
                <c:pt idx="113">
                  <c:v>-7.2580518100526638E-4</c:v>
                </c:pt>
                <c:pt idx="114">
                  <c:v>-6.9139064203000138E-4</c:v>
                </c:pt>
                <c:pt idx="115">
                  <c:v>-6.5886471151497801E-4</c:v>
                </c:pt>
                <c:pt idx="116">
                  <c:v>-6.2810987949706064E-4</c:v>
                </c:pt>
                <c:pt idx="117">
                  <c:v>-5.9901679629252038E-4</c:v>
                </c:pt>
                <c:pt idx="118">
                  <c:v>-5.7148364784792647E-4</c:v>
                </c:pt>
                <c:pt idx="119">
                  <c:v>-5.4541558326990725E-4</c:v>
                </c:pt>
                <c:pt idx="120">
                  <c:v>-5.2072418981683258E-4</c:v>
                </c:pt>
                <c:pt idx="121">
                  <c:v>-4.9732701109371708E-4</c:v>
                </c:pt>
                <c:pt idx="122">
                  <c:v>-4.7514710460229979E-4</c:v>
                </c:pt>
                <c:pt idx="123">
                  <c:v>-4.5411263516664715E-4</c:v>
                </c:pt>
                <c:pt idx="124">
                  <c:v>-4.3415650108531348E-4</c:v>
                </c:pt>
                <c:pt idx="125">
                  <c:v>-4.1521599015821223E-4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Ile!$S$6</c:f>
              <c:strCache>
                <c:ptCount val="1"/>
                <c:pt idx="0">
                  <c:v>Arg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Ile!$S$7:$S$132</c:f>
              <c:numCache>
                <c:formatCode>0.00</c:formatCode>
                <c:ptCount val="126"/>
                <c:pt idx="0">
                  <c:v>207713.56119773505</c:v>
                </c:pt>
                <c:pt idx="1">
                  <c:v>65927.801133663204</c:v>
                </c:pt>
                <c:pt idx="2">
                  <c:v>23064.386910066973</c:v>
                </c:pt>
                <c:pt idx="3">
                  <c:v>8744.3434912439898</c:v>
                </c:pt>
                <c:pt idx="4">
                  <c:v>3543.7759488291745</c:v>
                </c:pt>
                <c:pt idx="5">
                  <c:v>1517.4817897737744</c:v>
                </c:pt>
                <c:pt idx="6">
                  <c:v>679.54703693256192</c:v>
                </c:pt>
                <c:pt idx="7">
                  <c:v>315.13872837155475</c:v>
                </c:pt>
                <c:pt idx="8">
                  <c:v>149.82179769122379</c:v>
                </c:pt>
                <c:pt idx="9">
                  <c:v>72.171817582923737</c:v>
                </c:pt>
                <c:pt idx="10">
                  <c:v>34.686202627138158</c:v>
                </c:pt>
                <c:pt idx="11">
                  <c:v>16.231599946667753</c:v>
                </c:pt>
                <c:pt idx="12">
                  <c:v>7.0498943516448191</c:v>
                </c:pt>
                <c:pt idx="13">
                  <c:v>2.4877813231363883</c:v>
                </c:pt>
                <c:pt idx="14">
                  <c:v>0.2641749027410093</c:v>
                </c:pt>
                <c:pt idx="15">
                  <c:v>-0.76523353325654608</c:v>
                </c:pt>
                <c:pt idx="16">
                  <c:v>-1.1851733341848034</c:v>
                </c:pt>
                <c:pt idx="17">
                  <c:v>-1.2984667112915123</c:v>
                </c:pt>
                <c:pt idx="18">
                  <c:v>-1.2631209300570703</c:v>
                </c:pt>
                <c:pt idx="19">
                  <c:v>-1.1615771935945729</c:v>
                </c:pt>
                <c:pt idx="20">
                  <c:v>-1.036389943958659</c:v>
                </c:pt>
                <c:pt idx="21">
                  <c:v>-0.90892071217395687</c:v>
                </c:pt>
                <c:pt idx="22">
                  <c:v>-0.78926630982022483</c:v>
                </c:pt>
                <c:pt idx="23">
                  <c:v>-0.68158478806928091</c:v>
                </c:pt>
                <c:pt idx="24">
                  <c:v>-0.58696945543801271</c:v>
                </c:pt>
                <c:pt idx="25">
                  <c:v>-0.50500091275526449</c:v>
                </c:pt>
                <c:pt idx="26">
                  <c:v>-0.434579959578901</c:v>
                </c:pt>
                <c:pt idx="27">
                  <c:v>-0.37436719971486909</c:v>
                </c:pt>
                <c:pt idx="28">
                  <c:v>-0.32300732519923397</c:v>
                </c:pt>
                <c:pt idx="29">
                  <c:v>-0.27923607894124952</c:v>
                </c:pt>
                <c:pt idx="30">
                  <c:v>-0.24192412669692906</c:v>
                </c:pt>
                <c:pt idx="31">
                  <c:v>-0.21008788585498123</c:v>
                </c:pt>
                <c:pt idx="32">
                  <c:v>-0.18288389939558386</c:v>
                </c:pt>
                <c:pt idx="33">
                  <c:v>-0.1595958178149017</c:v>
                </c:pt>
                <c:pt idx="34">
                  <c:v>-0.13961883785560811</c:v>
                </c:pt>
                <c:pt idx="35">
                  <c:v>-0.12244409359872284</c:v>
                </c:pt>
                <c:pt idx="36">
                  <c:v>-0.10764419221824641</c:v>
                </c:pt>
                <c:pt idx="37">
                  <c:v>-9.4860376960668666E-2</c:v>
                </c:pt>
                <c:pt idx="38">
                  <c:v>-8.3791424997956207E-2</c:v>
                </c:pt>
                <c:pt idx="39">
                  <c:v>-7.4184200515428747E-2</c:v>
                </c:pt>
                <c:pt idx="40">
                  <c:v>-6.582569983005733E-2</c:v>
                </c:pt>
                <c:pt idx="41">
                  <c:v>-5.8536397727144827E-2</c:v>
                </c:pt>
                <c:pt idx="42">
                  <c:v>-5.2164705510912984E-2</c:v>
                </c:pt>
                <c:pt idx="43">
                  <c:v>-4.6582366344297112E-2</c:v>
                </c:pt>
                <c:pt idx="44">
                  <c:v>-4.1680633991548921E-2</c:v>
                </c:pt>
                <c:pt idx="45">
                  <c:v>-3.7367102662488869E-2</c:v>
                </c:pt>
                <c:pt idx="46">
                  <c:v>-3.3563076087442731E-2</c:v>
                </c:pt>
                <c:pt idx="47">
                  <c:v>-3.0201382256094114E-2</c:v>
                </c:pt>
                <c:pt idx="48">
                  <c:v>-2.7224556128128005E-2</c:v>
                </c:pt>
                <c:pt idx="49">
                  <c:v>-2.4583326110186578E-2</c:v>
                </c:pt>
                <c:pt idx="50">
                  <c:v>-2.2235351397101578E-2</c:v>
                </c:pt>
                <c:pt idx="51">
                  <c:v>-2.0144166663313829E-2</c:v>
                </c:pt>
                <c:pt idx="52">
                  <c:v>-1.8278298340116607E-2</c:v>
                </c:pt>
                <c:pt idx="53">
                  <c:v>-1.6610523086196535E-2</c:v>
                </c:pt>
                <c:pt idx="54">
                  <c:v>-1.5117244284762181E-2</c:v>
                </c:pt>
                <c:pt idx="55">
                  <c:v>-1.3777966680427984E-2</c:v>
                </c:pt>
                <c:pt idx="56">
                  <c:v>-1.2574852772094081E-2</c:v>
                </c:pt>
                <c:pt idx="57">
                  <c:v>-1.1492347445388004E-2</c:v>
                </c:pt>
                <c:pt idx="58">
                  <c:v>-1.0516859676337005E-2</c:v>
                </c:pt>
                <c:pt idx="59">
                  <c:v>-9.6364920624816327E-3</c:v>
                </c:pt>
                <c:pt idx="60">
                  <c:v>-8.8408105168085692E-3</c:v>
                </c:pt>
                <c:pt idx="61">
                  <c:v>-8.1206477573932886E-3</c:v>
                </c:pt>
                <c:pt idx="62">
                  <c:v>-7.467935293348129E-3</c:v>
                </c:pt>
                <c:pt idx="63">
                  <c:v>-6.8755594877052484E-3</c:v>
                </c:pt>
                <c:pt idx="64">
                  <c:v>-6.3372380044713697E-3</c:v>
                </c:pt>
                <c:pt idx="65">
                  <c:v>-5.8474135481011418E-3</c:v>
                </c:pt>
                <c:pt idx="66">
                  <c:v>-5.4011623016805158E-3</c:v>
                </c:pt>
                <c:pt idx="67">
                  <c:v>-4.9941148836105294E-3</c:v>
                </c:pt>
                <c:pt idx="68">
                  <c:v>-4.6223879865441757E-3</c:v>
                </c:pt>
                <c:pt idx="69">
                  <c:v>-4.2825251489990454E-3</c:v>
                </c:pt>
                <c:pt idx="70">
                  <c:v>-3.9714453494505723E-3</c:v>
                </c:pt>
                <c:pt idx="71">
                  <c:v>-3.6863983129899625E-3</c:v>
                </c:pt>
                <c:pt idx="72">
                  <c:v>-3.4249255885171847E-3</c:v>
                </c:pt>
                <c:pt idx="73">
                  <c:v>-3.1848265954395028E-3</c:v>
                </c:pt>
                <c:pt idx="74">
                  <c:v>-2.9641289574901639E-3</c:v>
                </c:pt>
                <c:pt idx="75">
                  <c:v>-2.7610625413011483E-3</c:v>
                </c:pt>
                <c:pt idx="76">
                  <c:v>-2.5740367018384312E-3</c:v>
                </c:pt>
                <c:pt idx="77">
                  <c:v>-2.4016203082840404E-3</c:v>
                </c:pt>
                <c:pt idx="78">
                  <c:v>-2.2425241845358966E-3</c:v>
                </c:pt>
                <c:pt idx="79">
                  <c:v>-2.0955856499440023E-3</c:v>
                </c:pt>
                <c:pt idx="80">
                  <c:v>-1.9597548896651534E-3</c:v>
                </c:pt>
                <c:pt idx="81">
                  <c:v>-1.8340829213100082E-3</c:v>
                </c:pt>
                <c:pt idx="82">
                  <c:v>-1.7177109563867362E-3</c:v>
                </c:pt>
                <c:pt idx="83">
                  <c:v>-1.609860982260121E-3</c:v>
                </c:pt>
                <c:pt idx="84">
                  <c:v>-1.5098274136512145E-3</c:v>
                </c:pt>
                <c:pt idx="85">
                  <c:v>-1.416969682694003E-3</c:v>
                </c:pt>
                <c:pt idx="86">
                  <c:v>-1.330705653740849E-3</c:v>
                </c:pt>
                <c:pt idx="87">
                  <c:v>-1.250505763887269E-3</c:v>
                </c:pt>
                <c:pt idx="88">
                  <c:v>-1.1758878029228554E-3</c:v>
                </c:pt>
                <c:pt idx="89">
                  <c:v>-1.1064122574077188E-3</c:v>
                </c:pt>
                <c:pt idx="90">
                  <c:v>-1.04167815307534E-3</c:v>
                </c:pt>
                <c:pt idx="91">
                  <c:v>-9.8131933798755659E-4</c:v>
                </c:pt>
                <c:pt idx="92">
                  <c:v>-9.2500115599706623E-4</c:v>
                </c:pt>
                <c:pt idx="93">
                  <c:v>-8.7241746626200601E-4</c:v>
                </c:pt>
                <c:pt idx="94">
                  <c:v>-8.2328796993718408E-4</c:v>
                </c:pt>
                <c:pt idx="95">
                  <c:v>-7.773558098495793E-4</c:v>
                </c:pt>
                <c:pt idx="96">
                  <c:v>-7.3438541304752397E-4</c:v>
                </c:pt>
                <c:pt idx="97">
                  <c:v>-6.9416054967530894E-4</c:v>
                </c:pt>
                <c:pt idx="98">
                  <c:v>-6.5648258473797604E-4</c:v>
                </c:pt>
                <c:pt idx="99">
                  <c:v>-6.2116890204486931E-4</c:v>
                </c:pt>
                <c:pt idx="100">
                  <c:v>-5.8805148200667863E-4</c:v>
                </c:pt>
                <c:pt idx="101">
                  <c:v>-5.569756170537213E-4</c:v>
                </c:pt>
                <c:pt idx="102">
                  <c:v>-5.277987502811611E-4</c:v>
                </c:pt>
                <c:pt idx="103">
                  <c:v>-5.0038942454286078E-4</c:v>
                </c:pt>
                <c:pt idx="104">
                  <c:v>-4.7462633063796668E-4</c:v>
                </c:pt>
                <c:pt idx="105">
                  <c:v>-4.5039744448777369E-4</c:v>
                </c:pt>
                <c:pt idx="106">
                  <c:v>-4.2759924430625125E-4</c:v>
                </c:pt>
                <c:pt idx="107">
                  <c:v>-4.0613599974422064E-4</c:v>
                </c:pt>
                <c:pt idx="108">
                  <c:v>-3.85919125850642E-4</c:v>
                </c:pt>
                <c:pt idx="109">
                  <c:v>-3.6686659545871167E-4</c:v>
                </c:pt>
                <c:pt idx="110">
                  <c:v>-3.4890240428155485E-4</c:v>
                </c:pt>
                <c:pt idx="111">
                  <c:v>-3.3195608360283776E-4</c:v>
                </c:pt>
                <c:pt idx="112">
                  <c:v>-3.1596225598077329E-4</c:v>
                </c:pt>
                <c:pt idx="113">
                  <c:v>-3.0086022985778929E-4</c:v>
                </c:pt>
                <c:pt idx="114">
                  <c:v>-2.8659362938961462E-4</c:v>
                </c:pt>
                <c:pt idx="115">
                  <c:v>-2.7311005618281065E-4</c:v>
                </c:pt>
                <c:pt idx="116">
                  <c:v>-2.6036077996426685E-4</c:v>
                </c:pt>
                <c:pt idx="117">
                  <c:v>-2.4830045550455304E-4</c:v>
                </c:pt>
                <c:pt idx="118">
                  <c:v>-2.3688686338344745E-4</c:v>
                </c:pt>
                <c:pt idx="119">
                  <c:v>-2.2608067242407929E-4</c:v>
                </c:pt>
                <c:pt idx="120">
                  <c:v>-2.1584522183510369E-4</c:v>
                </c:pt>
                <c:pt idx="121">
                  <c:v>-2.0614632129103131E-4</c:v>
                </c:pt>
                <c:pt idx="122">
                  <c:v>-1.9695206735169258E-4</c:v>
                </c:pt>
                <c:pt idx="123">
                  <c:v>-1.882326747750664E-4</c:v>
                </c:pt>
                <c:pt idx="124">
                  <c:v>-1.799603214152488E-4</c:v>
                </c:pt>
                <c:pt idx="125">
                  <c:v>-1.7210900552088924E-4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Ile!$T$6</c:f>
              <c:strCache>
                <c:ptCount val="1"/>
                <c:pt idx="0">
                  <c:v>Lys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Ile!$T$7:$T$132</c:f>
              <c:numCache>
                <c:formatCode>0.00</c:formatCode>
                <c:ptCount val="126"/>
                <c:pt idx="0">
                  <c:v>85498.418800730782</c:v>
                </c:pt>
                <c:pt idx="1">
                  <c:v>27077.868085474682</c:v>
                </c:pt>
                <c:pt idx="2">
                  <c:v>9440.1175600485458</c:v>
                </c:pt>
                <c:pt idx="3">
                  <c:v>3559.8127672455944</c:v>
                </c:pt>
                <c:pt idx="4">
                  <c:v>1430.976626151343</c:v>
                </c:pt>
                <c:pt idx="5">
                  <c:v>605.35904426261675</c:v>
                </c:pt>
                <c:pt idx="6">
                  <c:v>266.23123554422875</c:v>
                </c:pt>
                <c:pt idx="7">
                  <c:v>120.16455409828637</c:v>
                </c:pt>
                <c:pt idx="8">
                  <c:v>54.805414005185646</c:v>
                </c:pt>
                <c:pt idx="9">
                  <c:v>24.703273799099271</c:v>
                </c:pt>
                <c:pt idx="10">
                  <c:v>10.577963506438678</c:v>
                </c:pt>
                <c:pt idx="11">
                  <c:v>3.9094831869763276</c:v>
                </c:pt>
                <c:pt idx="12">
                  <c:v>0.79916813138101039</c:v>
                </c:pt>
                <c:pt idx="13">
                  <c:v>-0.58977930533387368</c:v>
                </c:pt>
                <c:pt idx="14">
                  <c:v>-1.1432841551756805</c:v>
                </c:pt>
                <c:pt idx="15">
                  <c:v>-1.2961337902386771</c:v>
                </c:pt>
                <c:pt idx="16">
                  <c:v>-1.2639237939436583</c:v>
                </c:pt>
                <c:pt idx="17">
                  <c:v>-1.1537027169758001</c:v>
                </c:pt>
                <c:pt idx="18">
                  <c:v>-1.0180120998227522</c:v>
                </c:pt>
                <c:pt idx="19">
                  <c:v>-0.88180701556549312</c:v>
                </c:pt>
                <c:pt idx="20">
                  <c:v>-0.75607987000180277</c:v>
                </c:pt>
                <c:pt idx="21">
                  <c:v>-0.6448335500493696</c:v>
                </c:pt>
                <c:pt idx="22">
                  <c:v>-0.54867212505902785</c:v>
                </c:pt>
                <c:pt idx="23">
                  <c:v>-0.46664835813108718</c:v>
                </c:pt>
                <c:pt idx="24">
                  <c:v>-0.3972044095813102</c:v>
                </c:pt>
                <c:pt idx="25">
                  <c:v>-0.33863861013618923</c:v>
                </c:pt>
                <c:pt idx="26">
                  <c:v>-0.2893248787025316</c:v>
                </c:pt>
                <c:pt idx="27">
                  <c:v>-0.24780430635563808</c:v>
                </c:pt>
                <c:pt idx="28">
                  <c:v>-0.21281218577474156</c:v>
                </c:pt>
                <c:pt idx="29">
                  <c:v>-0.18327393013160245</c:v>
                </c:pt>
                <c:pt idx="30">
                  <c:v>-0.1582873940046142</c:v>
                </c:pt>
                <c:pt idx="31">
                  <c:v>-0.13710057758829772</c:v>
                </c:pt>
                <c:pt idx="32">
                  <c:v>-0.11908913601891813</c:v>
                </c:pt>
                <c:pt idx="33">
                  <c:v>-0.10373569999049682</c:v>
                </c:pt>
                <c:pt idx="34">
                  <c:v>-9.0611757884710445E-2</c:v>
                </c:pt>
                <c:pt idx="35">
                  <c:v>-7.9362219689860777E-2</c:v>
                </c:pt>
                <c:pt idx="36">
                  <c:v>-6.9692488209827416E-2</c:v>
                </c:pt>
                <c:pt idx="37">
                  <c:v>-6.1357744703648263E-2</c:v>
                </c:pt>
                <c:pt idx="38">
                  <c:v>-5.4154127676312586E-2</c:v>
                </c:pt>
                <c:pt idx="39">
                  <c:v>-4.7911498318520152E-2</c:v>
                </c:pt>
                <c:pt idx="40">
                  <c:v>-4.2487519191990467E-2</c:v>
                </c:pt>
                <c:pt idx="41">
                  <c:v>-3.7762811310385259E-2</c:v>
                </c:pt>
                <c:pt idx="42">
                  <c:v>-3.3636992454724166E-2</c:v>
                </c:pt>
                <c:pt idx="43">
                  <c:v>-3.0025433586565099E-2</c:v>
                </c:pt>
                <c:pt idx="44">
                  <c:v>-2.6856599626656961E-2</c:v>
                </c:pt>
                <c:pt idx="45">
                  <c:v>-2.4069865619088863E-2</c:v>
                </c:pt>
                <c:pt idx="46">
                  <c:v>-2.1613719792991606E-2</c:v>
                </c:pt>
                <c:pt idx="47">
                  <c:v>-1.9444281816583361E-2</c:v>
                </c:pt>
                <c:pt idx="48">
                  <c:v>-1.7524078187119384E-2</c:v>
                </c:pt>
                <c:pt idx="49">
                  <c:v>-1.5821027750999361E-2</c:v>
                </c:pt>
                <c:pt idx="50">
                  <c:v>-1.4307599271660294E-2</c:v>
                </c:pt>
                <c:pt idx="51">
                  <c:v>-1.2960110158536939E-2</c:v>
                </c:pt>
                <c:pt idx="52">
                  <c:v>-1.1758141270285563E-2</c:v>
                </c:pt>
                <c:pt idx="53">
                  <c:v>-1.0684047381583676E-2</c:v>
                </c:pt>
                <c:pt idx="54">
                  <c:v>-9.7225466758338337E-3</c:v>
                </c:pt>
                <c:pt idx="55">
                  <c:v>-8.8603756740115707E-3</c:v>
                </c:pt>
                <c:pt idx="56">
                  <c:v>-8.0859984756836093E-3</c:v>
                </c:pt>
                <c:pt idx="57">
                  <c:v>-7.3893611864548582E-3</c:v>
                </c:pt>
                <c:pt idx="58">
                  <c:v>-6.7616840284596899E-3</c:v>
                </c:pt>
                <c:pt idx="59">
                  <c:v>-6.1952849503244907E-3</c:v>
                </c:pt>
                <c:pt idx="60">
                  <c:v>-5.6834296289531138E-3</c:v>
                </c:pt>
                <c:pt idx="61">
                  <c:v>-5.2202036344768405E-3</c:v>
                </c:pt>
                <c:pt idx="62">
                  <c:v>-4.8004032493885688E-3</c:v>
                </c:pt>
                <c:pt idx="63">
                  <c:v>-4.4194420234284406E-3</c:v>
                </c:pt>
                <c:pt idx="64">
                  <c:v>-4.073270631458183E-3</c:v>
                </c:pt>
                <c:pt idx="65">
                  <c:v>-3.7583080018725166E-3</c:v>
                </c:pt>
                <c:pt idx="66">
                  <c:v>-3.4713820137864085E-3</c:v>
                </c:pt>
                <c:pt idx="67">
                  <c:v>-3.2096783350211724E-3</c:v>
                </c:pt>
                <c:pt idx="68">
                  <c:v>-2.9706962000817017E-3</c:v>
                </c:pt>
                <c:pt idx="69">
                  <c:v>-2.7522101162186247E-3</c:v>
                </c:pt>
                <c:pt idx="70">
                  <c:v>-2.5522366430879165E-3</c:v>
                </c:pt>
                <c:pt idx="71">
                  <c:v>-2.3690055229814671E-3</c:v>
                </c:pt>
                <c:pt idx="72">
                  <c:v>-2.200934548616325E-3</c:v>
                </c:pt>
                <c:pt idx="73">
                  <c:v>-2.0466076477258931E-3</c:v>
                </c:pt>
                <c:pt idx="74">
                  <c:v>-1.9047557412173414E-3</c:v>
                </c:pt>
                <c:pt idx="75">
                  <c:v>-1.7742399969290167E-3</c:v>
                </c:pt>
                <c:pt idx="76">
                  <c:v>-1.6540371560838699E-3</c:v>
                </c:pt>
                <c:pt idx="77">
                  <c:v>-1.5432266560755764E-3</c:v>
                </c:pt>
                <c:pt idx="78">
                  <c:v>-1.4409793126364851E-3</c:v>
                </c:pt>
                <c:pt idx="79">
                  <c:v>-1.3465473578745312E-3</c:v>
                </c:pt>
                <c:pt idx="80">
                  <c:v>-1.2592556590872253E-3</c:v>
                </c:pt>
                <c:pt idx="81">
                  <c:v>-1.1784939674607897E-3</c:v>
                </c:pt>
                <c:pt idx="82">
                  <c:v>-1.1037100664045339E-3</c:v>
                </c:pt>
                <c:pt idx="83">
                  <c:v>-1.0344037069081225E-3</c:v>
                </c:pt>
                <c:pt idx="84">
                  <c:v>-9.7012123240525986E-4</c:v>
                </c:pt>
                <c:pt idx="85">
                  <c:v>-9.1045080856922561E-4</c:v>
                </c:pt>
                <c:pt idx="86">
                  <c:v>-8.550181845790333E-4</c:v>
                </c:pt>
                <c:pt idx="87">
                  <c:v>-8.0348292195336207E-4</c:v>
                </c:pt>
                <c:pt idx="88">
                  <c:v>-7.5553503528325125E-4</c:v>
                </c:pt>
                <c:pt idx="89">
                  <c:v>-7.1089199629835594E-4</c:v>
                </c:pt>
                <c:pt idx="90">
                  <c:v>-6.6929605883957535E-4</c:v>
                </c:pt>
                <c:pt idx="91">
                  <c:v>-6.3051186762236701E-4</c:v>
                </c:pt>
                <c:pt idx="92">
                  <c:v>-5.943243182778621E-4</c:v>
                </c:pt>
                <c:pt idx="93">
                  <c:v>-5.6053664015339323E-4</c:v>
                </c:pt>
                <c:pt idx="94">
                  <c:v>-5.2896867682536658E-4</c:v>
                </c:pt>
                <c:pt idx="95">
                  <c:v>-4.9945534229827229E-4</c:v>
                </c:pt>
                <c:pt idx="96">
                  <c:v>-4.7184523349603602E-4</c:v>
                </c:pt>
                <c:pt idx="97">
                  <c:v>-4.4599938194879067E-4</c:v>
                </c:pt>
                <c:pt idx="98">
                  <c:v>-4.217901295849501E-4</c:v>
                </c:pt>
                <c:pt idx="99">
                  <c:v>-3.9910011529399874E-4</c:v>
                </c:pt>
                <c:pt idx="100">
                  <c:v>-3.7782136046306773E-4</c:v>
                </c:pt>
                <c:pt idx="101">
                  <c:v>-3.5785444303889426E-4</c:v>
                </c:pt>
                <c:pt idx="102">
                  <c:v>-3.391077508507627E-4</c:v>
                </c:pt>
                <c:pt idx="103">
                  <c:v>-3.2149680597089527E-4</c:v>
                </c:pt>
                <c:pt idx="104">
                  <c:v>-3.0494365280481391E-4</c:v>
                </c:pt>
                <c:pt idx="105">
                  <c:v>-2.8937630341132839E-4</c:v>
                </c:pt>
                <c:pt idx="106">
                  <c:v>-2.7472823426380591E-4</c:v>
                </c:pt>
                <c:pt idx="107">
                  <c:v>-2.6093792929310258E-4</c:v>
                </c:pt>
                <c:pt idx="108">
                  <c:v>-2.479484646083667E-4</c:v>
                </c:pt>
                <c:pt idx="109">
                  <c:v>-2.3570713078382521E-4</c:v>
                </c:pt>
                <c:pt idx="110">
                  <c:v>-2.2416508903543481E-4</c:v>
                </c:pt>
                <c:pt idx="111">
                  <c:v>-2.1327705799774747E-4</c:v>
                </c:pt>
                <c:pt idx="112">
                  <c:v>-2.0300102815440824E-4</c:v>
                </c:pt>
                <c:pt idx="113">
                  <c:v>-1.9329800128056187E-4</c:v>
                </c:pt>
                <c:pt idx="114">
                  <c:v>-1.8413175252662115E-4</c:v>
                </c:pt>
                <c:pt idx="115">
                  <c:v>-1.7546861301427603E-4</c:v>
                </c:pt>
                <c:pt idx="116">
                  <c:v>-1.6727727103080342E-4</c:v>
                </c:pt>
                <c:pt idx="117">
                  <c:v>-1.595285900996635E-4</c:v>
                </c:pt>
                <c:pt idx="118">
                  <c:v>-1.5219544237674606E-4</c:v>
                </c:pt>
                <c:pt idx="119">
                  <c:v>-1.4525255597477919E-4</c:v>
                </c:pt>
                <c:pt idx="120">
                  <c:v>-1.3867637495539449E-4</c:v>
                </c:pt>
                <c:pt idx="121">
                  <c:v>-1.3244493085098753E-4</c:v>
                </c:pt>
                <c:pt idx="122">
                  <c:v>-1.2653772468838777E-4</c:v>
                </c:pt>
                <c:pt idx="123">
                  <c:v>-1.2093561858490523E-4</c:v>
                </c:pt>
                <c:pt idx="124">
                  <c:v>-1.1562073607576145E-4</c:v>
                </c:pt>
                <c:pt idx="125">
                  <c:v>-1.1057637041136494E-4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Ile!$U$6</c:f>
              <c:strCache>
                <c:ptCount val="1"/>
                <c:pt idx="0">
                  <c:v>Pro</c:v>
                </c:pt>
              </c:strCache>
            </c:strRef>
          </c:tx>
          <c:marker>
            <c:symbol val="none"/>
          </c:marker>
          <c:xVal>
            <c:numRef>
              <c:f>Ile!$A$7:$A$132</c:f>
              <c:numCache>
                <c:formatCode>General</c:formatCode>
                <c:ptCount val="126"/>
                <c:pt idx="0">
                  <c:v>2</c:v>
                </c:pt>
                <c:pt idx="1">
                  <c:v>2.2000000000000002</c:v>
                </c:pt>
                <c:pt idx="2">
                  <c:v>2.4</c:v>
                </c:pt>
                <c:pt idx="3">
                  <c:v>2.6</c:v>
                </c:pt>
                <c:pt idx="4">
                  <c:v>2.8</c:v>
                </c:pt>
                <c:pt idx="5">
                  <c:v>3</c:v>
                </c:pt>
                <c:pt idx="6">
                  <c:v>3.2</c:v>
                </c:pt>
                <c:pt idx="7">
                  <c:v>3.4</c:v>
                </c:pt>
                <c:pt idx="8">
                  <c:v>3.6</c:v>
                </c:pt>
                <c:pt idx="9">
                  <c:v>3.8</c:v>
                </c:pt>
                <c:pt idx="10">
                  <c:v>4</c:v>
                </c:pt>
                <c:pt idx="11">
                  <c:v>4.2</c:v>
                </c:pt>
                <c:pt idx="12">
                  <c:v>4.4000000000000004</c:v>
                </c:pt>
                <c:pt idx="13">
                  <c:v>4.5999999999999996</c:v>
                </c:pt>
                <c:pt idx="14">
                  <c:v>4.8</c:v>
                </c:pt>
                <c:pt idx="15">
                  <c:v>5</c:v>
                </c:pt>
                <c:pt idx="16">
                  <c:v>5.2</c:v>
                </c:pt>
                <c:pt idx="17">
                  <c:v>5.4</c:v>
                </c:pt>
                <c:pt idx="18">
                  <c:v>5.6</c:v>
                </c:pt>
                <c:pt idx="19">
                  <c:v>5.8</c:v>
                </c:pt>
                <c:pt idx="20">
                  <c:v>6</c:v>
                </c:pt>
                <c:pt idx="21">
                  <c:v>6.2</c:v>
                </c:pt>
                <c:pt idx="22">
                  <c:v>6.4</c:v>
                </c:pt>
                <c:pt idx="23">
                  <c:v>6.6</c:v>
                </c:pt>
                <c:pt idx="24">
                  <c:v>6.8</c:v>
                </c:pt>
                <c:pt idx="25">
                  <c:v>7</c:v>
                </c:pt>
                <c:pt idx="26">
                  <c:v>7.2</c:v>
                </c:pt>
                <c:pt idx="27">
                  <c:v>7.4</c:v>
                </c:pt>
                <c:pt idx="28">
                  <c:v>7.6</c:v>
                </c:pt>
                <c:pt idx="29">
                  <c:v>7.8000000000000096</c:v>
                </c:pt>
                <c:pt idx="30">
                  <c:v>8.0000000000000107</c:v>
                </c:pt>
                <c:pt idx="31">
                  <c:v>8.2000000000000099</c:v>
                </c:pt>
                <c:pt idx="32">
                  <c:v>8.4000000000000092</c:v>
                </c:pt>
                <c:pt idx="33">
                  <c:v>8.6000000000000103</c:v>
                </c:pt>
                <c:pt idx="34">
                  <c:v>8.8000000000000096</c:v>
                </c:pt>
                <c:pt idx="35">
                  <c:v>9.0000000000000107</c:v>
                </c:pt>
                <c:pt idx="36">
                  <c:v>9.2000000000000099</c:v>
                </c:pt>
                <c:pt idx="37">
                  <c:v>9.4000000000000092</c:v>
                </c:pt>
                <c:pt idx="38">
                  <c:v>9.6000000000000103</c:v>
                </c:pt>
                <c:pt idx="39">
                  <c:v>9.8000000000000096</c:v>
                </c:pt>
                <c:pt idx="40">
                  <c:v>10</c:v>
                </c:pt>
                <c:pt idx="41">
                  <c:v>10.199999999999999</c:v>
                </c:pt>
                <c:pt idx="42">
                  <c:v>10.4</c:v>
                </c:pt>
                <c:pt idx="43">
                  <c:v>10.6</c:v>
                </c:pt>
                <c:pt idx="44">
                  <c:v>10.8</c:v>
                </c:pt>
                <c:pt idx="45">
                  <c:v>11</c:v>
                </c:pt>
                <c:pt idx="46">
                  <c:v>11.2</c:v>
                </c:pt>
                <c:pt idx="47">
                  <c:v>11.4</c:v>
                </c:pt>
                <c:pt idx="48">
                  <c:v>11.6</c:v>
                </c:pt>
                <c:pt idx="49">
                  <c:v>11.8</c:v>
                </c:pt>
                <c:pt idx="50">
                  <c:v>12</c:v>
                </c:pt>
                <c:pt idx="51">
                  <c:v>12.2</c:v>
                </c:pt>
                <c:pt idx="52">
                  <c:v>12.4</c:v>
                </c:pt>
                <c:pt idx="53">
                  <c:v>12.6</c:v>
                </c:pt>
                <c:pt idx="54">
                  <c:v>12.8</c:v>
                </c:pt>
                <c:pt idx="55">
                  <c:v>13</c:v>
                </c:pt>
                <c:pt idx="56">
                  <c:v>13.2</c:v>
                </c:pt>
                <c:pt idx="57">
                  <c:v>13.4</c:v>
                </c:pt>
                <c:pt idx="58">
                  <c:v>13.6</c:v>
                </c:pt>
                <c:pt idx="59">
                  <c:v>13.8</c:v>
                </c:pt>
                <c:pt idx="60">
                  <c:v>14</c:v>
                </c:pt>
                <c:pt idx="61">
                  <c:v>14.2</c:v>
                </c:pt>
                <c:pt idx="62">
                  <c:v>14.4</c:v>
                </c:pt>
                <c:pt idx="63">
                  <c:v>14.6</c:v>
                </c:pt>
                <c:pt idx="64">
                  <c:v>14.8</c:v>
                </c:pt>
                <c:pt idx="65">
                  <c:v>15</c:v>
                </c:pt>
                <c:pt idx="66">
                  <c:v>15.2</c:v>
                </c:pt>
                <c:pt idx="67">
                  <c:v>15.4</c:v>
                </c:pt>
                <c:pt idx="68">
                  <c:v>15.6</c:v>
                </c:pt>
                <c:pt idx="69">
                  <c:v>15.8</c:v>
                </c:pt>
                <c:pt idx="70">
                  <c:v>16</c:v>
                </c:pt>
                <c:pt idx="71">
                  <c:v>16.2</c:v>
                </c:pt>
                <c:pt idx="72">
                  <c:v>16.399999999999999</c:v>
                </c:pt>
                <c:pt idx="73">
                  <c:v>16.600000000000001</c:v>
                </c:pt>
                <c:pt idx="74">
                  <c:v>16.8</c:v>
                </c:pt>
                <c:pt idx="75">
                  <c:v>17</c:v>
                </c:pt>
                <c:pt idx="76">
                  <c:v>17.2</c:v>
                </c:pt>
                <c:pt idx="77">
                  <c:v>17.399999999999999</c:v>
                </c:pt>
                <c:pt idx="78">
                  <c:v>17.600000000000001</c:v>
                </c:pt>
                <c:pt idx="79">
                  <c:v>17.8</c:v>
                </c:pt>
                <c:pt idx="80">
                  <c:v>18</c:v>
                </c:pt>
                <c:pt idx="81">
                  <c:v>18.2</c:v>
                </c:pt>
                <c:pt idx="82">
                  <c:v>18.399999999999999</c:v>
                </c:pt>
                <c:pt idx="83">
                  <c:v>18.600000000000001</c:v>
                </c:pt>
                <c:pt idx="84">
                  <c:v>18.8</c:v>
                </c:pt>
                <c:pt idx="85">
                  <c:v>19</c:v>
                </c:pt>
                <c:pt idx="86">
                  <c:v>19.2</c:v>
                </c:pt>
                <c:pt idx="87">
                  <c:v>19.399999999999999</c:v>
                </c:pt>
                <c:pt idx="88">
                  <c:v>19.600000000000001</c:v>
                </c:pt>
                <c:pt idx="89">
                  <c:v>19.8</c:v>
                </c:pt>
                <c:pt idx="90">
                  <c:v>20</c:v>
                </c:pt>
                <c:pt idx="91">
                  <c:v>20.2</c:v>
                </c:pt>
                <c:pt idx="92">
                  <c:v>20.399999999999999</c:v>
                </c:pt>
                <c:pt idx="93">
                  <c:v>20.6</c:v>
                </c:pt>
                <c:pt idx="94">
                  <c:v>20.8</c:v>
                </c:pt>
                <c:pt idx="95">
                  <c:v>21</c:v>
                </c:pt>
                <c:pt idx="96">
                  <c:v>21.2</c:v>
                </c:pt>
                <c:pt idx="97">
                  <c:v>21.4</c:v>
                </c:pt>
                <c:pt idx="98">
                  <c:v>21.6</c:v>
                </c:pt>
                <c:pt idx="99">
                  <c:v>21.8</c:v>
                </c:pt>
                <c:pt idx="100">
                  <c:v>22</c:v>
                </c:pt>
                <c:pt idx="101">
                  <c:v>22.2</c:v>
                </c:pt>
                <c:pt idx="102">
                  <c:v>22.4</c:v>
                </c:pt>
                <c:pt idx="103">
                  <c:v>22.6</c:v>
                </c:pt>
                <c:pt idx="104">
                  <c:v>22.8</c:v>
                </c:pt>
                <c:pt idx="105">
                  <c:v>23</c:v>
                </c:pt>
                <c:pt idx="106">
                  <c:v>23.2</c:v>
                </c:pt>
                <c:pt idx="107">
                  <c:v>23.4</c:v>
                </c:pt>
                <c:pt idx="108">
                  <c:v>23.6</c:v>
                </c:pt>
                <c:pt idx="109">
                  <c:v>23.8</c:v>
                </c:pt>
                <c:pt idx="110">
                  <c:v>24</c:v>
                </c:pt>
                <c:pt idx="111">
                  <c:v>24.2</c:v>
                </c:pt>
                <c:pt idx="112">
                  <c:v>24.4</c:v>
                </c:pt>
                <c:pt idx="113">
                  <c:v>24.6</c:v>
                </c:pt>
                <c:pt idx="114">
                  <c:v>24.8</c:v>
                </c:pt>
                <c:pt idx="115">
                  <c:v>25</c:v>
                </c:pt>
                <c:pt idx="116">
                  <c:v>25.2</c:v>
                </c:pt>
                <c:pt idx="117">
                  <c:v>25.4</c:v>
                </c:pt>
                <c:pt idx="118">
                  <c:v>25.6</c:v>
                </c:pt>
                <c:pt idx="119">
                  <c:v>25.8</c:v>
                </c:pt>
                <c:pt idx="120">
                  <c:v>26</c:v>
                </c:pt>
                <c:pt idx="121">
                  <c:v>26.2</c:v>
                </c:pt>
                <c:pt idx="122">
                  <c:v>26.4</c:v>
                </c:pt>
                <c:pt idx="123">
                  <c:v>26.6</c:v>
                </c:pt>
                <c:pt idx="124">
                  <c:v>26.8</c:v>
                </c:pt>
                <c:pt idx="125">
                  <c:v>27</c:v>
                </c:pt>
              </c:numCache>
            </c:numRef>
          </c:xVal>
          <c:yVal>
            <c:numRef>
              <c:f>Ile!$U$7:$U$132</c:f>
              <c:numCache>
                <c:formatCode>0.00</c:formatCode>
                <c:ptCount val="126"/>
                <c:pt idx="0">
                  <c:v>1174323.6864631274</c:v>
                </c:pt>
                <c:pt idx="1">
                  <c:v>373567.56667111209</c:v>
                </c:pt>
                <c:pt idx="2">
                  <c:v>131157.21412701311</c:v>
                </c:pt>
                <c:pt idx="3">
                  <c:v>49997.979795996165</c:v>
                </c:pt>
                <c:pt idx="4">
                  <c:v>20428.496117573119</c:v>
                </c:pt>
                <c:pt idx="5">
                  <c:v>8852.8130411199763</c:v>
                </c:pt>
                <c:pt idx="6">
                  <c:v>4033.3784075429653</c:v>
                </c:pt>
                <c:pt idx="7">
                  <c:v>1917.34452670983</c:v>
                </c:pt>
                <c:pt idx="8">
                  <c:v>944.52859079528844</c:v>
                </c:pt>
                <c:pt idx="9">
                  <c:v>479.10875221771386</c:v>
                </c:pt>
                <c:pt idx="10">
                  <c:v>248.65200542215723</c:v>
                </c:pt>
                <c:pt idx="11">
                  <c:v>131.13889331911895</c:v>
                </c:pt>
                <c:pt idx="12">
                  <c:v>69.725851136815905</c:v>
                </c:pt>
                <c:pt idx="13">
                  <c:v>36.988833977459045</c:v>
                </c:pt>
                <c:pt idx="14">
                  <c:v>19.278568055065868</c:v>
                </c:pt>
                <c:pt idx="15">
                  <c:v>9.6109810383347192</c:v>
                </c:pt>
                <c:pt idx="16">
                  <c:v>4.323874076722098</c:v>
                </c:pt>
                <c:pt idx="17">
                  <c:v>1.4552367262106116</c:v>
                </c:pt>
                <c:pt idx="18">
                  <c:v>-6.5755865948997988E-2</c:v>
                </c:pt>
                <c:pt idx="19">
                  <c:v>-0.83273980253637547</c:v>
                </c:pt>
                <c:pt idx="20">
                  <c:v>-1.1789694510344704</c:v>
                </c:pt>
                <c:pt idx="21">
                  <c:v>-1.2932542234293911</c:v>
                </c:pt>
                <c:pt idx="22">
                  <c:v>-1.283132754919454</c:v>
                </c:pt>
                <c:pt idx="23">
                  <c:v>-1.2098806960886148</c:v>
                </c:pt>
                <c:pt idx="24">
                  <c:v>-1.1082009325596391</c:v>
                </c:pt>
                <c:pt idx="25">
                  <c:v>-0.99744239797321665</c:v>
                </c:pt>
                <c:pt idx="26">
                  <c:v>-0.88806216550788131</c:v>
                </c:pt>
                <c:pt idx="27">
                  <c:v>-0.7853802241365706</c:v>
                </c:pt>
                <c:pt idx="28">
                  <c:v>-0.69177492641624683</c:v>
                </c:pt>
                <c:pt idx="29">
                  <c:v>-0.60797109617922085</c:v>
                </c:pt>
                <c:pt idx="30">
                  <c:v>-0.53379571497708311</c:v>
                </c:pt>
                <c:pt idx="31">
                  <c:v>-0.46861917227287042</c:v>
                </c:pt>
                <c:pt idx="32">
                  <c:v>-0.41161004346251279</c:v>
                </c:pt>
                <c:pt idx="33">
                  <c:v>-0.36187912556273388</c:v>
                </c:pt>
                <c:pt idx="34">
                  <c:v>-0.31855783821852673</c:v>
                </c:pt>
                <c:pt idx="35">
                  <c:v>-0.28083798191789583</c:v>
                </c:pt>
                <c:pt idx="36">
                  <c:v>-0.24798904437127867</c:v>
                </c:pt>
                <c:pt idx="37">
                  <c:v>-0.21936276489114956</c:v>
                </c:pt>
                <c:pt idx="38">
                  <c:v>-0.19439075858283536</c:v>
                </c:pt>
                <c:pt idx="39">
                  <c:v>-0.17257863833083473</c:v>
                </c:pt>
                <c:pt idx="40">
                  <c:v>-0.15349864133640928</c:v>
                </c:pt>
                <c:pt idx="41">
                  <c:v>-0.1367819018046989</c:v>
                </c:pt>
                <c:pt idx="42">
                  <c:v>-0.12211099104626555</c:v>
                </c:pt>
                <c:pt idx="43">
                  <c:v>-0.10921303636673958</c:v>
                </c:pt>
                <c:pt idx="44">
                  <c:v>-9.7853548629995665E-2</c:v>
                </c:pt>
                <c:pt idx="45">
                  <c:v>-8.783098501602514E-2</c:v>
                </c:pt>
                <c:pt idx="46">
                  <c:v>-7.8972017364200411E-2</c:v>
                </c:pt>
                <c:pt idx="47">
                  <c:v>-7.1127448602569088E-2</c:v>
                </c:pt>
                <c:pt idx="48">
                  <c:v>-6.4168708450579981E-2</c:v>
                </c:pt>
                <c:pt idx="49">
                  <c:v>-5.7984857711715687E-2</c:v>
                </c:pt>
                <c:pt idx="50">
                  <c:v>-5.2480033712094774E-2</c:v>
                </c:pt>
                <c:pt idx="51">
                  <c:v>-4.7571275193624966E-2</c:v>
                </c:pt>
                <c:pt idx="52">
                  <c:v>-4.3186671708859557E-2</c:v>
                </c:pt>
                <c:pt idx="53">
                  <c:v>-3.9263789420264379E-2</c:v>
                </c:pt>
                <c:pt idx="54">
                  <c:v>-3.5748331710845543E-2</c:v>
                </c:pt>
                <c:pt idx="55">
                  <c:v>-3.2592998938559006E-2</c:v>
                </c:pt>
                <c:pt idx="56">
                  <c:v>-2.9756516927807657E-2</c:v>
                </c:pt>
                <c:pt idx="57">
                  <c:v>-2.7202808382342299E-2</c:v>
                </c:pt>
                <c:pt idx="58">
                  <c:v>-2.4900285362846105E-2</c:v>
                </c:pt>
                <c:pt idx="59">
                  <c:v>-2.282124435791117E-2</c:v>
                </c:pt>
                <c:pt idx="60">
                  <c:v>-2.0941348354942883E-2</c:v>
                </c:pt>
                <c:pt idx="61">
                  <c:v>-1.9239182753627737E-2</c:v>
                </c:pt>
                <c:pt idx="62">
                  <c:v>-1.7695874020798016E-2</c:v>
                </c:pt>
                <c:pt idx="63">
                  <c:v>-1.6294761717701028E-2</c:v>
                </c:pt>
                <c:pt idx="64">
                  <c:v>-1.5021115988144255E-2</c:v>
                </c:pt>
                <c:pt idx="65">
                  <c:v>-1.3861893821534441E-2</c:v>
                </c:pt>
                <c:pt idx="66">
                  <c:v>-1.2805528435170369E-2</c:v>
                </c:pt>
                <c:pt idx="67">
                  <c:v>-1.1841746986524626E-2</c:v>
                </c:pt>
                <c:pt idx="68">
                  <c:v>-1.0961412555076353E-2</c:v>
                </c:pt>
                <c:pt idx="69">
                  <c:v>-1.0156386946781603E-2</c:v>
                </c:pt>
                <c:pt idx="70">
                  <c:v>-9.4194113911698837E-3</c:v>
                </c:pt>
                <c:pt idx="71">
                  <c:v>-8.7440026369792669E-3</c:v>
                </c:pt>
                <c:pt idx="72">
                  <c:v>-8.1243623202811293E-3</c:v>
                </c:pt>
                <c:pt idx="73">
                  <c:v>-7.5552977901381692E-3</c:v>
                </c:pt>
                <c:pt idx="74">
                  <c:v>-7.0321528401305474E-3</c:v>
                </c:pt>
                <c:pt idx="75">
                  <c:v>-6.5507470172113677E-3</c:v>
                </c:pt>
                <c:pt idx="76">
                  <c:v>-6.1073223686999656E-3</c:v>
                </c:pt>
                <c:pt idx="77">
                  <c:v>-5.6984966491254556E-3</c:v>
                </c:pt>
                <c:pt idx="78">
                  <c:v>-5.3212221455608165E-3</c:v>
                </c:pt>
                <c:pt idx="79">
                  <c:v>-4.972749396778357E-3</c:v>
                </c:pt>
                <c:pt idx="80">
                  <c:v>-4.6505951811447455E-3</c:v>
                </c:pt>
                <c:pt idx="81">
                  <c:v>-4.3525142332882169E-3</c:v>
                </c:pt>
                <c:pt idx="82">
                  <c:v>-4.0764742224196834E-3</c:v>
                </c:pt>
                <c:pt idx="83">
                  <c:v>-3.8206335876316659E-3</c:v>
                </c:pt>
                <c:pt idx="84">
                  <c:v>-3.583321879097121E-3</c:v>
                </c:pt>
                <c:pt idx="85">
                  <c:v>-3.363022300163318E-3</c:v>
                </c:pt>
                <c:pt idx="86">
                  <c:v>-3.1583561849962841E-3</c:v>
                </c:pt>
                <c:pt idx="87">
                  <c:v>-2.9680691806197265E-3</c:v>
                </c:pt>
                <c:pt idx="88">
                  <c:v>-2.7910189317048324E-3</c:v>
                </c:pt>
                <c:pt idx="89">
                  <c:v>-2.6261640919786004E-3</c:v>
                </c:pt>
                <c:pt idx="90">
                  <c:v>-2.4725545082008261E-3</c:v>
                </c:pt>
                <c:pt idx="91">
                  <c:v>-2.3293224418004729E-3</c:v>
                </c:pt>
                <c:pt idx="92">
                  <c:v>-2.1956747098744447E-3</c:v>
                </c:pt>
                <c:pt idx="93">
                  <c:v>-2.0708856416891872E-3</c:v>
                </c:pt>
                <c:pt idx="94">
                  <c:v>-1.9542907593886822E-3</c:v>
                </c:pt>
                <c:pt idx="95">
                  <c:v>-1.8452811025587942E-3</c:v>
                </c:pt>
                <c:pt idx="96">
                  <c:v>-1.7432981258476644E-3</c:v>
                </c:pt>
                <c:pt idx="97">
                  <c:v>-1.6478291071833279E-3</c:v>
                </c:pt>
                <c:pt idx="98">
                  <c:v>-1.5584030114249899E-3</c:v>
                </c:pt>
                <c:pt idx="99">
                  <c:v>-1.4745867606722033E-3</c:v>
                </c:pt>
                <c:pt idx="100">
                  <c:v>-1.3959818680560874E-3</c:v>
                </c:pt>
                <c:pt idx="101">
                  <c:v>-1.3222213967518225E-3</c:v>
                </c:pt>
                <c:pt idx="102">
                  <c:v>-1.2529672102704037E-3</c:v>
                </c:pt>
                <c:pt idx="103">
                  <c:v>-1.1879074838869602E-3</c:v>
                </c:pt>
                <c:pt idx="104">
                  <c:v>-1.1267544504089549E-3</c:v>
                </c:pt>
                <c:pt idx="105">
                  <c:v>-1.0692423564375403E-3</c:v>
                </c:pt>
                <c:pt idx="106">
                  <c:v>-1.0151256078791669E-3</c:v>
                </c:pt>
                <c:pt idx="107">
                  <c:v>-9.6417708576505921E-4</c:v>
                </c:pt>
                <c:pt idx="108">
                  <c:v>-9.1618661547103269E-4</c:v>
                </c:pt>
                <c:pt idx="109">
                  <c:v>-8.7095957423181437E-4</c:v>
                </c:pt>
                <c:pt idx="110">
                  <c:v>-8.2831562344085616E-4</c:v>
                </c:pt>
                <c:pt idx="111">
                  <c:v>-7.8808755364340383E-4</c:v>
                </c:pt>
                <c:pt idx="112">
                  <c:v>-7.5012023138875327E-4</c:v>
                </c:pt>
                <c:pt idx="113">
                  <c:v>-7.142696382261126E-4</c:v>
                </c:pt>
                <c:pt idx="114">
                  <c:v>-6.8040199312372732E-4</c:v>
                </c:pt>
                <c:pt idx="115">
                  <c:v>-6.4839295047730756E-4</c:v>
                </c:pt>
                <c:pt idx="116">
                  <c:v>-6.1812686666403935E-4</c:v>
                </c:pt>
                <c:pt idx="117">
                  <c:v>-5.894961288035477E-4</c:v>
                </c:pt>
                <c:pt idx="118">
                  <c:v>-5.6240054001692962E-4</c:v>
                </c:pt>
                <c:pt idx="119">
                  <c:v>-5.3674675603789738E-4</c:v>
                </c:pt>
                <c:pt idx="120">
                  <c:v>-5.1244776853370995E-4</c:v>
                </c:pt>
                <c:pt idx="121">
                  <c:v>-4.8942243094458925E-4</c:v>
                </c:pt>
                <c:pt idx="122">
                  <c:v>-4.67595023054471E-4</c:v>
                </c:pt>
                <c:pt idx="123">
                  <c:v>-4.46894850868533E-4</c:v>
                </c:pt>
                <c:pt idx="124">
                  <c:v>-4.2725587869838985E-4</c:v>
                </c:pt>
                <c:pt idx="125">
                  <c:v>-4.0861639064826964E-4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2963072"/>
        <c:axId val="251871232"/>
      </c:scatterChart>
      <c:valAx>
        <c:axId val="252963072"/>
        <c:scaling>
          <c:orientation val="minMax"/>
          <c:max val="25"/>
        </c:scaling>
        <c:delete val="0"/>
        <c:axPos val="b"/>
        <c:numFmt formatCode="General" sourceLinked="1"/>
        <c:majorTickMark val="out"/>
        <c:minorTickMark val="none"/>
        <c:tickLblPos val="nextTo"/>
        <c:crossAx val="251871232"/>
        <c:crosses val="autoZero"/>
        <c:crossBetween val="midCat"/>
      </c:valAx>
      <c:valAx>
        <c:axId val="251871232"/>
        <c:scaling>
          <c:orientation val="minMax"/>
          <c:max val="5"/>
          <c:min val="-1.5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529630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10</xdr:row>
      <xdr:rowOff>33337</xdr:rowOff>
    </xdr:from>
    <xdr:to>
      <xdr:col>9</xdr:col>
      <xdr:colOff>400050</xdr:colOff>
      <xdr:row>24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10</xdr:row>
      <xdr:rowOff>33337</xdr:rowOff>
    </xdr:from>
    <xdr:to>
      <xdr:col>9</xdr:col>
      <xdr:colOff>400050</xdr:colOff>
      <xdr:row>24</xdr:row>
      <xdr:rowOff>109537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10</xdr:row>
      <xdr:rowOff>33337</xdr:rowOff>
    </xdr:from>
    <xdr:to>
      <xdr:col>9</xdr:col>
      <xdr:colOff>400050</xdr:colOff>
      <xdr:row>24</xdr:row>
      <xdr:rowOff>109537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10</xdr:row>
      <xdr:rowOff>33337</xdr:rowOff>
    </xdr:from>
    <xdr:to>
      <xdr:col>9</xdr:col>
      <xdr:colOff>400050</xdr:colOff>
      <xdr:row>24</xdr:row>
      <xdr:rowOff>109537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0"/>
  <sheetViews>
    <sheetView tabSelected="1" zoomScale="70" zoomScaleNormal="70" workbookViewId="0">
      <selection activeCell="B3" sqref="B3:U3"/>
    </sheetView>
  </sheetViews>
  <sheetFormatPr defaultRowHeight="15" x14ac:dyDescent="0.25"/>
  <sheetData>
    <row r="1" spans="1:21" ht="18" customHeight="1" x14ac:dyDescent="0.25">
      <c r="A1" s="1" t="s">
        <v>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ht="32.25" customHeight="1" x14ac:dyDescent="0.25">
      <c r="A2" s="2" t="s">
        <v>8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21" x14ac:dyDescent="0.25">
      <c r="B3" t="s">
        <v>9</v>
      </c>
      <c r="C3" t="s">
        <v>10</v>
      </c>
      <c r="D3" t="s">
        <v>11</v>
      </c>
      <c r="E3" t="s">
        <v>12</v>
      </c>
      <c r="F3" t="s">
        <v>13</v>
      </c>
      <c r="G3" t="s">
        <v>14</v>
      </c>
      <c r="H3" t="s">
        <v>15</v>
      </c>
      <c r="I3" t="s">
        <v>16</v>
      </c>
      <c r="J3" t="s">
        <v>17</v>
      </c>
      <c r="K3" t="s">
        <v>18</v>
      </c>
      <c r="L3" t="s">
        <v>19</v>
      </c>
      <c r="M3" t="s">
        <v>20</v>
      </c>
      <c r="N3" t="s">
        <v>21</v>
      </c>
      <c r="O3" t="s">
        <v>22</v>
      </c>
      <c r="P3" t="s">
        <v>23</v>
      </c>
      <c r="Q3" t="s">
        <v>24</v>
      </c>
      <c r="R3" t="s">
        <v>25</v>
      </c>
      <c r="S3" t="s">
        <v>26</v>
      </c>
      <c r="T3" t="s">
        <v>27</v>
      </c>
      <c r="U3" t="s">
        <v>28</v>
      </c>
    </row>
    <row r="4" spans="1:21" x14ac:dyDescent="0.25">
      <c r="A4" t="s">
        <v>9</v>
      </c>
      <c r="B4" s="3">
        <v>1.05</v>
      </c>
      <c r="C4">
        <v>0.02</v>
      </c>
      <c r="D4">
        <v>0.02</v>
      </c>
      <c r="E4">
        <v>0.02</v>
      </c>
      <c r="F4">
        <v>0.02</v>
      </c>
      <c r="G4">
        <v>0.02</v>
      </c>
      <c r="H4">
        <v>0.02</v>
      </c>
      <c r="I4">
        <v>0.02</v>
      </c>
      <c r="J4">
        <v>0.02</v>
      </c>
      <c r="K4">
        <v>0.02</v>
      </c>
      <c r="L4">
        <v>0.02</v>
      </c>
      <c r="M4">
        <v>0.02</v>
      </c>
      <c r="N4">
        <v>0.03</v>
      </c>
      <c r="O4">
        <v>0.02</v>
      </c>
      <c r="P4">
        <v>0.02</v>
      </c>
      <c r="Q4">
        <v>0.02</v>
      </c>
      <c r="R4">
        <v>0.02</v>
      </c>
      <c r="S4">
        <v>0.02</v>
      </c>
      <c r="T4">
        <v>0.02</v>
      </c>
      <c r="U4">
        <v>0.02</v>
      </c>
    </row>
    <row r="5" spans="1:21" x14ac:dyDescent="0.25">
      <c r="A5" t="s">
        <v>10</v>
      </c>
      <c r="B5" s="3">
        <v>1.26</v>
      </c>
      <c r="C5" s="3">
        <v>1.45</v>
      </c>
      <c r="D5">
        <v>0.01</v>
      </c>
      <c r="E5">
        <v>0.01</v>
      </c>
      <c r="F5">
        <v>0.01</v>
      </c>
      <c r="G5">
        <v>0.01</v>
      </c>
      <c r="H5">
        <v>0.02</v>
      </c>
      <c r="I5">
        <v>0.02</v>
      </c>
      <c r="J5">
        <v>0.02</v>
      </c>
      <c r="K5">
        <v>0.02</v>
      </c>
      <c r="L5">
        <v>0.02</v>
      </c>
      <c r="M5">
        <v>0.02</v>
      </c>
      <c r="N5">
        <v>0.03</v>
      </c>
      <c r="O5">
        <v>0.03</v>
      </c>
      <c r="P5">
        <v>0.03</v>
      </c>
      <c r="Q5">
        <v>0.02</v>
      </c>
      <c r="R5">
        <v>0.02</v>
      </c>
      <c r="S5">
        <v>0.02</v>
      </c>
      <c r="T5">
        <v>0.03</v>
      </c>
      <c r="U5">
        <v>0.02</v>
      </c>
    </row>
    <row r="6" spans="1:21" x14ac:dyDescent="0.25">
      <c r="A6" t="s">
        <v>11</v>
      </c>
      <c r="B6" s="3">
        <v>1.19</v>
      </c>
      <c r="C6" s="3">
        <v>1.34</v>
      </c>
      <c r="D6" s="3">
        <v>1.27</v>
      </c>
      <c r="E6">
        <v>0.01</v>
      </c>
      <c r="F6">
        <v>0.01</v>
      </c>
      <c r="G6">
        <v>0.01</v>
      </c>
      <c r="H6">
        <v>0.02</v>
      </c>
      <c r="I6">
        <v>0.01</v>
      </c>
      <c r="J6">
        <v>0.01</v>
      </c>
      <c r="K6">
        <v>0.01</v>
      </c>
      <c r="L6">
        <v>0.01</v>
      </c>
      <c r="M6">
        <v>0.01</v>
      </c>
      <c r="N6">
        <v>0.02</v>
      </c>
      <c r="O6">
        <v>0.02</v>
      </c>
      <c r="P6">
        <v>0.01</v>
      </c>
      <c r="Q6">
        <v>0.01</v>
      </c>
      <c r="R6">
        <v>0.02</v>
      </c>
      <c r="S6">
        <v>0.01</v>
      </c>
      <c r="T6">
        <v>0.01</v>
      </c>
      <c r="U6">
        <v>0.01</v>
      </c>
    </row>
    <row r="7" spans="1:21" x14ac:dyDescent="0.25">
      <c r="A7" t="s">
        <v>12</v>
      </c>
      <c r="B7" s="3">
        <v>1.3</v>
      </c>
      <c r="C7" s="3">
        <v>1.47</v>
      </c>
      <c r="D7" s="3">
        <v>1.41</v>
      </c>
      <c r="E7" s="3">
        <v>1.58</v>
      </c>
      <c r="F7">
        <v>0.01</v>
      </c>
      <c r="G7">
        <v>0.01</v>
      </c>
      <c r="H7">
        <v>0.02</v>
      </c>
      <c r="I7">
        <v>0.01</v>
      </c>
      <c r="J7">
        <v>0.01</v>
      </c>
      <c r="K7">
        <v>0.01</v>
      </c>
      <c r="L7">
        <v>0.01</v>
      </c>
      <c r="M7">
        <v>0.01</v>
      </c>
      <c r="N7">
        <v>0.02</v>
      </c>
      <c r="O7">
        <v>0.02</v>
      </c>
      <c r="P7">
        <v>0.02</v>
      </c>
      <c r="Q7">
        <v>0.02</v>
      </c>
      <c r="R7">
        <v>0.02</v>
      </c>
      <c r="S7">
        <v>0.02</v>
      </c>
      <c r="T7">
        <v>0.02</v>
      </c>
      <c r="U7">
        <v>0.01</v>
      </c>
    </row>
    <row r="8" spans="1:21" x14ac:dyDescent="0.25">
      <c r="A8" t="s">
        <v>13</v>
      </c>
      <c r="B8" s="3">
        <v>1.25</v>
      </c>
      <c r="C8" s="3">
        <v>1.51</v>
      </c>
      <c r="D8" s="3">
        <v>1.4</v>
      </c>
      <c r="E8" s="3">
        <v>1.59</v>
      </c>
      <c r="F8" s="3">
        <v>1.55</v>
      </c>
      <c r="G8">
        <v>0.01</v>
      </c>
      <c r="H8">
        <v>0.02</v>
      </c>
      <c r="I8">
        <v>0.01</v>
      </c>
      <c r="J8">
        <v>0.01</v>
      </c>
      <c r="K8">
        <v>0.01</v>
      </c>
      <c r="L8">
        <v>0.01</v>
      </c>
      <c r="M8">
        <v>0.01</v>
      </c>
      <c r="N8">
        <v>0.02</v>
      </c>
      <c r="O8">
        <v>0.02</v>
      </c>
      <c r="P8">
        <v>0.02</v>
      </c>
      <c r="Q8">
        <v>0.02</v>
      </c>
      <c r="R8">
        <v>0.02</v>
      </c>
      <c r="S8">
        <v>0.02</v>
      </c>
      <c r="T8">
        <v>0.02</v>
      </c>
      <c r="U8">
        <v>0.01</v>
      </c>
    </row>
    <row r="9" spans="1:21" x14ac:dyDescent="0.25">
      <c r="A9" t="s">
        <v>14</v>
      </c>
      <c r="B9" s="3">
        <v>1.17</v>
      </c>
      <c r="C9" s="3">
        <v>1.38</v>
      </c>
      <c r="D9" s="3">
        <v>1.31</v>
      </c>
      <c r="E9" s="3">
        <v>1.52</v>
      </c>
      <c r="F9" s="3">
        <v>1.5</v>
      </c>
      <c r="G9" s="3">
        <v>1.4</v>
      </c>
      <c r="H9">
        <v>0.02</v>
      </c>
      <c r="I9">
        <v>0.01</v>
      </c>
      <c r="J9">
        <v>0.01</v>
      </c>
      <c r="K9">
        <v>0.01</v>
      </c>
      <c r="L9">
        <v>0.01</v>
      </c>
      <c r="M9">
        <v>0.01</v>
      </c>
      <c r="N9">
        <v>0.02</v>
      </c>
      <c r="O9">
        <v>0.02</v>
      </c>
      <c r="P9">
        <v>0.02</v>
      </c>
      <c r="Q9">
        <v>0.02</v>
      </c>
      <c r="R9">
        <v>0.02</v>
      </c>
      <c r="S9">
        <v>0.02</v>
      </c>
      <c r="T9">
        <v>0.02</v>
      </c>
      <c r="U9">
        <v>0.01</v>
      </c>
    </row>
    <row r="10" spans="1:21" x14ac:dyDescent="0.25">
      <c r="A10" t="s">
        <v>15</v>
      </c>
      <c r="B10" s="3">
        <v>0.99</v>
      </c>
      <c r="C10" s="3">
        <v>1.17</v>
      </c>
      <c r="D10" s="3">
        <v>1.1499999999999999</v>
      </c>
      <c r="E10" s="3">
        <v>1.21</v>
      </c>
      <c r="F10" s="3">
        <v>1.18</v>
      </c>
      <c r="G10" s="3">
        <v>1.1000000000000001</v>
      </c>
      <c r="H10" s="3">
        <v>0.97</v>
      </c>
      <c r="I10">
        <v>0.02</v>
      </c>
      <c r="J10">
        <v>0.02</v>
      </c>
      <c r="K10">
        <v>0.02</v>
      </c>
      <c r="L10">
        <v>0.01</v>
      </c>
      <c r="M10">
        <v>0.01</v>
      </c>
      <c r="N10">
        <v>0.02</v>
      </c>
      <c r="O10">
        <v>0.02</v>
      </c>
      <c r="P10">
        <v>0.02</v>
      </c>
      <c r="Q10">
        <v>0.02</v>
      </c>
      <c r="R10">
        <v>0.02</v>
      </c>
      <c r="S10">
        <v>0.02</v>
      </c>
      <c r="T10">
        <v>0.02</v>
      </c>
      <c r="U10">
        <v>0.02</v>
      </c>
    </row>
    <row r="11" spans="1:21" x14ac:dyDescent="0.25">
      <c r="A11" t="s">
        <v>16</v>
      </c>
      <c r="B11" s="3">
        <v>0.92</v>
      </c>
      <c r="C11" s="3">
        <v>1.1499999999999999</v>
      </c>
      <c r="D11" s="3">
        <v>1.05</v>
      </c>
      <c r="E11" s="3">
        <v>1.22</v>
      </c>
      <c r="F11" s="3">
        <v>1.18</v>
      </c>
      <c r="G11" s="3">
        <v>1.04</v>
      </c>
      <c r="H11" s="3">
        <v>0.87</v>
      </c>
      <c r="I11" s="3">
        <v>0.81</v>
      </c>
      <c r="J11">
        <v>0.01</v>
      </c>
      <c r="K11">
        <v>0.01</v>
      </c>
      <c r="L11">
        <v>0.01</v>
      </c>
      <c r="M11">
        <v>0.01</v>
      </c>
      <c r="N11">
        <v>0.02</v>
      </c>
      <c r="O11">
        <v>0.02</v>
      </c>
      <c r="P11">
        <v>0.02</v>
      </c>
      <c r="Q11">
        <v>0.02</v>
      </c>
      <c r="R11">
        <v>0.02</v>
      </c>
      <c r="S11">
        <v>0.02</v>
      </c>
      <c r="T11">
        <v>0.02</v>
      </c>
      <c r="U11">
        <v>0.01</v>
      </c>
    </row>
    <row r="12" spans="1:21" x14ac:dyDescent="0.25">
      <c r="A12" t="s">
        <v>17</v>
      </c>
      <c r="B12" s="3">
        <v>0.98</v>
      </c>
      <c r="C12" s="3">
        <v>1.2</v>
      </c>
      <c r="D12" s="3">
        <v>0.99</v>
      </c>
      <c r="E12" s="3">
        <v>1.24</v>
      </c>
      <c r="F12" s="3">
        <v>1.26</v>
      </c>
      <c r="G12" s="3">
        <v>1.19</v>
      </c>
      <c r="H12" s="3">
        <v>0.77</v>
      </c>
      <c r="I12" s="3">
        <v>0.81</v>
      </c>
      <c r="J12" s="3">
        <v>1.02</v>
      </c>
      <c r="K12">
        <v>0.01</v>
      </c>
      <c r="L12">
        <v>0.01</v>
      </c>
      <c r="M12">
        <v>0.01</v>
      </c>
      <c r="N12">
        <v>0.03</v>
      </c>
      <c r="O12">
        <v>0.02</v>
      </c>
      <c r="P12">
        <v>0.02</v>
      </c>
      <c r="Q12">
        <v>0.02</v>
      </c>
      <c r="R12">
        <v>0.02</v>
      </c>
      <c r="S12">
        <v>0.02</v>
      </c>
      <c r="T12">
        <v>0.02</v>
      </c>
      <c r="U12">
        <v>0.01</v>
      </c>
    </row>
    <row r="13" spans="1:21" x14ac:dyDescent="0.25">
      <c r="A13" t="s">
        <v>18</v>
      </c>
      <c r="B13" s="3">
        <v>0.98</v>
      </c>
      <c r="C13" s="3">
        <v>1.03</v>
      </c>
      <c r="D13" s="3">
        <v>0.84</v>
      </c>
      <c r="E13" s="3">
        <v>1.06</v>
      </c>
      <c r="F13" s="3">
        <v>1.1299999999999999</v>
      </c>
      <c r="G13" s="3">
        <v>1.01</v>
      </c>
      <c r="H13" s="3">
        <v>0.71</v>
      </c>
      <c r="I13" s="3">
        <v>0.72</v>
      </c>
      <c r="J13" s="3">
        <v>0.82</v>
      </c>
      <c r="K13" s="3">
        <v>0.56000000000000005</v>
      </c>
      <c r="L13">
        <v>0.01</v>
      </c>
      <c r="M13">
        <v>0.01</v>
      </c>
      <c r="N13">
        <v>0.02</v>
      </c>
      <c r="O13">
        <v>0.02</v>
      </c>
      <c r="P13">
        <v>0.01</v>
      </c>
      <c r="Q13">
        <v>0.02</v>
      </c>
      <c r="R13">
        <v>0.02</v>
      </c>
      <c r="S13">
        <v>0.02</v>
      </c>
      <c r="T13">
        <v>0</v>
      </c>
      <c r="U13">
        <v>0.01</v>
      </c>
    </row>
    <row r="14" spans="1:21" x14ac:dyDescent="0.25">
      <c r="A14" t="s">
        <v>19</v>
      </c>
      <c r="B14" s="3">
        <v>0.8</v>
      </c>
      <c r="C14" s="3">
        <v>0.91</v>
      </c>
      <c r="D14" s="3">
        <v>0.76</v>
      </c>
      <c r="E14" s="3">
        <v>0.98</v>
      </c>
      <c r="F14" s="3">
        <v>0.9</v>
      </c>
      <c r="G14" s="3">
        <v>0.87</v>
      </c>
      <c r="H14" s="3">
        <v>0.56000000000000005</v>
      </c>
      <c r="I14" s="3">
        <v>0.57999999999999996</v>
      </c>
      <c r="J14" s="3">
        <v>0.64</v>
      </c>
      <c r="K14" s="3">
        <v>0.55000000000000004</v>
      </c>
      <c r="L14" s="3">
        <v>0.43</v>
      </c>
      <c r="M14">
        <v>0.01</v>
      </c>
      <c r="N14">
        <v>0.02</v>
      </c>
      <c r="O14">
        <v>0.02</v>
      </c>
      <c r="P14">
        <v>0.02</v>
      </c>
      <c r="Q14">
        <v>0.01</v>
      </c>
      <c r="R14">
        <v>0.02</v>
      </c>
      <c r="S14">
        <v>0.02</v>
      </c>
      <c r="T14">
        <v>0</v>
      </c>
      <c r="U14">
        <v>0.01</v>
      </c>
    </row>
    <row r="15" spans="1:21" x14ac:dyDescent="0.25">
      <c r="A15" t="s">
        <v>20</v>
      </c>
      <c r="B15" s="3">
        <v>0.77</v>
      </c>
      <c r="C15" s="3">
        <v>0.86</v>
      </c>
      <c r="D15" s="3">
        <v>0.68</v>
      </c>
      <c r="E15" s="3">
        <v>0.9</v>
      </c>
      <c r="F15" s="3">
        <v>0.93</v>
      </c>
      <c r="G15" s="3">
        <v>0.83</v>
      </c>
      <c r="H15" s="3">
        <v>0.51</v>
      </c>
      <c r="I15" s="3">
        <v>0.52</v>
      </c>
      <c r="J15" s="3">
        <v>0.59</v>
      </c>
      <c r="K15" s="3">
        <v>0.47</v>
      </c>
      <c r="L15" s="3">
        <v>0.45</v>
      </c>
      <c r="M15" s="3">
        <v>0.28000000000000003</v>
      </c>
      <c r="N15">
        <v>0.02</v>
      </c>
      <c r="O15">
        <v>0.02</v>
      </c>
      <c r="P15">
        <v>0.01</v>
      </c>
      <c r="Q15">
        <v>0.02</v>
      </c>
      <c r="R15">
        <v>0.02</v>
      </c>
      <c r="S15">
        <v>0.02</v>
      </c>
      <c r="T15">
        <v>0</v>
      </c>
      <c r="U15">
        <v>0.01</v>
      </c>
    </row>
    <row r="16" spans="1:21" x14ac:dyDescent="0.25">
      <c r="A16" t="s">
        <v>21</v>
      </c>
      <c r="B16" s="3">
        <v>0.81</v>
      </c>
      <c r="C16" s="3">
        <v>1.02</v>
      </c>
      <c r="D16" s="3">
        <v>0.72</v>
      </c>
      <c r="E16" s="3">
        <v>0.95</v>
      </c>
      <c r="F16" s="3">
        <v>0.98</v>
      </c>
      <c r="G16" s="3">
        <v>0.85</v>
      </c>
      <c r="H16" s="3">
        <v>0.59</v>
      </c>
      <c r="I16" s="3">
        <v>0.63</v>
      </c>
      <c r="J16" s="3">
        <v>0.75</v>
      </c>
      <c r="K16" s="3">
        <v>0.33</v>
      </c>
      <c r="L16" s="3">
        <v>0.35</v>
      </c>
      <c r="M16" s="3">
        <v>0.26</v>
      </c>
      <c r="N16" s="3">
        <v>-0.28000000000000003</v>
      </c>
      <c r="O16">
        <v>0.06</v>
      </c>
      <c r="P16">
        <v>0.03</v>
      </c>
      <c r="Q16">
        <v>0.02</v>
      </c>
      <c r="R16">
        <v>0.03</v>
      </c>
      <c r="S16">
        <v>0.04</v>
      </c>
      <c r="T16">
        <v>0.01</v>
      </c>
      <c r="U16">
        <v>0.02</v>
      </c>
    </row>
    <row r="17" spans="1:21" x14ac:dyDescent="0.25">
      <c r="A17" t="s">
        <v>22</v>
      </c>
      <c r="B17" s="3">
        <v>0.73</v>
      </c>
      <c r="C17" s="3">
        <v>0.95</v>
      </c>
      <c r="D17" s="3">
        <v>0.7</v>
      </c>
      <c r="E17" s="3">
        <v>0.87</v>
      </c>
      <c r="F17" s="3">
        <v>1</v>
      </c>
      <c r="G17" s="3">
        <v>0.89</v>
      </c>
      <c r="H17" s="3">
        <v>0.6</v>
      </c>
      <c r="I17" s="3">
        <v>0.6</v>
      </c>
      <c r="J17" s="3">
        <v>0.77</v>
      </c>
      <c r="K17" s="3">
        <v>0.49</v>
      </c>
      <c r="L17" s="3">
        <v>0.38</v>
      </c>
      <c r="M17" s="3">
        <v>0.38</v>
      </c>
      <c r="N17" s="3">
        <v>0.53</v>
      </c>
      <c r="O17" s="3">
        <v>0.66</v>
      </c>
      <c r="P17">
        <v>0.01</v>
      </c>
      <c r="Q17">
        <v>0.04</v>
      </c>
      <c r="R17">
        <v>0.03</v>
      </c>
      <c r="S17">
        <v>0.05</v>
      </c>
      <c r="T17">
        <v>0</v>
      </c>
      <c r="U17">
        <v>0.02</v>
      </c>
    </row>
    <row r="18" spans="1:21" x14ac:dyDescent="0.25">
      <c r="A18" t="s">
        <v>23</v>
      </c>
      <c r="B18" s="3">
        <v>0.64</v>
      </c>
      <c r="C18" s="3">
        <v>0.81</v>
      </c>
      <c r="D18" s="3">
        <v>0.53</v>
      </c>
      <c r="E18" s="3">
        <v>0.88</v>
      </c>
      <c r="F18" s="3">
        <v>0.79</v>
      </c>
      <c r="G18" s="3">
        <v>0.72</v>
      </c>
      <c r="H18" s="3">
        <v>0.52</v>
      </c>
      <c r="I18" s="3">
        <v>0.51</v>
      </c>
      <c r="J18" s="3">
        <v>0.47</v>
      </c>
      <c r="K18" s="3">
        <v>-0.06</v>
      </c>
      <c r="L18" s="3">
        <v>0.2</v>
      </c>
      <c r="M18" s="3">
        <v>0.04</v>
      </c>
      <c r="N18" s="3">
        <v>-0.23</v>
      </c>
      <c r="O18" s="3">
        <v>-0.02</v>
      </c>
      <c r="P18" s="3">
        <v>-1.58</v>
      </c>
      <c r="Q18">
        <v>0.1</v>
      </c>
      <c r="R18">
        <v>0.03</v>
      </c>
      <c r="S18">
        <v>0.04</v>
      </c>
      <c r="T18">
        <v>0.04</v>
      </c>
      <c r="U18">
        <v>0.02</v>
      </c>
    </row>
    <row r="19" spans="1:21" x14ac:dyDescent="0.25">
      <c r="A19" t="s">
        <v>24</v>
      </c>
      <c r="B19" s="3">
        <v>0.68</v>
      </c>
      <c r="C19" s="3">
        <v>0.64</v>
      </c>
      <c r="D19" s="3">
        <v>0.52</v>
      </c>
      <c r="E19" s="3">
        <v>0.79</v>
      </c>
      <c r="F19" s="3">
        <v>0.68</v>
      </c>
      <c r="G19" s="3">
        <v>0.62</v>
      </c>
      <c r="H19" s="3">
        <v>0.53</v>
      </c>
      <c r="I19" s="3">
        <v>0.56999999999999995</v>
      </c>
      <c r="J19" s="3">
        <v>0.51</v>
      </c>
      <c r="K19" s="3">
        <v>0.23</v>
      </c>
      <c r="L19" s="3">
        <v>0.28999999999999998</v>
      </c>
      <c r="M19" s="3">
        <v>0.12</v>
      </c>
      <c r="N19" s="3">
        <v>-0.12</v>
      </c>
      <c r="O19" s="3">
        <v>0.27</v>
      </c>
      <c r="P19" s="3">
        <v>-0.93</v>
      </c>
      <c r="Q19" s="3">
        <v>-0.66</v>
      </c>
      <c r="R19">
        <v>0.03</v>
      </c>
      <c r="S19">
        <v>0.03</v>
      </c>
      <c r="T19">
        <v>0.05</v>
      </c>
      <c r="U19">
        <v>0.02</v>
      </c>
    </row>
    <row r="20" spans="1:21" x14ac:dyDescent="0.25">
      <c r="A20" t="s">
        <v>25</v>
      </c>
      <c r="B20" s="3">
        <v>0.91</v>
      </c>
      <c r="C20" s="3">
        <v>1.05</v>
      </c>
      <c r="D20" s="3">
        <v>0.92</v>
      </c>
      <c r="E20" s="3">
        <v>0.94</v>
      </c>
      <c r="F20" s="3">
        <v>0.98</v>
      </c>
      <c r="G20" s="3">
        <v>0.83</v>
      </c>
      <c r="H20" s="3">
        <v>0.82</v>
      </c>
      <c r="I20" s="3">
        <v>0.76</v>
      </c>
      <c r="J20" s="3">
        <v>0.65</v>
      </c>
      <c r="K20" s="3">
        <v>0.56000000000000005</v>
      </c>
      <c r="L20" s="3">
        <v>0.56999999999999995</v>
      </c>
      <c r="M20" s="3">
        <v>0.49</v>
      </c>
      <c r="N20" s="3">
        <v>0.38</v>
      </c>
      <c r="O20" s="3">
        <v>0.59</v>
      </c>
      <c r="P20" s="3">
        <v>0.42</v>
      </c>
      <c r="Q20" s="3">
        <v>0.62</v>
      </c>
      <c r="R20" s="3">
        <v>0.8</v>
      </c>
      <c r="S20">
        <v>0.03</v>
      </c>
      <c r="T20">
        <v>0</v>
      </c>
      <c r="U20">
        <v>0.02</v>
      </c>
    </row>
    <row r="21" spans="1:21" x14ac:dyDescent="0.25">
      <c r="A21" t="s">
        <v>26</v>
      </c>
      <c r="B21" s="3">
        <v>0.57999999999999996</v>
      </c>
      <c r="C21" s="3">
        <v>0.87</v>
      </c>
      <c r="D21" s="3">
        <v>0.69</v>
      </c>
      <c r="E21" s="3">
        <v>0.96</v>
      </c>
      <c r="F21" s="3">
        <v>0.95</v>
      </c>
      <c r="G21" s="3">
        <v>0.75</v>
      </c>
      <c r="H21" s="3">
        <v>0.66</v>
      </c>
      <c r="I21" s="3">
        <v>0.67</v>
      </c>
      <c r="J21" s="3">
        <v>0.53</v>
      </c>
      <c r="K21" s="3">
        <v>0.38</v>
      </c>
      <c r="L21" s="3">
        <v>0.43</v>
      </c>
      <c r="M21" s="3">
        <v>0.4</v>
      </c>
      <c r="N21" s="3">
        <v>0.36</v>
      </c>
      <c r="O21" s="3">
        <v>0.33</v>
      </c>
      <c r="P21" s="3">
        <v>1.01</v>
      </c>
      <c r="Q21" s="3">
        <v>1</v>
      </c>
      <c r="R21" s="3">
        <v>0.49</v>
      </c>
      <c r="S21" s="3">
        <v>-0.02</v>
      </c>
      <c r="T21">
        <v>0.09</v>
      </c>
      <c r="U21">
        <v>0.02</v>
      </c>
    </row>
    <row r="22" spans="1:21" x14ac:dyDescent="0.25">
      <c r="A22" t="s">
        <v>27</v>
      </c>
      <c r="B22" s="3">
        <v>0.59</v>
      </c>
      <c r="C22" s="3">
        <v>0.81</v>
      </c>
      <c r="D22" s="3">
        <v>0.55000000000000004</v>
      </c>
      <c r="E22" s="3">
        <v>0.96</v>
      </c>
      <c r="F22" s="3">
        <v>0.97</v>
      </c>
      <c r="G22" s="3">
        <v>0.85</v>
      </c>
      <c r="H22" s="3">
        <v>0.5</v>
      </c>
      <c r="I22" s="3">
        <v>0.62</v>
      </c>
      <c r="J22" s="3">
        <v>0.68</v>
      </c>
      <c r="K22" s="3">
        <v>-0.01</v>
      </c>
      <c r="L22" s="3">
        <v>0</v>
      </c>
      <c r="M22" s="3">
        <v>-0.01</v>
      </c>
      <c r="N22" s="3">
        <v>-0.02</v>
      </c>
      <c r="O22" s="3">
        <v>0</v>
      </c>
      <c r="P22" s="3">
        <v>1.3</v>
      </c>
      <c r="Q22" s="3">
        <v>1.0900000000000001</v>
      </c>
      <c r="R22" s="3">
        <v>-0.01</v>
      </c>
      <c r="S22" s="3">
        <v>-0.48</v>
      </c>
      <c r="T22" s="3">
        <v>-11.96</v>
      </c>
      <c r="U22">
        <v>0.02</v>
      </c>
    </row>
    <row r="23" spans="1:21" x14ac:dyDescent="0.25">
      <c r="A23" t="s">
        <v>28</v>
      </c>
      <c r="B23" s="3">
        <v>0.82</v>
      </c>
      <c r="C23" s="3">
        <v>0.95</v>
      </c>
      <c r="D23" s="3">
        <v>0.81</v>
      </c>
      <c r="E23" s="3">
        <v>0.98</v>
      </c>
      <c r="F23" s="3">
        <v>1</v>
      </c>
      <c r="G23" s="3">
        <v>0.92</v>
      </c>
      <c r="H23" s="3">
        <v>0.77</v>
      </c>
      <c r="I23" s="3">
        <v>0.79</v>
      </c>
      <c r="J23" s="3">
        <v>0.74</v>
      </c>
      <c r="K23" s="3">
        <v>0.69</v>
      </c>
      <c r="L23" s="3">
        <v>0.56999999999999995</v>
      </c>
      <c r="M23" s="3">
        <v>0.57999999999999996</v>
      </c>
      <c r="N23" s="3">
        <v>0.62</v>
      </c>
      <c r="O23" s="3">
        <v>0.62</v>
      </c>
      <c r="P23" s="3">
        <v>0.42</v>
      </c>
      <c r="Q23" s="3">
        <v>0.42</v>
      </c>
      <c r="R23" s="3">
        <v>0.61</v>
      </c>
      <c r="S23" s="3">
        <v>0.53</v>
      </c>
      <c r="T23" s="3">
        <v>0.56000000000000005</v>
      </c>
      <c r="U23" s="3">
        <v>0.82</v>
      </c>
    </row>
    <row r="24" spans="1:21" x14ac:dyDescent="0.25">
      <c r="B24">
        <v>0.03</v>
      </c>
      <c r="C24">
        <v>0.03</v>
      </c>
      <c r="D24">
        <v>0.02</v>
      </c>
      <c r="E24">
        <v>0.01</v>
      </c>
      <c r="F24">
        <v>0.01</v>
      </c>
      <c r="G24">
        <v>0.01</v>
      </c>
      <c r="H24">
        <v>0.03</v>
      </c>
      <c r="I24">
        <v>0.02</v>
      </c>
      <c r="J24">
        <v>0.02</v>
      </c>
      <c r="K24">
        <v>0.02</v>
      </c>
      <c r="L24">
        <v>0.01</v>
      </c>
      <c r="M24">
        <v>0.02</v>
      </c>
      <c r="N24">
        <v>7.0000000000000007E-2</v>
      </c>
      <c r="O24">
        <v>0.1</v>
      </c>
      <c r="P24">
        <v>0.25</v>
      </c>
      <c r="Q24">
        <v>0.09</v>
      </c>
      <c r="R24">
        <v>0.04</v>
      </c>
      <c r="S24">
        <v>0.01</v>
      </c>
      <c r="T24">
        <v>18</v>
      </c>
      <c r="U24">
        <v>0.02</v>
      </c>
    </row>
    <row r="30" spans="1:21" x14ac:dyDescent="0.25">
      <c r="B30" s="4"/>
    </row>
  </sheetData>
  <mergeCells count="2">
    <mergeCell ref="A1:U1"/>
    <mergeCell ref="A2:U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workbookViewId="0">
      <selection activeCell="B3" sqref="B3:U3"/>
    </sheetView>
  </sheetViews>
  <sheetFormatPr defaultRowHeight="15" x14ac:dyDescent="0.25"/>
  <sheetData>
    <row r="1" spans="1:21" x14ac:dyDescent="0.25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L1" t="s">
        <v>19</v>
      </c>
      <c r="M1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</row>
    <row r="2" spans="1:21" x14ac:dyDescent="0.25">
      <c r="A2" t="s">
        <v>0</v>
      </c>
      <c r="B2">
        <v>2.3203999999999998</v>
      </c>
      <c r="C2">
        <v>2.4984000000000002</v>
      </c>
      <c r="D2">
        <v>2.2823000000000002</v>
      </c>
      <c r="E2">
        <v>2.5918999999999999</v>
      </c>
      <c r="F2">
        <v>2.8904999999999998</v>
      </c>
      <c r="G2">
        <v>2.7250999999999999</v>
      </c>
      <c r="H2">
        <v>1.6947000000000001</v>
      </c>
      <c r="I2">
        <v>2.1345999999999998</v>
      </c>
      <c r="J2">
        <v>2.4365999999999999</v>
      </c>
      <c r="K2">
        <v>2.3359000000000001</v>
      </c>
      <c r="L2">
        <v>2.6046999999999998</v>
      </c>
      <c r="M2">
        <v>2.4470999999999998</v>
      </c>
      <c r="N2">
        <v>2.6269</v>
      </c>
      <c r="O2">
        <v>2.6953999999999998</v>
      </c>
      <c r="P2">
        <v>2.5933000000000002</v>
      </c>
      <c r="Q2">
        <v>2.5097999999999998</v>
      </c>
      <c r="R2">
        <v>2.3409</v>
      </c>
      <c r="S2">
        <v>2.3694000000000002</v>
      </c>
      <c r="T2">
        <v>2.7248999999999999</v>
      </c>
      <c r="U2">
        <v>2.7229999999999999</v>
      </c>
    </row>
    <row r="3" spans="1:21" x14ac:dyDescent="0.25">
      <c r="A3" t="s">
        <v>1</v>
      </c>
      <c r="B3">
        <v>5.7866</v>
      </c>
      <c r="C3">
        <v>3.5449000000000002</v>
      </c>
      <c r="D3">
        <v>6.3367000000000004</v>
      </c>
      <c r="E3">
        <v>4.4859</v>
      </c>
      <c r="F3">
        <v>3.3121</v>
      </c>
      <c r="G3">
        <v>3.7770000000000001</v>
      </c>
      <c r="H3">
        <v>9.2904</v>
      </c>
      <c r="I3">
        <v>4.8606999999999996</v>
      </c>
      <c r="J3">
        <v>2.1574</v>
      </c>
      <c r="K3">
        <v>2.5196999999999998</v>
      </c>
      <c r="L3">
        <v>3.0722999999999998</v>
      </c>
      <c r="M3">
        <v>2.2431999999999999</v>
      </c>
      <c r="N3">
        <v>1.1813</v>
      </c>
      <c r="O3">
        <v>0.76339999999999997</v>
      </c>
      <c r="P3">
        <v>1.2819</v>
      </c>
      <c r="Q3">
        <v>1.4060999999999999</v>
      </c>
      <c r="R3">
        <v>3.3570000000000002</v>
      </c>
      <c r="S3">
        <v>1.8119000000000001</v>
      </c>
      <c r="T3">
        <v>0.2712</v>
      </c>
      <c r="U3">
        <v>3.3319999999999999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B1" sqref="B1"/>
    </sheetView>
  </sheetViews>
  <sheetFormatPr defaultRowHeight="15" x14ac:dyDescent="0.25"/>
  <sheetData>
    <row r="1" spans="1:1" x14ac:dyDescent="0.25">
      <c r="A1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32"/>
  <sheetViews>
    <sheetView workbookViewId="0">
      <selection activeCell="H2" sqref="H2"/>
    </sheetView>
  </sheetViews>
  <sheetFormatPr defaultRowHeight="15" x14ac:dyDescent="0.25"/>
  <cols>
    <col min="2" max="2" width="12.140625" style="5" bestFit="1" customWidth="1"/>
    <col min="3" max="3" width="10.5703125" style="5" bestFit="1" customWidth="1"/>
    <col min="4" max="4" width="12.5703125" style="5" bestFit="1" customWidth="1"/>
    <col min="5" max="5" width="11.5703125" style="5" bestFit="1" customWidth="1"/>
    <col min="6" max="6" width="10.5703125" style="5" bestFit="1" customWidth="1"/>
    <col min="7" max="7" width="11.5703125" style="5" bestFit="1" customWidth="1"/>
    <col min="8" max="8" width="13.7109375" style="5" bestFit="1" customWidth="1"/>
    <col min="9" max="9" width="11.5703125" style="5" bestFit="1" customWidth="1"/>
    <col min="10" max="21" width="10.5703125" style="5" bestFit="1" customWidth="1"/>
  </cols>
  <sheetData>
    <row r="1" spans="1:21" x14ac:dyDescent="0.25">
      <c r="B1" s="5" t="s">
        <v>29</v>
      </c>
      <c r="C1" s="5" t="str">
        <f>shape_factors!B1</f>
        <v>Cys</v>
      </c>
      <c r="H1" s="5">
        <f>20*20*128/2</f>
        <v>25600</v>
      </c>
    </row>
    <row r="2" spans="1:21" x14ac:dyDescent="0.25">
      <c r="B2" s="5" t="s">
        <v>4</v>
      </c>
      <c r="C2" s="5">
        <f>interaction_energies!B4</f>
        <v>1.05</v>
      </c>
      <c r="H2" s="5">
        <f>H1*32</f>
        <v>819200</v>
      </c>
    </row>
    <row r="3" spans="1:21" x14ac:dyDescent="0.25">
      <c r="B3" s="5" t="s">
        <v>5</v>
      </c>
      <c r="C3" s="5">
        <f>shape_factors!B2</f>
        <v>2.3203999999999998</v>
      </c>
    </row>
    <row r="4" spans="1:21" x14ac:dyDescent="0.25">
      <c r="B4" s="5" t="s">
        <v>6</v>
      </c>
      <c r="C4" s="5">
        <f>shape_factors!B3</f>
        <v>5.7866</v>
      </c>
    </row>
    <row r="6" spans="1:21" x14ac:dyDescent="0.25">
      <c r="A6" t="s">
        <v>3</v>
      </c>
      <c r="B6" s="6" t="str">
        <f>interaction_energies!B3</f>
        <v>Cys</v>
      </c>
      <c r="C6" s="6" t="str">
        <f>interaction_energies!C3</f>
        <v>Met</v>
      </c>
      <c r="D6" s="6" t="str">
        <f>interaction_energies!D3</f>
        <v>Phe</v>
      </c>
      <c r="E6" s="6" t="str">
        <f>interaction_energies!E3</f>
        <v>Ile</v>
      </c>
      <c r="F6" s="6" t="str">
        <f>interaction_energies!F3</f>
        <v>Leu</v>
      </c>
      <c r="G6" s="6" t="str">
        <f>interaction_energies!G3</f>
        <v>Val</v>
      </c>
      <c r="H6" s="6" t="str">
        <f>interaction_energies!H3</f>
        <v>Trp</v>
      </c>
      <c r="I6" s="6" t="str">
        <f>interaction_energies!I3</f>
        <v>Tyr</v>
      </c>
      <c r="J6" s="6" t="str">
        <f>interaction_energies!J3</f>
        <v>Ala</v>
      </c>
      <c r="K6" s="6" t="str">
        <f>interaction_energies!K3</f>
        <v>Gly</v>
      </c>
      <c r="L6" s="6" t="str">
        <f>interaction_energies!L3</f>
        <v>Thr</v>
      </c>
      <c r="M6" s="6" t="str">
        <f>interaction_energies!M3</f>
        <v>Ser</v>
      </c>
      <c r="N6" s="6" t="str">
        <f>interaction_energies!N3</f>
        <v>Gln</v>
      </c>
      <c r="O6" s="6" t="str">
        <f>interaction_energies!O3</f>
        <v>Asn</v>
      </c>
      <c r="P6" s="6" t="str">
        <f>interaction_energies!P3</f>
        <v>Glu</v>
      </c>
      <c r="Q6" s="6" t="str">
        <f>interaction_energies!Q3</f>
        <v>Asp</v>
      </c>
      <c r="R6" s="6" t="str">
        <f>interaction_energies!R3</f>
        <v>His</v>
      </c>
      <c r="S6" s="6" t="str">
        <f>interaction_energies!S3</f>
        <v>Arg</v>
      </c>
      <c r="T6" s="6" t="str">
        <f>interaction_energies!T3</f>
        <v>Lys</v>
      </c>
      <c r="U6" s="6" t="str">
        <f>interaction_energies!U3</f>
        <v>Pro</v>
      </c>
    </row>
    <row r="7" spans="1:21" x14ac:dyDescent="0.25">
      <c r="A7">
        <v>2</v>
      </c>
      <c r="B7" s="5">
        <f>EnergyLJ($A7,$C$2,$C$3,shape_factors!B$2,$C$4,shape_factors!B$3)</f>
        <v>92482235.292696923</v>
      </c>
      <c r="C7" s="5">
        <f>EnergyLJ($A7,$C$2,$C$3,shape_factors!C$2,$C$4,shape_factors!C$3)</f>
        <v>9773321.3499585614</v>
      </c>
      <c r="D7" s="5">
        <f>EnergyLJ($A7,$C$2,$C$3,shape_factors!D$2,$C$4,shape_factors!D$3)</f>
        <v>163474327.44543222</v>
      </c>
      <c r="E7" s="5">
        <f>EnergyLJ($A7,$C$2,$C$3,shape_factors!E$2,$C$4,shape_factors!E$3)</f>
        <v>24326990.402823687</v>
      </c>
      <c r="F7" s="5">
        <f>EnergyLJ($A7,$C$2,$C$3,shape_factors!F$2,$C$4,shape_factors!F$3)</f>
        <v>7908272.8301377771</v>
      </c>
      <c r="G7" s="5">
        <f>EnergyLJ($A7,$C$2,$C$3,shape_factors!G$2,$C$4,shape_factors!G$3)</f>
        <v>12147860.722137377</v>
      </c>
      <c r="H7" s="5">
        <f>EnergyLJ($A7,$C$2,$C$3,shape_factors!H$2,$C$4,shape_factors!H$3)</f>
        <v>3030630490.6196094</v>
      </c>
      <c r="I7" s="5">
        <f>EnergyLJ($A7,$C$2,$C$3,shape_factors!I$2,$C$4,shape_factors!I$3)</f>
        <v>35568476.680554979</v>
      </c>
      <c r="J7" s="5">
        <f>EnergyLJ($A7,$C$2,$C$3,shape_factors!J$2,$C$4,shape_factors!J$3)</f>
        <v>3152184.7027843106</v>
      </c>
      <c r="K7" s="5">
        <f>EnergyLJ($A7,$C$2,$C$3,shape_factors!K$2,$C$4,shape_factors!K$3)</f>
        <v>4092121.4741876409</v>
      </c>
      <c r="L7" s="5">
        <f>EnergyLJ($A7,$C$2,$C$3,shape_factors!L$2,$C$4,shape_factors!L$3)</f>
        <v>6408032.5290413415</v>
      </c>
      <c r="M7" s="5">
        <f>EnergyLJ($A7,$C$2,$C$3,shape_factors!M$2,$C$4,shape_factors!M$3)</f>
        <v>3344229.7649805504</v>
      </c>
      <c r="N7" s="5">
        <f>EnergyLJ($A7,$C$2,$C$3,shape_factors!N$2,$C$4,shape_factors!N$3)</f>
        <v>1843776.8569325053</v>
      </c>
      <c r="O7" s="5">
        <f>EnergyLJ($A7,$C$2,$C$3,shape_factors!O$2,$C$4,shape_factors!O$3)</f>
        <v>1600401.107373694</v>
      </c>
      <c r="P7" s="5">
        <f>EnergyLJ($A7,$C$2,$C$3,shape_factors!P$2,$C$4,shape_factors!P$3)</f>
        <v>1923839.0241185341</v>
      </c>
      <c r="Q7" s="5">
        <f>EnergyLJ($A7,$C$2,$C$3,shape_factors!Q$2,$C$4,shape_factors!Q$3)</f>
        <v>2036265.7087776335</v>
      </c>
      <c r="R7" s="5">
        <f>EnergyLJ($A7,$C$2,$C$3,shape_factors!R$2,$C$4,shape_factors!R$3)</f>
        <v>8233439.2068876363</v>
      </c>
      <c r="S7" s="5">
        <f>EnergyLJ($A7,$C$2,$C$3,shape_factors!S$2,$C$4,shape_factors!S$3)</f>
        <v>2530055.6110529774</v>
      </c>
      <c r="T7" s="5">
        <f>EnergyLJ($A7,$C$2,$C$3,shape_factors!T$2,$C$4,shape_factors!T$3)</f>
        <v>1462015.9414268248</v>
      </c>
      <c r="U7" s="5">
        <f>EnergyLJ($A7,$C$2,$C$3,shape_factors!U$2,$C$4,shape_factors!U$3)</f>
        <v>8050503.4086783789</v>
      </c>
    </row>
    <row r="8" spans="1:21" x14ac:dyDescent="0.25">
      <c r="A8">
        <v>2.2000000000000002</v>
      </c>
      <c r="B8" s="5">
        <f>EnergyLJ($A8,$C$2,$C$3,shape_factors!B$2,$C$4,shape_factors!B$3)</f>
        <v>29462844.537121493</v>
      </c>
      <c r="C8" s="5">
        <f>EnergyLJ($A8,$C$2,$C$3,shape_factors!C$2,$C$4,shape_factors!C$3)</f>
        <v>3112505.7729103025</v>
      </c>
      <c r="D8" s="5">
        <f>EnergyLJ($A8,$C$2,$C$3,shape_factors!D$2,$C$4,shape_factors!D$3)</f>
        <v>52081516.308838598</v>
      </c>
      <c r="E8" s="5">
        <f>EnergyLJ($A8,$C$2,$C$3,shape_factors!E$2,$C$4,shape_factors!E$3)</f>
        <v>7748843.3253590595</v>
      </c>
      <c r="F8" s="5">
        <f>EnergyLJ($A8,$C$2,$C$3,shape_factors!F$2,$C$4,shape_factors!F$3)</f>
        <v>2518402.0733598862</v>
      </c>
      <c r="G8" s="5">
        <f>EnergyLJ($A8,$C$2,$C$3,shape_factors!G$2,$C$4,shape_factors!G$3)</f>
        <v>3868926.2463051002</v>
      </c>
      <c r="H8" s="5">
        <f>EnergyLJ($A8,$C$2,$C$3,shape_factors!H$2,$C$4,shape_factors!H$3)</f>
        <v>965624534.54572415</v>
      </c>
      <c r="I8" s="5">
        <f>EnergyLJ($A8,$C$2,$C$3,shape_factors!I$2,$C$4,shape_factors!I$3)</f>
        <v>11330207.494831968</v>
      </c>
      <c r="J8" s="5">
        <f>EnergyLJ($A8,$C$2,$C$3,shape_factors!J$2,$C$4,shape_factors!J$3)</f>
        <v>1003488.156166363</v>
      </c>
      <c r="K8" s="5">
        <f>EnergyLJ($A8,$C$2,$C$3,shape_factors!K$2,$C$4,shape_factors!K$3)</f>
        <v>1302856.3008759024</v>
      </c>
      <c r="L8" s="5">
        <f>EnergyLJ($A8,$C$2,$C$3,shape_factors!L$2,$C$4,shape_factors!L$3)</f>
        <v>2040520.7322860223</v>
      </c>
      <c r="M8" s="5">
        <f>EnergyLJ($A8,$C$2,$C$3,shape_factors!M$2,$C$4,shape_factors!M$3)</f>
        <v>1064652.7852614075</v>
      </c>
      <c r="N8" s="5">
        <f>EnergyLJ($A8,$C$2,$C$3,shape_factors!N$2,$C$4,shape_factors!N$3)</f>
        <v>586799.4839147192</v>
      </c>
      <c r="O8" s="5">
        <f>EnergyLJ($A8,$C$2,$C$3,shape_factors!O$2,$C$4,shape_factors!O$3)</f>
        <v>509299.2189641752</v>
      </c>
      <c r="P8" s="5">
        <f>EnergyLJ($A8,$C$2,$C$3,shape_factors!P$2,$C$4,shape_factors!P$3)</f>
        <v>612295.06215347548</v>
      </c>
      <c r="Q8" s="5">
        <f>EnergyLJ($A8,$C$2,$C$3,shape_factors!Q$2,$C$4,shape_factors!Q$3)</f>
        <v>648097.53937724268</v>
      </c>
      <c r="R8" s="5">
        <f>EnergyLJ($A8,$C$2,$C$3,shape_factors!R$2,$C$4,shape_factors!R$3)</f>
        <v>2621981.2668373757</v>
      </c>
      <c r="S8" s="5">
        <f>EnergyLJ($A8,$C$2,$C$3,shape_factors!S$2,$C$4,shape_factors!S$3)</f>
        <v>805351.77474381565</v>
      </c>
      <c r="T8" s="5">
        <f>EnergyLJ($A8,$C$2,$C$3,shape_factors!T$2,$C$4,shape_factors!T$3)</f>
        <v>465233.62004629418</v>
      </c>
      <c r="U8" s="5">
        <f>EnergyLJ($A8,$C$2,$C$3,shape_factors!U$2,$C$4,shape_factors!U$3)</f>
        <v>2563708.4346429757</v>
      </c>
    </row>
    <row r="9" spans="1:21" x14ac:dyDescent="0.25">
      <c r="A9">
        <v>2.4</v>
      </c>
      <c r="B9" s="5">
        <f>EnergyLJ($A9,$C$2,$C$3,shape_factors!B$2,$C$4,shape_factors!B$3)</f>
        <v>10368107.769957626</v>
      </c>
      <c r="C9" s="5">
        <f>EnergyLJ($A9,$C$2,$C$3,shape_factors!C$2,$C$4,shape_factors!C$3)</f>
        <v>1094715.4868027626</v>
      </c>
      <c r="D9" s="5">
        <f>EnergyLJ($A9,$C$2,$C$3,shape_factors!D$2,$C$4,shape_factors!D$3)</f>
        <v>18328896.772206225</v>
      </c>
      <c r="E9" s="5">
        <f>EnergyLJ($A9,$C$2,$C$3,shape_factors!E$2,$C$4,shape_factors!E$3)</f>
        <v>2726181.9087878773</v>
      </c>
      <c r="F9" s="5">
        <f>EnergyLJ($A9,$C$2,$C$3,shape_factors!F$2,$C$4,shape_factors!F$3)</f>
        <v>885681.24987455807</v>
      </c>
      <c r="G9" s="5">
        <f>EnergyLJ($A9,$C$2,$C$3,shape_factors!G$2,$C$4,shape_factors!G$3)</f>
        <v>1360871.9346544787</v>
      </c>
      <c r="H9" s="5">
        <f>EnergyLJ($A9,$C$2,$C$3,shape_factors!H$2,$C$4,shape_factors!H$3)</f>
        <v>339880247.28059411</v>
      </c>
      <c r="I9" s="5">
        <f>EnergyLJ($A9,$C$2,$C$3,shape_factors!I$2,$C$4,shape_factors!I$3)</f>
        <v>3986518.4540227372</v>
      </c>
      <c r="J9" s="5">
        <f>EnergyLJ($A9,$C$2,$C$3,shape_factors!J$2,$C$4,shape_factors!J$3)</f>
        <v>352727.5642306204</v>
      </c>
      <c r="K9" s="5">
        <f>EnergyLJ($A9,$C$2,$C$3,shape_factors!K$2,$C$4,shape_factors!K$3)</f>
        <v>458034.76674890355</v>
      </c>
      <c r="L9" s="5">
        <f>EnergyLJ($A9,$C$2,$C$3,shape_factors!L$2,$C$4,shape_factors!L$3)</f>
        <v>717547.47688488779</v>
      </c>
      <c r="M9" s="5">
        <f>EnergyLJ($A9,$C$2,$C$3,shape_factors!M$2,$C$4,shape_factors!M$3)</f>
        <v>374242.37258412951</v>
      </c>
      <c r="N9" s="5">
        <f>EnergyLJ($A9,$C$2,$C$3,shape_factors!N$2,$C$4,shape_factors!N$3)</f>
        <v>206171.5364830347</v>
      </c>
      <c r="O9" s="5">
        <f>EnergyLJ($A9,$C$2,$C$3,shape_factors!O$2,$C$4,shape_factors!O$3)</f>
        <v>178917.6826986832</v>
      </c>
      <c r="P9" s="5">
        <f>EnergyLJ($A9,$C$2,$C$3,shape_factors!P$2,$C$4,shape_factors!P$3)</f>
        <v>215137.72670656143</v>
      </c>
      <c r="Q9" s="5">
        <f>EnergyLJ($A9,$C$2,$C$3,shape_factors!Q$2,$C$4,shape_factors!Q$3)</f>
        <v>227728.88986255179</v>
      </c>
      <c r="R9" s="5">
        <f>EnergyLJ($A9,$C$2,$C$3,shape_factors!R$2,$C$4,shape_factors!R$3)</f>
        <v>922124.69751938456</v>
      </c>
      <c r="S9" s="5">
        <f>EnergyLJ($A9,$C$2,$C$3,shape_factors!S$2,$C$4,shape_factors!S$3)</f>
        <v>283036.01582059293</v>
      </c>
      <c r="T9" s="5">
        <f>EnergyLJ($A9,$C$2,$C$3,shape_factors!T$2,$C$4,shape_factors!T$3)</f>
        <v>163422.39704768872</v>
      </c>
      <c r="U9" s="5">
        <f>EnergyLJ($A9,$C$2,$C$3,shape_factors!U$2,$C$4,shape_factors!U$3)</f>
        <v>901621.86344653263</v>
      </c>
    </row>
    <row r="10" spans="1:21" x14ac:dyDescent="0.25">
      <c r="A10">
        <v>2.6</v>
      </c>
      <c r="B10" s="5">
        <f>EnergyLJ($A10,$C$2,$C$3,shape_factors!B$2,$C$4,shape_factors!B$3)</f>
        <v>3966283.3260593535</v>
      </c>
      <c r="C10" s="5">
        <f>EnergyLJ($A10,$C$2,$C$3,shape_factors!C$2,$C$4,shape_factors!C$3)</f>
        <v>418437.62709797593</v>
      </c>
      <c r="D10" s="5">
        <f>EnergyLJ($A10,$C$2,$C$3,shape_factors!D$2,$C$4,shape_factors!D$3)</f>
        <v>7012337.9256827952</v>
      </c>
      <c r="E10" s="5">
        <f>EnergyLJ($A10,$C$2,$C$3,shape_factors!E$2,$C$4,shape_factors!E$3)</f>
        <v>1042502.0138627215</v>
      </c>
      <c r="F10" s="5">
        <f>EnergyLJ($A10,$C$2,$C$3,shape_factors!F$2,$C$4,shape_factors!F$3)</f>
        <v>338491.76853374898</v>
      </c>
      <c r="G10" s="5">
        <f>EnergyLJ($A10,$C$2,$C$3,shape_factors!G$2,$C$4,shape_factors!G$3)</f>
        <v>520236.66787945468</v>
      </c>
      <c r="H10" s="5">
        <f>EnergyLJ($A10,$C$2,$C$3,shape_factors!H$2,$C$4,shape_factors!H$3)</f>
        <v>130062136.91157009</v>
      </c>
      <c r="I10" s="5">
        <f>EnergyLJ($A10,$C$2,$C$3,shape_factors!I$2,$C$4,shape_factors!I$3)</f>
        <v>1524661.6012397117</v>
      </c>
      <c r="J10" s="5">
        <f>EnergyLJ($A10,$C$2,$C$3,shape_factors!J$2,$C$4,shape_factors!J$3)</f>
        <v>134700.0212078687</v>
      </c>
      <c r="K10" s="5">
        <f>EnergyLJ($A10,$C$2,$C$3,shape_factors!K$2,$C$4,shape_factors!K$3)</f>
        <v>174960.67057203315</v>
      </c>
      <c r="L10" s="5">
        <f>EnergyLJ($A10,$C$2,$C$3,shape_factors!L$2,$C$4,shape_factors!L$3)</f>
        <v>274192.98904918908</v>
      </c>
      <c r="M10" s="5">
        <f>EnergyLJ($A10,$C$2,$C$3,shape_factors!M$2,$C$4,shape_factors!M$3)</f>
        <v>142925.03940115054</v>
      </c>
      <c r="N10" s="5">
        <f>EnergyLJ($A10,$C$2,$C$3,shape_factors!N$2,$C$4,shape_factors!N$3)</f>
        <v>78681.129440656339</v>
      </c>
      <c r="O10" s="5">
        <f>EnergyLJ($A10,$C$2,$C$3,shape_factors!O$2,$C$4,shape_factors!O$3)</f>
        <v>68266.194124685717</v>
      </c>
      <c r="P10" s="5">
        <f>EnergyLJ($A10,$C$2,$C$3,shape_factors!P$2,$C$4,shape_factors!P$3)</f>
        <v>82107.737884459406</v>
      </c>
      <c r="Q10" s="5">
        <f>EnergyLJ($A10,$C$2,$C$3,shape_factors!Q$2,$C$4,shape_factors!Q$3)</f>
        <v>86919.865192652433</v>
      </c>
      <c r="R10" s="5">
        <f>EnergyLJ($A10,$C$2,$C$3,shape_factors!R$2,$C$4,shape_factors!R$3)</f>
        <v>352429.28859451908</v>
      </c>
      <c r="S10" s="5">
        <f>EnergyLJ($A10,$C$2,$C$3,shape_factors!S$2,$C$4,shape_factors!S$3)</f>
        <v>108059.22304868809</v>
      </c>
      <c r="T10" s="5">
        <f>EnergyLJ($A10,$C$2,$C$3,shape_factors!T$2,$C$4,shape_factors!T$3)</f>
        <v>62345.256039146479</v>
      </c>
      <c r="U10" s="5">
        <f>EnergyLJ($A10,$C$2,$C$3,shape_factors!U$2,$C$4,shape_factors!U$3)</f>
        <v>344588.11223803967</v>
      </c>
    </row>
    <row r="11" spans="1:21" x14ac:dyDescent="0.25">
      <c r="A11">
        <v>2.8</v>
      </c>
      <c r="B11" s="5">
        <f>EnergyLJ($A11,$C$2,$C$3,shape_factors!B$2,$C$4,shape_factors!B$3)</f>
        <v>1628985.022932007</v>
      </c>
      <c r="C11" s="5">
        <f>EnergyLJ($A11,$C$2,$C$3,shape_factors!C$2,$C$4,shape_factors!C$3)</f>
        <v>171649.35981201316</v>
      </c>
      <c r="D11" s="5">
        <f>EnergyLJ($A11,$C$2,$C$3,shape_factors!D$2,$C$4,shape_factors!D$3)</f>
        <v>2880436.6127920868</v>
      </c>
      <c r="E11" s="5">
        <f>EnergyLJ($A11,$C$2,$C$3,shape_factors!E$2,$C$4,shape_factors!E$3)</f>
        <v>427929.11223340756</v>
      </c>
      <c r="F11" s="5">
        <f>EnergyLJ($A11,$C$2,$C$3,shape_factors!F$2,$C$4,shape_factors!F$3)</f>
        <v>138826.68544294877</v>
      </c>
      <c r="G11" s="5">
        <f>EnergyLJ($A11,$C$2,$C$3,shape_factors!G$2,$C$4,shape_factors!G$3)</f>
        <v>213448.08782560576</v>
      </c>
      <c r="H11" s="5">
        <f>EnergyLJ($A11,$C$2,$C$3,shape_factors!H$2,$C$4,shape_factors!H$3)</f>
        <v>53443018.468072116</v>
      </c>
      <c r="I11" s="5">
        <f>EnergyLJ($A11,$C$2,$C$3,shape_factors!I$2,$C$4,shape_factors!I$3)</f>
        <v>625969.43367217947</v>
      </c>
      <c r="J11" s="5">
        <f>EnergyLJ($A11,$C$2,$C$3,shape_factors!J$2,$C$4,shape_factors!J$3)</f>
        <v>55180.753914980822</v>
      </c>
      <c r="K11" s="5">
        <f>EnergyLJ($A11,$C$2,$C$3,shape_factors!K$2,$C$4,shape_factors!K$3)</f>
        <v>71701.493628525088</v>
      </c>
      <c r="L11" s="5">
        <f>EnergyLJ($A11,$C$2,$C$3,shape_factors!L$2,$C$4,shape_factors!L$3)</f>
        <v>112430.84708642465</v>
      </c>
      <c r="M11" s="5">
        <f>EnergyLJ($A11,$C$2,$C$3,shape_factors!M$2,$C$4,shape_factors!M$3)</f>
        <v>58555.578966483939</v>
      </c>
      <c r="N11" s="5">
        <f>EnergyLJ($A11,$C$2,$C$3,shape_factors!N$2,$C$4,shape_factors!N$3)</f>
        <v>32200.862545645905</v>
      </c>
      <c r="O11" s="5">
        <f>EnergyLJ($A11,$C$2,$C$3,shape_factors!O$2,$C$4,shape_factors!O$3)</f>
        <v>27929.961261061006</v>
      </c>
      <c r="P11" s="5">
        <f>EnergyLJ($A11,$C$2,$C$3,shape_factors!P$2,$C$4,shape_factors!P$3)</f>
        <v>33606.160807869528</v>
      </c>
      <c r="Q11" s="5">
        <f>EnergyLJ($A11,$C$2,$C$3,shape_factors!Q$2,$C$4,shape_factors!Q$3)</f>
        <v>35579.77758586</v>
      </c>
      <c r="R11" s="5">
        <f>EnergyLJ($A11,$C$2,$C$3,shape_factors!R$2,$C$4,shape_factors!R$3)</f>
        <v>144548.64942878275</v>
      </c>
      <c r="S11" s="5">
        <f>EnergyLJ($A11,$C$2,$C$3,shape_factors!S$2,$C$4,shape_factors!S$3)</f>
        <v>44250.905796014515</v>
      </c>
      <c r="T11" s="5">
        <f>EnergyLJ($A11,$C$2,$C$3,shape_factors!T$2,$C$4,shape_factors!T$3)</f>
        <v>25502.245219386139</v>
      </c>
      <c r="U11" s="5">
        <f>EnergyLJ($A11,$C$2,$C$3,shape_factors!U$2,$C$4,shape_factors!U$3)</f>
        <v>141329.48832909964</v>
      </c>
    </row>
    <row r="12" spans="1:21" x14ac:dyDescent="0.25">
      <c r="A12">
        <v>3</v>
      </c>
      <c r="B12" s="5">
        <f>EnergyLJ($A12,$C$2,$C$3,shape_factors!B$2,$C$4,shape_factors!B$3)</f>
        <v>711214.13697659143</v>
      </c>
      <c r="C12" s="5">
        <f>EnergyLJ($A12,$C$2,$C$3,shape_factors!C$2,$C$4,shape_factors!C$3)</f>
        <v>74813.118639586988</v>
      </c>
      <c r="D12" s="5">
        <f>EnergyLJ($A12,$C$2,$C$3,shape_factors!D$2,$C$4,shape_factors!D$3)</f>
        <v>1257854.7011708021</v>
      </c>
      <c r="E12" s="5">
        <f>EnergyLJ($A12,$C$2,$C$3,shape_factors!E$2,$C$4,shape_factors!E$3)</f>
        <v>186686.88199596733</v>
      </c>
      <c r="F12" s="5">
        <f>EnergyLJ($A12,$C$2,$C$3,shape_factors!F$2,$C$4,shape_factors!F$3)</f>
        <v>60490.088880867399</v>
      </c>
      <c r="G12" s="5">
        <f>EnergyLJ($A12,$C$2,$C$3,shape_factors!G$2,$C$4,shape_factors!G$3)</f>
        <v>93055.572153363421</v>
      </c>
      <c r="H12" s="5">
        <f>EnergyLJ($A12,$C$2,$C$3,shape_factors!H$2,$C$4,shape_factors!H$3)</f>
        <v>23349084.329651263</v>
      </c>
      <c r="I12" s="5">
        <f>EnergyLJ($A12,$C$2,$C$3,shape_factors!I$2,$C$4,shape_factors!I$3)</f>
        <v>273159.5883930315</v>
      </c>
      <c r="J12" s="5">
        <f>EnergyLJ($A12,$C$2,$C$3,shape_factors!J$2,$C$4,shape_factors!J$3)</f>
        <v>24003.420313004684</v>
      </c>
      <c r="K12" s="5">
        <f>EnergyLJ($A12,$C$2,$C$3,shape_factors!K$2,$C$4,shape_factors!K$3)</f>
        <v>31207.224787436098</v>
      </c>
      <c r="L12" s="5">
        <f>EnergyLJ($A12,$C$2,$C$3,shape_factors!L$2,$C$4,shape_factors!L$3)</f>
        <v>48973.295545625435</v>
      </c>
      <c r="M12" s="5">
        <f>EnergyLJ($A12,$C$2,$C$3,shape_factors!M$2,$C$4,shape_factors!M$3)</f>
        <v>25474.832973111959</v>
      </c>
      <c r="N12" s="5">
        <f>EnergyLJ($A12,$C$2,$C$3,shape_factors!N$2,$C$4,shape_factors!N$3)</f>
        <v>13987.602561142301</v>
      </c>
      <c r="O12" s="5">
        <f>EnergyLJ($A12,$C$2,$C$3,shape_factors!O$2,$C$4,shape_factors!O$3)</f>
        <v>12127.049974742187</v>
      </c>
      <c r="P12" s="5">
        <f>EnergyLJ($A12,$C$2,$C$3,shape_factors!P$2,$C$4,shape_factors!P$3)</f>
        <v>14599.882311948582</v>
      </c>
      <c r="Q12" s="5">
        <f>EnergyLJ($A12,$C$2,$C$3,shape_factors!Q$2,$C$4,shape_factors!Q$3)</f>
        <v>15459.836578739376</v>
      </c>
      <c r="R12" s="5">
        <f>EnergyLJ($A12,$C$2,$C$3,shape_factors!R$2,$C$4,shape_factors!R$3)</f>
        <v>62986.865756433013</v>
      </c>
      <c r="S12" s="5">
        <f>EnergyLJ($A12,$C$2,$C$3,shape_factors!S$2,$C$4,shape_factors!S$3)</f>
        <v>19238.789814698157</v>
      </c>
      <c r="T12" s="5">
        <f>EnergyLJ($A12,$C$2,$C$3,shape_factors!T$2,$C$4,shape_factors!T$3)</f>
        <v>11069.647145397012</v>
      </c>
      <c r="U12" s="5">
        <f>EnergyLJ($A12,$C$2,$C$3,shape_factors!U$2,$C$4,shape_factors!U$3)</f>
        <v>61582.177314090295</v>
      </c>
    </row>
    <row r="13" spans="1:21" x14ac:dyDescent="0.25">
      <c r="A13">
        <v>3.2</v>
      </c>
      <c r="B13" s="5">
        <f>EnergyLJ($A13,$C$2,$C$3,shape_factors!B$2,$C$4,shape_factors!B$3)</f>
        <v>327458.08457953425</v>
      </c>
      <c r="C13" s="5">
        <f>EnergyLJ($A13,$C$2,$C$3,shape_factors!C$2,$C$4,shape_factors!C$3)</f>
        <v>34362.577429839221</v>
      </c>
      <c r="D13" s="5">
        <f>EnergyLJ($A13,$C$2,$C$3,shape_factors!D$2,$C$4,shape_factors!D$3)</f>
        <v>579308.63816774241</v>
      </c>
      <c r="E13" s="5">
        <f>EnergyLJ($A13,$C$2,$C$3,shape_factors!E$2,$C$4,shape_factors!E$3)</f>
        <v>85860.136225809445</v>
      </c>
      <c r="F13" s="5">
        <f>EnergyLJ($A13,$C$2,$C$3,shape_factors!F$2,$C$4,shape_factors!F$3)</f>
        <v>27772.67151852807</v>
      </c>
      <c r="G13" s="5">
        <f>EnergyLJ($A13,$C$2,$C$3,shape_factors!G$2,$C$4,shape_factors!G$3)</f>
        <v>42757.37991180981</v>
      </c>
      <c r="H13" s="5">
        <f>EnergyLJ($A13,$C$2,$C$3,shape_factors!H$2,$C$4,shape_factors!H$3)</f>
        <v>10760638.42939214</v>
      </c>
      <c r="I13" s="5">
        <f>EnergyLJ($A13,$C$2,$C$3,shape_factors!I$2,$C$4,shape_factors!I$3)</f>
        <v>125679.40555639876</v>
      </c>
      <c r="J13" s="5">
        <f>EnergyLJ($A13,$C$2,$C$3,shape_factors!J$2,$C$4,shape_factors!J$3)</f>
        <v>10994.743216151113</v>
      </c>
      <c r="K13" s="5">
        <f>EnergyLJ($A13,$C$2,$C$3,shape_factors!K$2,$C$4,shape_factors!K$3)</f>
        <v>14305.643154722175</v>
      </c>
      <c r="L13" s="5">
        <f>EnergyLJ($A13,$C$2,$C$3,shape_factors!L$2,$C$4,shape_factors!L$3)</f>
        <v>22474.998352021885</v>
      </c>
      <c r="M13" s="5">
        <f>EnergyLJ($A13,$C$2,$C$3,shape_factors!M$2,$C$4,shape_factors!M$3)</f>
        <v>11670.903455130177</v>
      </c>
      <c r="N13" s="5">
        <f>EnergyLJ($A13,$C$2,$C$3,shape_factors!N$2,$C$4,shape_factors!N$3)</f>
        <v>6394.3133314095676</v>
      </c>
      <c r="O13" s="5">
        <f>EnergyLJ($A13,$C$2,$C$3,shape_factors!O$2,$C$4,shape_factors!O$3)</f>
        <v>5540.3277245312174</v>
      </c>
      <c r="P13" s="5">
        <f>EnergyLJ($A13,$C$2,$C$3,shape_factors!P$2,$C$4,shape_factors!P$3)</f>
        <v>6675.4007182288715</v>
      </c>
      <c r="Q13" s="5">
        <f>EnergyLJ($A13,$C$2,$C$3,shape_factors!Q$2,$C$4,shape_factors!Q$3)</f>
        <v>7070.231096030856</v>
      </c>
      <c r="R13" s="5">
        <f>EnergyLJ($A13,$C$2,$C$3,shape_factors!R$2,$C$4,shape_factors!R$3)</f>
        <v>28921.320199389811</v>
      </c>
      <c r="S13" s="5">
        <f>EnergyLJ($A13,$C$2,$C$3,shape_factors!S$2,$C$4,shape_factors!S$3)</f>
        <v>8805.7278826692491</v>
      </c>
      <c r="T13" s="5">
        <f>EnergyLJ($A13,$C$2,$C$3,shape_factors!T$2,$C$4,shape_factors!T$3)</f>
        <v>5055.1097823310365</v>
      </c>
      <c r="U13" s="5">
        <f>EnergyLJ($A13,$C$2,$C$3,shape_factors!U$2,$C$4,shape_factors!U$3)</f>
        <v>28275.084044410774</v>
      </c>
    </row>
    <row r="14" spans="1:21" x14ac:dyDescent="0.25">
      <c r="A14">
        <v>3.4</v>
      </c>
      <c r="B14" s="5">
        <f>EnergyLJ($A14,$C$2,$C$3,shape_factors!B$2,$C$4,shape_factors!B$3)</f>
        <v>157951.71175745607</v>
      </c>
      <c r="C14" s="5">
        <f>EnergyLJ($A14,$C$2,$C$3,shape_factors!C$2,$C$4,shape_factors!C$3)</f>
        <v>16520.195766481171</v>
      </c>
      <c r="D14" s="5">
        <f>EnergyLJ($A14,$C$2,$C$3,shape_factors!D$2,$C$4,shape_factors!D$3)</f>
        <v>279543.06744437129</v>
      </c>
      <c r="E14" s="5">
        <f>EnergyLJ($A14,$C$2,$C$3,shape_factors!E$2,$C$4,shape_factors!E$3)</f>
        <v>41352.807670447779</v>
      </c>
      <c r="F14" s="5">
        <f>EnergyLJ($A14,$C$2,$C$3,shape_factors!F$2,$C$4,shape_factors!F$3)</f>
        <v>13344.628393189507</v>
      </c>
      <c r="G14" s="5">
        <f>EnergyLJ($A14,$C$2,$C$3,shape_factors!G$2,$C$4,shape_factors!G$3)</f>
        <v>20566.573033966073</v>
      </c>
      <c r="H14" s="5">
        <f>EnergyLJ($A14,$C$2,$C$3,shape_factors!H$2,$C$4,shape_factors!H$3)</f>
        <v>5197227.0155286258</v>
      </c>
      <c r="I14" s="5">
        <f>EnergyLJ($A14,$C$2,$C$3,shape_factors!I$2,$C$4,shape_factors!I$3)</f>
        <v>60563.481271348697</v>
      </c>
      <c r="J14" s="5">
        <f>EnergyLJ($A14,$C$2,$C$3,shape_factors!J$2,$C$4,shape_factors!J$3)</f>
        <v>5265.7593375618508</v>
      </c>
      <c r="K14" s="5">
        <f>EnergyLJ($A14,$C$2,$C$3,shape_factors!K$2,$C$4,shape_factors!K$3)</f>
        <v>6858.9061141775692</v>
      </c>
      <c r="L14" s="5">
        <f>EnergyLJ($A14,$C$2,$C$3,shape_factors!L$2,$C$4,shape_factors!L$3)</f>
        <v>10792.498818107995</v>
      </c>
      <c r="M14" s="5">
        <f>EnergyLJ($A14,$C$2,$C$3,shape_factors!M$2,$C$4,shape_factors!M$3)</f>
        <v>5591.0446143786339</v>
      </c>
      <c r="N14" s="5">
        <f>EnergyLJ($A14,$C$2,$C$3,shape_factors!N$2,$C$4,shape_factors!N$3)</f>
        <v>3054.0226220881691</v>
      </c>
      <c r="O14" s="5">
        <f>EnergyLJ($A14,$C$2,$C$3,shape_factors!O$2,$C$4,shape_factors!O$3)</f>
        <v>2643.849562588161</v>
      </c>
      <c r="P14" s="5">
        <f>EnergyLJ($A14,$C$2,$C$3,shape_factors!P$2,$C$4,shape_factors!P$3)</f>
        <v>3189.0656858906941</v>
      </c>
      <c r="Q14" s="5">
        <f>EnergyLJ($A14,$C$2,$C$3,shape_factors!Q$2,$C$4,shape_factors!Q$3)</f>
        <v>3378.7807540400327</v>
      </c>
      <c r="R14" s="5">
        <f>EnergyLJ($A14,$C$2,$C$3,shape_factors!R$2,$C$4,shape_factors!R$3)</f>
        <v>13898.078881867415</v>
      </c>
      <c r="S14" s="5">
        <f>EnergyLJ($A14,$C$2,$C$3,shape_factors!S$2,$C$4,shape_factors!S$3)</f>
        <v>4212.9929548628616</v>
      </c>
      <c r="T14" s="5">
        <f>EnergyLJ($A14,$C$2,$C$3,shape_factors!T$2,$C$4,shape_factors!T$3)</f>
        <v>2410.8803711665755</v>
      </c>
      <c r="U14" s="5">
        <f>EnergyLJ($A14,$C$2,$C$3,shape_factors!U$2,$C$4,shape_factors!U$3)</f>
        <v>13586.700851183006</v>
      </c>
    </row>
    <row r="15" spans="1:21" x14ac:dyDescent="0.25">
      <c r="A15">
        <v>3.6</v>
      </c>
      <c r="B15" s="5">
        <f>EnergyLJ($A15,$C$2,$C$3,shape_factors!B$2,$C$4,shape_factors!B$3)</f>
        <v>79381.961513724425</v>
      </c>
      <c r="C15" s="5">
        <f>EnergyLJ($A15,$C$2,$C$3,shape_factors!C$2,$C$4,shape_factors!C$3)</f>
        <v>8265.4630789286002</v>
      </c>
      <c r="D15" s="5">
        <f>EnergyLJ($A15,$C$2,$C$3,shape_factors!D$2,$C$4,shape_factors!D$3)</f>
        <v>140564.34204089097</v>
      </c>
      <c r="E15" s="5">
        <f>EnergyLJ($A15,$C$2,$C$3,shape_factors!E$2,$C$4,shape_factors!E$3)</f>
        <v>20740.473612644666</v>
      </c>
      <c r="F15" s="5">
        <f>EnergyLJ($A15,$C$2,$C$3,shape_factors!F$2,$C$4,shape_factors!F$3)</f>
        <v>6671.6262960955846</v>
      </c>
      <c r="G15" s="5">
        <f>EnergyLJ($A15,$C$2,$C$3,shape_factors!G$2,$C$4,shape_factors!G$3)</f>
        <v>10297.08268218533</v>
      </c>
      <c r="H15" s="5">
        <f>EnergyLJ($A15,$C$2,$C$3,shape_factors!H$2,$C$4,shape_factors!H$3)</f>
        <v>2616548.9521849146</v>
      </c>
      <c r="I15" s="5">
        <f>EnergyLJ($A15,$C$2,$C$3,shape_factors!I$2,$C$4,shape_factors!I$3)</f>
        <v>30397.617645276303</v>
      </c>
      <c r="J15" s="5">
        <f>EnergyLJ($A15,$C$2,$C$3,shape_factors!J$2,$C$4,shape_factors!J$3)</f>
        <v>2620.9508058028673</v>
      </c>
      <c r="K15" s="5">
        <f>EnergyLJ($A15,$C$2,$C$3,shape_factors!K$2,$C$4,shape_factors!K$3)</f>
        <v>3418.9883609064505</v>
      </c>
      <c r="L15" s="5">
        <f>EnergyLJ($A15,$C$2,$C$3,shape_factors!L$2,$C$4,shape_factors!L$3)</f>
        <v>5391.1926884627374</v>
      </c>
      <c r="M15" s="5">
        <f>EnergyLJ($A15,$C$2,$C$3,shape_factors!M$2,$C$4,shape_factors!M$3)</f>
        <v>2783.8441407633413</v>
      </c>
      <c r="N15" s="5">
        <f>EnergyLJ($A15,$C$2,$C$3,shape_factors!N$2,$C$4,shape_factors!N$3)</f>
        <v>1514.3449484391947</v>
      </c>
      <c r="O15" s="5">
        <f>EnergyLJ($A15,$C$2,$C$3,shape_factors!O$2,$C$4,shape_factors!O$3)</f>
        <v>1309.3901033227112</v>
      </c>
      <c r="P15" s="5">
        <f>EnergyLJ($A15,$C$2,$C$3,shape_factors!P$2,$C$4,shape_factors!P$3)</f>
        <v>1581.8472864326764</v>
      </c>
      <c r="Q15" s="5">
        <f>EnergyLJ($A15,$C$2,$C$3,shape_factors!Q$2,$C$4,shape_factors!Q$3)</f>
        <v>1676.695764969392</v>
      </c>
      <c r="R15" s="5">
        <f>EnergyLJ($A15,$C$2,$C$3,shape_factors!R$2,$C$4,shape_factors!R$3)</f>
        <v>6949.3628485293675</v>
      </c>
      <c r="S15" s="5">
        <f>EnergyLJ($A15,$C$2,$C$3,shape_factors!S$2,$C$4,shape_factors!S$3)</f>
        <v>2093.9727003328449</v>
      </c>
      <c r="T15" s="5">
        <f>EnergyLJ($A15,$C$2,$C$3,shape_factors!T$2,$C$4,shape_factors!T$3)</f>
        <v>1193.0367994964115</v>
      </c>
      <c r="U15" s="5">
        <f>EnergyLJ($A15,$C$2,$C$3,shape_factors!U$2,$C$4,shape_factors!U$3)</f>
        <v>6793.102353080476</v>
      </c>
    </row>
    <row r="16" spans="1:21" x14ac:dyDescent="0.25">
      <c r="A16">
        <v>3.8</v>
      </c>
      <c r="B16" s="5">
        <f>EnergyLJ($A16,$C$2,$C$3,shape_factors!B$2,$C$4,shape_factors!B$3)</f>
        <v>41374.429852127876</v>
      </c>
      <c r="C16" s="5">
        <f>EnergyLJ($A16,$C$2,$C$3,shape_factors!C$2,$C$4,shape_factors!C$3)</f>
        <v>4282.3615848740528</v>
      </c>
      <c r="D16" s="5">
        <f>EnergyLJ($A16,$C$2,$C$3,shape_factors!D$2,$C$4,shape_factors!D$3)</f>
        <v>73314.32755021585</v>
      </c>
      <c r="E16" s="5">
        <f>EnergyLJ($A16,$C$2,$C$3,shape_factors!E$2,$C$4,shape_factors!E$3)</f>
        <v>10780.868941639761</v>
      </c>
      <c r="F16" s="5">
        <f>EnergyLJ($A16,$C$2,$C$3,shape_factors!F$2,$C$4,shape_factors!F$3)</f>
        <v>3453.1025584191884</v>
      </c>
      <c r="G16" s="5">
        <f>EnergyLJ($A16,$C$2,$C$3,shape_factors!G$2,$C$4,shape_factors!G$3)</f>
        <v>5339.8921245675574</v>
      </c>
      <c r="H16" s="5">
        <f>EnergyLJ($A16,$C$2,$C$3,shape_factors!H$2,$C$4,shape_factors!H$3)</f>
        <v>1366924.9735911689</v>
      </c>
      <c r="I16" s="5">
        <f>EnergyLJ($A16,$C$2,$C$3,shape_factors!I$2,$C$4,shape_factors!I$3)</f>
        <v>15815.909196053952</v>
      </c>
      <c r="J16" s="5">
        <f>EnergyLJ($A16,$C$2,$C$3,shape_factors!J$2,$C$4,shape_factors!J$3)</f>
        <v>1348.4510912360033</v>
      </c>
      <c r="K16" s="5">
        <f>EnergyLJ($A16,$C$2,$C$3,shape_factors!K$2,$C$4,shape_factors!K$3)</f>
        <v>1762.5742532860825</v>
      </c>
      <c r="L16" s="5">
        <f>EnergyLJ($A16,$C$2,$C$3,shape_factors!L$2,$C$4,shape_factors!L$3)</f>
        <v>2787.2476991708231</v>
      </c>
      <c r="M16" s="5">
        <f>EnergyLJ($A16,$C$2,$C$3,shape_factors!M$2,$C$4,shape_factors!M$3)</f>
        <v>1432.9473563314114</v>
      </c>
      <c r="N16" s="5">
        <f>EnergyLJ($A16,$C$2,$C$3,shape_factors!N$2,$C$4,shape_factors!N$3)</f>
        <v>775.10189214217928</v>
      </c>
      <c r="O16" s="5">
        <f>EnergyLJ($A16,$C$2,$C$3,shape_factors!O$2,$C$4,shape_factors!O$3)</f>
        <v>669.09811711329451</v>
      </c>
      <c r="P16" s="5">
        <f>EnergyLJ($A16,$C$2,$C$3,shape_factors!P$2,$C$4,shape_factors!P$3)</f>
        <v>810.03127348015289</v>
      </c>
      <c r="Q16" s="5">
        <f>EnergyLJ($A16,$C$2,$C$3,shape_factors!Q$2,$C$4,shape_factors!Q$3)</f>
        <v>859.12348375933618</v>
      </c>
      <c r="R16" s="5">
        <f>EnergyLJ($A16,$C$2,$C$3,shape_factors!R$2,$C$4,shape_factors!R$3)</f>
        <v>3597.5761866231269</v>
      </c>
      <c r="S16" s="5">
        <f>EnergyLJ($A16,$C$2,$C$3,shape_factors!S$2,$C$4,shape_factors!S$3)</f>
        <v>1075.2464285147914</v>
      </c>
      <c r="T16" s="5">
        <f>EnergyLJ($A16,$C$2,$C$3,shape_factors!T$2,$C$4,shape_factors!T$3)</f>
        <v>608.95883263091866</v>
      </c>
      <c r="U16" s="5">
        <f>EnergyLJ($A16,$C$2,$C$3,shape_factors!U$2,$C$4,shape_factors!U$3)</f>
        <v>3516.2905136675117</v>
      </c>
    </row>
    <row r="17" spans="1:21" x14ac:dyDescent="0.25">
      <c r="A17">
        <v>4</v>
      </c>
      <c r="B17" s="5">
        <f>EnergyLJ($A17,$C$2,$C$3,shape_factors!B$2,$C$4,shape_factors!B$3)</f>
        <v>22275.50459491965</v>
      </c>
      <c r="C17" s="5">
        <f>EnergyLJ($A17,$C$2,$C$3,shape_factors!C$2,$C$4,shape_factors!C$3)</f>
        <v>2287.4893513465618</v>
      </c>
      <c r="D17" s="5">
        <f>EnergyLJ($A17,$C$2,$C$3,shape_factors!D$2,$C$4,shape_factors!D$3)</f>
        <v>39507.668992053594</v>
      </c>
      <c r="E17" s="5">
        <f>EnergyLJ($A17,$C$2,$C$3,shape_factors!E$2,$C$4,shape_factors!E$3)</f>
        <v>5783.7033214707926</v>
      </c>
      <c r="F17" s="5">
        <f>EnergyLJ($A17,$C$2,$C$3,shape_factors!F$2,$C$4,shape_factors!F$3)</f>
        <v>1842.0550344957874</v>
      </c>
      <c r="G17" s="5">
        <f>EnergyLJ($A17,$C$2,$C$3,shape_factors!G$2,$C$4,shape_factors!G$3)</f>
        <v>2855.8900699223445</v>
      </c>
      <c r="H17" s="5">
        <f>EnergyLJ($A17,$C$2,$C$3,shape_factors!H$2,$C$4,shape_factors!H$3)</f>
        <v>738164.70111540484</v>
      </c>
      <c r="I17" s="5">
        <f>EnergyLJ($A17,$C$2,$C$3,shape_factors!I$2,$C$4,shape_factors!I$3)</f>
        <v>8495.6864689245012</v>
      </c>
      <c r="J17" s="5">
        <f>EnergyLJ($A17,$C$2,$C$3,shape_factors!J$2,$C$4,shape_factors!J$3)</f>
        <v>713.57973442316506</v>
      </c>
      <c r="K17" s="5">
        <f>EnergyLJ($A17,$C$2,$C$3,shape_factors!K$2,$C$4,shape_factors!K$3)</f>
        <v>935.25620602842707</v>
      </c>
      <c r="L17" s="5">
        <f>EnergyLJ($A17,$C$2,$C$3,shape_factors!L$2,$C$4,shape_factors!L$3)</f>
        <v>1484.6352446126773</v>
      </c>
      <c r="M17" s="5">
        <f>EnergyLJ($A17,$C$2,$C$3,shape_factors!M$2,$C$4,shape_factors!M$3)</f>
        <v>758.78614347000575</v>
      </c>
      <c r="N17" s="5">
        <f>EnergyLJ($A17,$C$2,$C$3,shape_factors!N$2,$C$4,shape_factors!N$3)</f>
        <v>407.3069791474187</v>
      </c>
      <c r="O17" s="5">
        <f>EnergyLJ($A17,$C$2,$C$3,shape_factors!O$2,$C$4,shape_factors!O$3)</f>
        <v>350.81387173505522</v>
      </c>
      <c r="P17" s="5">
        <f>EnergyLJ($A17,$C$2,$C$3,shape_factors!P$2,$C$4,shape_factors!P$3)</f>
        <v>425.9339978362006</v>
      </c>
      <c r="Q17" s="5">
        <f>EnergyLJ($A17,$C$2,$C$3,shape_factors!Q$2,$C$4,shape_factors!Q$3)</f>
        <v>452.12255868071838</v>
      </c>
      <c r="R17" s="5">
        <f>EnergyLJ($A17,$C$2,$C$3,shape_factors!R$2,$C$4,shape_factors!R$3)</f>
        <v>1919.6373297180066</v>
      </c>
      <c r="S17" s="5">
        <f>EnergyLJ($A17,$C$2,$C$3,shape_factors!S$2,$C$4,shape_factors!S$3)</f>
        <v>567.51866995408602</v>
      </c>
      <c r="T17" s="5">
        <f>EnergyLJ($A17,$C$2,$C$3,shape_factors!T$2,$C$4,shape_factors!T$3)</f>
        <v>318.79145557961891</v>
      </c>
      <c r="U17" s="5">
        <f>EnergyLJ($A17,$C$2,$C$3,shape_factors!U$2,$C$4,shape_factors!U$3)</f>
        <v>1875.9857223125996</v>
      </c>
    </row>
    <row r="18" spans="1:21" x14ac:dyDescent="0.25">
      <c r="A18">
        <v>4.2</v>
      </c>
      <c r="B18" s="5">
        <f>EnergyLJ($A18,$C$2,$C$3,shape_factors!B$2,$C$4,shape_factors!B$3)</f>
        <v>12345.510160956726</v>
      </c>
      <c r="C18" s="5">
        <f>EnergyLJ($A18,$C$2,$C$3,shape_factors!C$2,$C$4,shape_factors!C$3)</f>
        <v>1254.7953308831807</v>
      </c>
      <c r="D18" s="5">
        <f>EnergyLJ($A18,$C$2,$C$3,shape_factors!D$2,$C$4,shape_factors!D$3)</f>
        <v>21921.806982733357</v>
      </c>
      <c r="E18" s="5">
        <f>EnergyLJ($A18,$C$2,$C$3,shape_factors!E$2,$C$4,shape_factors!E$3)</f>
        <v>3190.6660777508387</v>
      </c>
      <c r="F18" s="5">
        <f>EnergyLJ($A18,$C$2,$C$3,shape_factors!F$2,$C$4,shape_factors!F$3)</f>
        <v>1008.6653977559889</v>
      </c>
      <c r="G18" s="5">
        <f>EnergyLJ($A18,$C$2,$C$3,shape_factors!G$2,$C$4,shape_factors!G$3)</f>
        <v>1569.1241774583805</v>
      </c>
      <c r="H18" s="5">
        <f>EnergyLJ($A18,$C$2,$C$3,shape_factors!H$2,$C$4,shape_factors!H$3)</f>
        <v>410703.87839998183</v>
      </c>
      <c r="I18" s="5">
        <f>EnergyLJ($A18,$C$2,$C$3,shape_factors!I$2,$C$4,shape_factors!I$3)</f>
        <v>4694.5433796641937</v>
      </c>
      <c r="J18" s="5">
        <f>EnergyLJ($A18,$C$2,$C$3,shape_factors!J$2,$C$4,shape_factors!J$3)</f>
        <v>386.575046573755</v>
      </c>
      <c r="K18" s="5">
        <f>EnergyLJ($A18,$C$2,$C$3,shape_factors!K$2,$C$4,shape_factors!K$3)</f>
        <v>508.51215194528879</v>
      </c>
      <c r="L18" s="5">
        <f>EnergyLJ($A18,$C$2,$C$3,shape_factors!L$2,$C$4,shape_factors!L$3)</f>
        <v>811.34324734350344</v>
      </c>
      <c r="M18" s="5">
        <f>EnergyLJ($A18,$C$2,$C$3,shape_factors!M$2,$C$4,shape_factors!M$3)</f>
        <v>411.42453999226814</v>
      </c>
      <c r="N18" s="5">
        <f>EnergyLJ($A18,$C$2,$C$3,shape_factors!N$2,$C$4,shape_factors!N$3)</f>
        <v>218.56321923872505</v>
      </c>
      <c r="O18" s="5">
        <f>EnergyLJ($A18,$C$2,$C$3,shape_factors!O$2,$C$4,shape_factors!O$3)</f>
        <v>187.66842785906425</v>
      </c>
      <c r="P18" s="5">
        <f>EnergyLJ($A18,$C$2,$C$3,shape_factors!P$2,$C$4,shape_factors!P$3)</f>
        <v>228.75856070225456</v>
      </c>
      <c r="Q18" s="5">
        <f>EnergyLJ($A18,$C$2,$C$3,shape_factors!Q$2,$C$4,shape_factors!Q$3)</f>
        <v>243.09905058068978</v>
      </c>
      <c r="R18" s="5">
        <f>EnergyLJ($A18,$C$2,$C$3,shape_factors!R$2,$C$4,shape_factors!R$3)</f>
        <v>1051.5190567893578</v>
      </c>
      <c r="S18" s="5">
        <f>EnergyLJ($A18,$C$2,$C$3,shape_factors!S$2,$C$4,shape_factors!S$3)</f>
        <v>306.36359436147563</v>
      </c>
      <c r="T18" s="5">
        <f>EnergyLJ($A18,$C$2,$C$3,shape_factors!T$2,$C$4,shape_factors!T$3)</f>
        <v>170.17632603810333</v>
      </c>
      <c r="U18" s="5">
        <f>EnergyLJ($A18,$C$2,$C$3,shape_factors!U$2,$C$4,shape_factors!U$3)</f>
        <v>1027.4066033333781</v>
      </c>
    </row>
    <row r="19" spans="1:21" x14ac:dyDescent="0.25">
      <c r="A19">
        <v>4.4000000000000004</v>
      </c>
      <c r="B19" s="5">
        <f>EnergyLJ($A19,$C$2,$C$3,shape_factors!B$2,$C$4,shape_factors!B$3)</f>
        <v>7021.9479022382357</v>
      </c>
      <c r="C19" s="5">
        <f>EnergyLJ($A19,$C$2,$C$3,shape_factors!C$2,$C$4,shape_factors!C$3)</f>
        <v>704.24584356893945</v>
      </c>
      <c r="D19" s="5">
        <f>EnergyLJ($A19,$C$2,$C$3,shape_factors!D$2,$C$4,shape_factors!D$3)</f>
        <v>12487.699630673436</v>
      </c>
      <c r="E19" s="5">
        <f>EnergyLJ($A19,$C$2,$C$3,shape_factors!E$2,$C$4,shape_factors!E$3)</f>
        <v>1804.0298823917212</v>
      </c>
      <c r="F19" s="5">
        <f>EnergyLJ($A19,$C$2,$C$3,shape_factors!F$2,$C$4,shape_factors!F$3)</f>
        <v>564.78917091654569</v>
      </c>
      <c r="G19" s="5">
        <f>EnergyLJ($A19,$C$2,$C$3,shape_factors!G$2,$C$4,shape_factors!G$3)</f>
        <v>882.52850981630081</v>
      </c>
      <c r="H19" s="5">
        <f>EnergyLJ($A19,$C$2,$C$3,shape_factors!H$2,$C$4,shape_factors!H$3)</f>
        <v>234768.63390974121</v>
      </c>
      <c r="I19" s="5">
        <f>EnergyLJ($A19,$C$2,$C$3,shape_factors!I$2,$C$4,shape_factors!I$3)</f>
        <v>2660.0294859009737</v>
      </c>
      <c r="J19" s="5">
        <f>EnergyLJ($A19,$C$2,$C$3,shape_factors!J$2,$C$4,shape_factors!J$3)</f>
        <v>213.38359965768441</v>
      </c>
      <c r="K19" s="5">
        <f>EnergyLJ($A19,$C$2,$C$3,shape_factors!K$2,$C$4,shape_factors!K$3)</f>
        <v>282.068471342154</v>
      </c>
      <c r="L19" s="5">
        <f>EnergyLJ($A19,$C$2,$C$3,shape_factors!L$2,$C$4,shape_factors!L$3)</f>
        <v>453.11441141466827</v>
      </c>
      <c r="M19" s="5">
        <f>EnergyLJ($A19,$C$2,$C$3,shape_factors!M$2,$C$4,shape_factors!M$3)</f>
        <v>227.36828427271902</v>
      </c>
      <c r="N19" s="5">
        <f>EnergyLJ($A19,$C$2,$C$3,shape_factors!N$2,$C$4,shape_factors!N$3)</f>
        <v>119.0829982449378</v>
      </c>
      <c r="O19" s="5">
        <f>EnergyLJ($A19,$C$2,$C$3,shape_factors!O$2,$C$4,shape_factors!O$3)</f>
        <v>101.81300858280922</v>
      </c>
      <c r="P19" s="5">
        <f>EnergyLJ($A19,$C$2,$C$3,shape_factors!P$2,$C$4,shape_factors!P$3)</f>
        <v>124.78852232576543</v>
      </c>
      <c r="Q19" s="5">
        <f>EnergyLJ($A19,$C$2,$C$3,shape_factors!Q$2,$C$4,shape_factors!Q$3)</f>
        <v>132.81848548190428</v>
      </c>
      <c r="R19" s="5">
        <f>EnergyLJ($A19,$C$2,$C$3,shape_factors!R$2,$C$4,shape_factors!R$3)</f>
        <v>589.05873361068245</v>
      </c>
      <c r="S19" s="5">
        <f>EnergyLJ($A19,$C$2,$C$3,shape_factors!S$2,$C$4,shape_factors!S$3)</f>
        <v>168.29904008163777</v>
      </c>
      <c r="T19" s="5">
        <f>EnergyLJ($A19,$C$2,$C$3,shape_factors!T$2,$C$4,shape_factors!T$3)</f>
        <v>92.049987231165247</v>
      </c>
      <c r="U19" s="5">
        <f>EnergyLJ($A19,$C$2,$C$3,shape_factors!U$2,$C$4,shape_factors!U$3)</f>
        <v>575.40234214733687</v>
      </c>
    </row>
    <row r="20" spans="1:21" x14ac:dyDescent="0.25">
      <c r="A20">
        <v>4.5999999999999996</v>
      </c>
      <c r="B20" s="5">
        <f>EnergyLJ($A20,$C$2,$C$3,shape_factors!B$2,$C$4,shape_factors!B$3)</f>
        <v>4087.8669131977117</v>
      </c>
      <c r="C20" s="5">
        <f>EnergyLJ($A20,$C$2,$C$3,shape_factors!C$2,$C$4,shape_factors!C$3)</f>
        <v>402.97168267439707</v>
      </c>
      <c r="D20" s="5">
        <f>EnergyLJ($A20,$C$2,$C$3,shape_factors!D$2,$C$4,shape_factors!D$3)</f>
        <v>7283.7776379225652</v>
      </c>
      <c r="E20" s="5">
        <f>EnergyLJ($A20,$C$2,$C$3,shape_factors!E$2,$C$4,shape_factors!E$3)</f>
        <v>1042.2460383518387</v>
      </c>
      <c r="F20" s="5">
        <f>EnergyLJ($A20,$C$2,$C$3,shape_factors!F$2,$C$4,shape_factors!F$3)</f>
        <v>322.18500114819858</v>
      </c>
      <c r="G20" s="5">
        <f>EnergyLJ($A20,$C$2,$C$3,shape_factors!G$2,$C$4,shape_factors!G$3)</f>
        <v>506.38738252665337</v>
      </c>
      <c r="H20" s="5">
        <f>EnergyLJ($A20,$C$2,$C$3,shape_factors!H$2,$C$4,shape_factors!H$3)</f>
        <v>137535.61734681207</v>
      </c>
      <c r="I20" s="5">
        <f>EnergyLJ($A20,$C$2,$C$3,shape_factors!I$2,$C$4,shape_factors!I$3)</f>
        <v>1541.0272388562316</v>
      </c>
      <c r="J20" s="5">
        <f>EnergyLJ($A20,$C$2,$C$3,shape_factors!J$2,$C$4,shape_factors!J$3)</f>
        <v>119.4123035471829</v>
      </c>
      <c r="K20" s="5">
        <f>EnergyLJ($A20,$C$2,$C$3,shape_factors!K$2,$C$4,shape_factors!K$3)</f>
        <v>158.90048663776599</v>
      </c>
      <c r="L20" s="5">
        <f>EnergyLJ($A20,$C$2,$C$3,shape_factors!L$2,$C$4,shape_factors!L$3)</f>
        <v>257.58708732058818</v>
      </c>
      <c r="M20" s="5">
        <f>EnergyLJ($A20,$C$2,$C$3,shape_factors!M$2,$C$4,shape_factors!M$3)</f>
        <v>127.44295534303525</v>
      </c>
      <c r="N20" s="5">
        <f>EnergyLJ($A20,$C$2,$C$3,shape_factors!N$2,$C$4,shape_factors!N$3)</f>
        <v>65.449420956397503</v>
      </c>
      <c r="O20" s="5">
        <f>EnergyLJ($A20,$C$2,$C$3,shape_factors!O$2,$C$4,shape_factors!O$3)</f>
        <v>55.619654754560244</v>
      </c>
      <c r="P20" s="5">
        <f>EnergyLJ($A20,$C$2,$C$3,shape_factors!P$2,$C$4,shape_factors!P$3)</f>
        <v>68.701720592243234</v>
      </c>
      <c r="Q20" s="5">
        <f>EnergyLJ($A20,$C$2,$C$3,shape_factors!Q$2,$C$4,shape_factors!Q$3)</f>
        <v>73.282571205338471</v>
      </c>
      <c r="R20" s="5">
        <f>EnergyLJ($A20,$C$2,$C$3,shape_factors!R$2,$C$4,shape_factors!R$3)</f>
        <v>336.23591398605464</v>
      </c>
      <c r="S20" s="5">
        <f>EnergyLJ($A20,$C$2,$C$3,shape_factors!S$2,$C$4,shape_factors!S$3)</f>
        <v>93.564941557098521</v>
      </c>
      <c r="T20" s="5">
        <f>EnergyLJ($A20,$C$2,$C$3,shape_factors!T$2,$C$4,shape_factors!T$3)</f>
        <v>50.073986502048626</v>
      </c>
      <c r="U20" s="5">
        <f>EnergyLJ($A20,$C$2,$C$3,shape_factors!U$2,$C$4,shape_factors!U$3)</f>
        <v>328.3290384797042</v>
      </c>
    </row>
    <row r="21" spans="1:21" x14ac:dyDescent="0.25">
      <c r="A21">
        <v>4.8</v>
      </c>
      <c r="B21" s="5">
        <f>EnergyLJ($A21,$C$2,$C$3,shape_factors!B$2,$C$4,shape_factors!B$3)</f>
        <v>2429.7465872096677</v>
      </c>
      <c r="C21" s="5">
        <f>EnergyLJ($A21,$C$2,$C$3,shape_factors!C$2,$C$4,shape_factors!C$3)</f>
        <v>234.25181063296003</v>
      </c>
      <c r="D21" s="5">
        <f>EnergyLJ($A21,$C$2,$C$3,shape_factors!D$2,$C$4,shape_factors!D$3)</f>
        <v>4339.8458481389926</v>
      </c>
      <c r="E21" s="5">
        <f>EnergyLJ($A21,$C$2,$C$3,shape_factors!E$2,$C$4,shape_factors!E$3)</f>
        <v>613.49400789246624</v>
      </c>
      <c r="F21" s="5">
        <f>EnergyLJ($A21,$C$2,$C$3,shape_factors!F$2,$C$4,shape_factors!F$3)</f>
        <v>186.53348250827349</v>
      </c>
      <c r="G21" s="5">
        <f>EnergyLJ($A21,$C$2,$C$3,shape_factors!G$2,$C$4,shape_factors!G$3)</f>
        <v>295.44009652090858</v>
      </c>
      <c r="H21" s="5">
        <f>EnergyLJ($A21,$C$2,$C$3,shape_factors!H$2,$C$4,shape_factors!H$3)</f>
        <v>82397.420501593399</v>
      </c>
      <c r="I21" s="5">
        <f>EnergyLJ($A21,$C$2,$C$3,shape_factors!I$2,$C$4,shape_factors!I$3)</f>
        <v>910.30236425193766</v>
      </c>
      <c r="J21" s="5">
        <f>EnergyLJ($A21,$C$2,$C$3,shape_factors!J$2,$C$4,shape_factors!J$3)</f>
        <v>67.361976920869822</v>
      </c>
      <c r="K21" s="5">
        <f>EnergyLJ($A21,$C$2,$C$3,shape_factors!K$2,$C$4,shape_factors!K$3)</f>
        <v>90.459445430479747</v>
      </c>
      <c r="L21" s="5">
        <f>EnergyLJ($A21,$C$2,$C$3,shape_factors!L$2,$C$4,shape_factors!L$3)</f>
        <v>148.44898318319071</v>
      </c>
      <c r="M21" s="5">
        <f>EnergyLJ($A21,$C$2,$C$3,shape_factors!M$2,$C$4,shape_factors!M$3)</f>
        <v>72.05212356056883</v>
      </c>
      <c r="N21" s="5">
        <f>EnergyLJ($A21,$C$2,$C$3,shape_factors!N$2,$C$4,shape_factors!N$3)</f>
        <v>35.989876379616781</v>
      </c>
      <c r="O21" s="5">
        <f>EnergyLJ($A21,$C$2,$C$3,shape_factors!O$2,$C$4,shape_factors!O$3)</f>
        <v>30.315613150468824</v>
      </c>
      <c r="P21" s="5">
        <f>EnergyLJ($A21,$C$2,$C$3,shape_factors!P$2,$C$4,shape_factors!P$3)</f>
        <v>37.870979502098777</v>
      </c>
      <c r="Q21" s="5">
        <f>EnergyLJ($A21,$C$2,$C$3,shape_factors!Q$2,$C$4,shape_factors!Q$3)</f>
        <v>40.523236756620015</v>
      </c>
      <c r="R21" s="5">
        <f>EnergyLJ($A21,$C$2,$C$3,shape_factors!R$2,$C$4,shape_factors!R$3)</f>
        <v>194.82664352541281</v>
      </c>
      <c r="S21" s="5">
        <f>EnergyLJ($A21,$C$2,$C$3,shape_factors!S$2,$C$4,shape_factors!S$3)</f>
        <v>52.298527828704835</v>
      </c>
      <c r="T21" s="5">
        <f>EnergyLJ($A21,$C$2,$C$3,shape_factors!T$2,$C$4,shape_factors!T$3)</f>
        <v>27.123017848546969</v>
      </c>
      <c r="U21" s="5">
        <f>EnergyLJ($A21,$C$2,$C$3,shape_factors!U$2,$C$4,shape_factors!U$3)</f>
        <v>190.15946736678822</v>
      </c>
    </row>
    <row r="22" spans="1:21" x14ac:dyDescent="0.25">
      <c r="A22">
        <v>5</v>
      </c>
      <c r="B22" s="5">
        <f>EnergyLJ($A22,$C$2,$C$3,shape_factors!B$2,$C$4,shape_factors!B$3)</f>
        <v>1471.1904655564629</v>
      </c>
      <c r="C22" s="5">
        <f>EnergyLJ($A22,$C$2,$C$3,shape_factors!C$2,$C$4,shape_factors!C$3)</f>
        <v>137.82551614904486</v>
      </c>
      <c r="D22" s="5">
        <f>EnergyLJ($A22,$C$2,$C$3,shape_factors!D$2,$C$4,shape_factors!D$3)</f>
        <v>2635.7480525068859</v>
      </c>
      <c r="E22" s="5">
        <f>EnergyLJ($A22,$C$2,$C$3,shape_factors!E$2,$C$4,shape_factors!E$3)</f>
        <v>366.89747930123417</v>
      </c>
      <c r="F22" s="5">
        <f>EnergyLJ($A22,$C$2,$C$3,shape_factors!F$2,$C$4,shape_factors!F$3)</f>
        <v>109.16076064462308</v>
      </c>
      <c r="G22" s="5">
        <f>EnergyLJ($A22,$C$2,$C$3,shape_factors!G$2,$C$4,shape_factors!G$3)</f>
        <v>174.66123675766232</v>
      </c>
      <c r="H22" s="5">
        <f>EnergyLJ($A22,$C$2,$C$3,shape_factors!H$2,$C$4,shape_factors!H$3)</f>
        <v>50385.310531316616</v>
      </c>
      <c r="I22" s="5">
        <f>EnergyLJ($A22,$C$2,$C$3,shape_factors!I$2,$C$4,shape_factors!I$3)</f>
        <v>546.87346623957774</v>
      </c>
      <c r="J22" s="5">
        <f>EnergyLJ($A22,$C$2,$C$3,shape_factors!J$2,$C$4,shape_factors!J$3)</f>
        <v>38.033786054430031</v>
      </c>
      <c r="K22" s="5">
        <f>EnergyLJ($A22,$C$2,$C$3,shape_factors!K$2,$C$4,shape_factors!K$3)</f>
        <v>51.734563241877474</v>
      </c>
      <c r="L22" s="5">
        <f>EnergyLJ($A22,$C$2,$C$3,shape_factors!L$2,$C$4,shape_factors!L$3)</f>
        <v>86.338001904078794</v>
      </c>
      <c r="M22" s="5">
        <f>EnergyLJ($A22,$C$2,$C$3,shape_factors!M$2,$C$4,shape_factors!M$3)</f>
        <v>40.810315721181979</v>
      </c>
      <c r="N22" s="5">
        <f>EnergyLJ($A22,$C$2,$C$3,shape_factors!N$2,$C$4,shape_factors!N$3)</f>
        <v>19.57329467304702</v>
      </c>
      <c r="O22" s="5">
        <f>EnergyLJ($A22,$C$2,$C$3,shape_factors!O$2,$C$4,shape_factors!O$3)</f>
        <v>16.265825786640516</v>
      </c>
      <c r="P22" s="5">
        <f>EnergyLJ($A22,$C$2,$C$3,shape_factors!P$2,$C$4,shape_factors!P$3)</f>
        <v>20.672674635491958</v>
      </c>
      <c r="Q22" s="5">
        <f>EnergyLJ($A22,$C$2,$C$3,shape_factors!Q$2,$C$4,shape_factors!Q$3)</f>
        <v>22.224881157847154</v>
      </c>
      <c r="R22" s="5">
        <f>EnergyLJ($A22,$C$2,$C$3,shape_factors!R$2,$C$4,shape_factors!R$3)</f>
        <v>114.13769349057125</v>
      </c>
      <c r="S22" s="5">
        <f>EnergyLJ($A22,$C$2,$C$3,shape_factors!S$2,$C$4,shape_factors!S$3)</f>
        <v>29.141309009138375</v>
      </c>
      <c r="T22" s="5">
        <f>EnergyLJ($A22,$C$2,$C$3,shape_factors!T$2,$C$4,shape_factors!T$3)</f>
        <v>14.411687218710714</v>
      </c>
      <c r="U22" s="5">
        <f>EnergyLJ($A22,$C$2,$C$3,shape_factors!U$2,$C$4,shape_factors!U$3)</f>
        <v>111.33652652633133</v>
      </c>
    </row>
    <row r="23" spans="1:21" x14ac:dyDescent="0.25">
      <c r="A23">
        <v>5.2</v>
      </c>
      <c r="B23" s="5">
        <f>EnergyLJ($A23,$C$2,$C$3,shape_factors!B$2,$C$4,shape_factors!B$3)</f>
        <v>905.52207985098084</v>
      </c>
      <c r="C23" s="5">
        <f>EnergyLJ($A23,$C$2,$C$3,shape_factors!C$2,$C$4,shape_factors!C$3)</f>
        <v>81.735139433488158</v>
      </c>
      <c r="D23" s="5">
        <f>EnergyLJ($A23,$C$2,$C$3,shape_factors!D$2,$C$4,shape_factors!D$3)</f>
        <v>1628.4930563052956</v>
      </c>
      <c r="E23" s="5">
        <f>EnergyLJ($A23,$C$2,$C$3,shape_factors!E$2,$C$4,shape_factors!E$3)</f>
        <v>222.30050461995637</v>
      </c>
      <c r="F23" s="5">
        <f>EnergyLJ($A23,$C$2,$C$3,shape_factors!F$2,$C$4,shape_factors!F$3)</f>
        <v>64.268109458214468</v>
      </c>
      <c r="G23" s="5">
        <f>EnergyLJ($A23,$C$2,$C$3,shape_factors!G$2,$C$4,shape_factors!G$3)</f>
        <v>104.24301880117825</v>
      </c>
      <c r="H23" s="5">
        <f>EnergyLJ($A23,$C$2,$C$3,shape_factors!H$2,$C$4,shape_factors!H$3)</f>
        <v>31393.934162954472</v>
      </c>
      <c r="I23" s="5">
        <f>EnergyLJ($A23,$C$2,$C$3,shape_factors!I$2,$C$4,shape_factors!I$3)</f>
        <v>333.27780715715744</v>
      </c>
      <c r="J23" s="5">
        <f>EnergyLJ($A23,$C$2,$C$3,shape_factors!J$2,$C$4,shape_factors!J$3)</f>
        <v>21.284582075663071</v>
      </c>
      <c r="K23" s="5">
        <f>EnergyLJ($A23,$C$2,$C$3,shape_factors!K$2,$C$4,shape_factors!K$3)</f>
        <v>29.497809879370688</v>
      </c>
      <c r="L23" s="5">
        <f>EnergyLJ($A23,$C$2,$C$3,shape_factors!L$2,$C$4,shape_factors!L$3)</f>
        <v>50.403636362627807</v>
      </c>
      <c r="M23" s="5">
        <f>EnergyLJ($A23,$C$2,$C$3,shape_factors!M$2,$C$4,shape_factors!M$3)</f>
        <v>22.9446715548398</v>
      </c>
      <c r="N23" s="5">
        <f>EnergyLJ($A23,$C$2,$C$3,shape_factors!N$2,$C$4,shape_factors!N$3)</f>
        <v>10.335104321123227</v>
      </c>
      <c r="O23" s="5">
        <f>EnergyLJ($A23,$C$2,$C$3,shape_factors!O$2,$C$4,shape_factors!O$3)</f>
        <v>8.3983445261282323</v>
      </c>
      <c r="P23" s="5">
        <f>EnergyLJ($A23,$C$2,$C$3,shape_factors!P$2,$C$4,shape_factors!P$3)</f>
        <v>10.981199006938891</v>
      </c>
      <c r="Q23" s="5">
        <f>EnergyLJ($A23,$C$2,$C$3,shape_factors!Q$2,$C$4,shape_factors!Q$3)</f>
        <v>11.895125297905979</v>
      </c>
      <c r="R23" s="5">
        <f>EnergyLJ($A23,$C$2,$C$3,shape_factors!R$2,$C$4,shape_factors!R$3)</f>
        <v>67.297072791419069</v>
      </c>
      <c r="S23" s="5">
        <f>EnergyLJ($A23,$C$2,$C$3,shape_factors!S$2,$C$4,shape_factors!S$3)</f>
        <v>15.987473163203603</v>
      </c>
      <c r="T23" s="5">
        <f>EnergyLJ($A23,$C$2,$C$3,shape_factors!T$2,$C$4,shape_factors!T$3)</f>
        <v>7.3180597889098644</v>
      </c>
      <c r="U23" s="5">
        <f>EnergyLJ($A23,$C$2,$C$3,shape_factors!U$2,$C$4,shape_factors!U$3)</f>
        <v>65.592064857712629</v>
      </c>
    </row>
    <row r="24" spans="1:21" x14ac:dyDescent="0.25">
      <c r="A24">
        <v>5.4</v>
      </c>
      <c r="B24" s="5">
        <f>EnergyLJ($A24,$C$2,$C$3,shape_factors!B$2,$C$4,shape_factors!B$3)</f>
        <v>565.41428887877112</v>
      </c>
      <c r="C24" s="5">
        <f>EnergyLJ($A24,$C$2,$C$3,shape_factors!C$2,$C$4,shape_factors!C$3)</f>
        <v>48.614428438495906</v>
      </c>
      <c r="D24" s="5">
        <f>EnergyLJ($A24,$C$2,$C$3,shape_factors!D$2,$C$4,shape_factors!D$3)</f>
        <v>1021.6766020312403</v>
      </c>
      <c r="E24" s="5">
        <f>EnergyLJ($A24,$C$2,$C$3,shape_factors!E$2,$C$4,shape_factors!E$3)</f>
        <v>136.04888729013408</v>
      </c>
      <c r="F24" s="5">
        <f>EnergyLJ($A24,$C$2,$C$3,shape_factors!F$2,$C$4,shape_factors!F$3)</f>
        <v>37.845679953437163</v>
      </c>
      <c r="G24" s="5">
        <f>EnergyLJ($A24,$C$2,$C$3,shape_factors!G$2,$C$4,shape_factors!G$3)</f>
        <v>62.539785887852545</v>
      </c>
      <c r="H24" s="5">
        <f>EnergyLJ($A24,$C$2,$C$3,shape_factors!H$2,$C$4,shape_factors!H$3)</f>
        <v>19900.999175073241</v>
      </c>
      <c r="I24" s="5">
        <f>EnergyLJ($A24,$C$2,$C$3,shape_factors!I$2,$C$4,shape_factors!I$3)</f>
        <v>205.50148738536899</v>
      </c>
      <c r="J24" s="5">
        <f>EnergyLJ($A24,$C$2,$C$3,shape_factors!J$2,$C$4,shape_factors!J$3)</f>
        <v>11.628369177940975</v>
      </c>
      <c r="K24" s="5">
        <f>EnergyLJ($A24,$C$2,$C$3,shape_factors!K$2,$C$4,shape_factors!K$3)</f>
        <v>16.585020189191482</v>
      </c>
      <c r="L24" s="5">
        <f>EnergyLJ($A24,$C$2,$C$3,shape_factors!L$2,$C$4,shape_factors!L$3)</f>
        <v>29.331702886038279</v>
      </c>
      <c r="M24" s="5">
        <f>EnergyLJ($A24,$C$2,$C$3,shape_factors!M$2,$C$4,shape_factors!M$3)</f>
        <v>12.626725172631273</v>
      </c>
      <c r="N24" s="5">
        <f>EnergyLJ($A24,$C$2,$C$3,shape_factors!N$2,$C$4,shape_factors!N$3)</f>
        <v>5.1143865194337002</v>
      </c>
      <c r="O24" s="5">
        <f>EnergyLJ($A24,$C$2,$C$3,shape_factors!O$2,$C$4,shape_factors!O$3)</f>
        <v>3.9824697617156688</v>
      </c>
      <c r="P24" s="5">
        <f>EnergyLJ($A24,$C$2,$C$3,shape_factors!P$2,$C$4,shape_factors!P$3)</f>
        <v>5.4939032868416904</v>
      </c>
      <c r="Q24" s="5">
        <f>EnergyLJ($A24,$C$2,$C$3,shape_factors!Q$2,$C$4,shape_factors!Q$3)</f>
        <v>6.0321449878918694</v>
      </c>
      <c r="R24" s="5">
        <f>EnergyLJ($A24,$C$2,$C$3,shape_factors!R$2,$C$4,shape_factors!R$3)</f>
        <v>39.710123412808613</v>
      </c>
      <c r="S24" s="5">
        <f>EnergyLJ($A24,$C$2,$C$3,shape_factors!S$2,$C$4,shape_factors!S$3)</f>
        <v>8.4586238338127622</v>
      </c>
      <c r="T24" s="5">
        <f>EnergyLJ($A24,$C$2,$C$3,shape_factors!T$2,$C$4,shape_factors!T$3)</f>
        <v>3.3555861000248068</v>
      </c>
      <c r="U24" s="5">
        <f>EnergyLJ($A24,$C$2,$C$3,shape_factors!U$2,$C$4,shape_factors!U$3)</f>
        <v>38.660454153815358</v>
      </c>
    </row>
    <row r="25" spans="1:21" x14ac:dyDescent="0.25">
      <c r="A25">
        <v>5.6</v>
      </c>
      <c r="B25" s="5">
        <f>EnergyLJ($A25,$C$2,$C$3,shape_factors!B$2,$C$4,shape_factors!B$3)</f>
        <v>357.43783421173742</v>
      </c>
      <c r="C25" s="5">
        <f>EnergyLJ($A25,$C$2,$C$3,shape_factors!C$2,$C$4,shape_factors!C$3)</f>
        <v>28.814748523350541</v>
      </c>
      <c r="D25" s="5">
        <f>EnergyLJ($A25,$C$2,$C$3,shape_factors!D$2,$C$4,shape_factors!D$3)</f>
        <v>649.70167196999296</v>
      </c>
      <c r="E25" s="5">
        <f>EnergyLJ($A25,$C$2,$C$3,shape_factors!E$2,$C$4,shape_factors!E$3)</f>
        <v>83.822437014957515</v>
      </c>
      <c r="F25" s="5">
        <f>EnergyLJ($A25,$C$2,$C$3,shape_factors!F$2,$C$4,shape_factors!F$3)</f>
        <v>22.116195042814368</v>
      </c>
      <c r="G25" s="5">
        <f>EnergyLJ($A25,$C$2,$C$3,shape_factors!G$2,$C$4,shape_factors!G$3)</f>
        <v>37.515996122279773</v>
      </c>
      <c r="H25" s="5">
        <f>EnergyLJ($A25,$C$2,$C$3,shape_factors!H$2,$C$4,shape_factors!H$3)</f>
        <v>12817.143411967734</v>
      </c>
      <c r="I25" s="5">
        <f>EnergyLJ($A25,$C$2,$C$3,shape_factors!I$2,$C$4,shape_factors!I$3)</f>
        <v>127.85308869712118</v>
      </c>
      <c r="J25" s="5">
        <f>EnergyLJ($A25,$C$2,$C$3,shape_factors!J$2,$C$4,shape_factors!J$3)</f>
        <v>6.0349368212673005</v>
      </c>
      <c r="K25" s="5">
        <f>EnergyLJ($A25,$C$2,$C$3,shape_factors!K$2,$C$4,shape_factors!K$3)</f>
        <v>9.0323630490390272</v>
      </c>
      <c r="L25" s="5">
        <f>EnergyLJ($A25,$C$2,$C$3,shape_factors!L$2,$C$4,shape_factors!L$3)</f>
        <v>16.847245214153848</v>
      </c>
      <c r="M25" s="5">
        <f>EnergyLJ($A25,$C$2,$C$3,shape_factors!M$2,$C$4,shape_factors!M$3)</f>
        <v>6.6358015248365296</v>
      </c>
      <c r="N25" s="5">
        <f>EnergyLJ($A25,$C$2,$C$3,shape_factors!N$2,$C$4,shape_factors!N$3)</f>
        <v>2.1727611964923454</v>
      </c>
      <c r="O25" s="5">
        <f>EnergyLJ($A25,$C$2,$C$3,shape_factors!O$2,$C$4,shape_factors!O$3)</f>
        <v>1.5185043041084518</v>
      </c>
      <c r="P25" s="5">
        <f>EnergyLJ($A25,$C$2,$C$3,shape_factors!P$2,$C$4,shape_factors!P$3)</f>
        <v>2.3937446198331984</v>
      </c>
      <c r="Q25" s="5">
        <f>EnergyLJ($A25,$C$2,$C$3,shape_factors!Q$2,$C$4,shape_factors!Q$3)</f>
        <v>2.7083286347141353</v>
      </c>
      <c r="R25" s="5">
        <f>EnergyLJ($A25,$C$2,$C$3,shape_factors!R$2,$C$4,shape_factors!R$3)</f>
        <v>23.273565493818229</v>
      </c>
      <c r="S25" s="5">
        <f>EnergyLJ($A25,$C$2,$C$3,shape_factors!S$2,$C$4,shape_factors!S$3)</f>
        <v>4.1402592120924702</v>
      </c>
      <c r="T25" s="5">
        <f>EnergyLJ($A25,$C$2,$C$3,shape_factors!T$2,$C$4,shape_factors!T$3)</f>
        <v>1.1599480534828031</v>
      </c>
      <c r="U25" s="5">
        <f>EnergyLJ($A25,$C$2,$C$3,shape_factors!U$2,$C$4,shape_factors!U$3)</f>
        <v>22.621836026476537</v>
      </c>
    </row>
    <row r="26" spans="1:21" x14ac:dyDescent="0.25">
      <c r="A26">
        <v>5.8</v>
      </c>
      <c r="B26" s="5">
        <f>EnergyLJ($A26,$C$2,$C$3,shape_factors!B$2,$C$4,shape_factors!B$3)</f>
        <v>228.30480478158808</v>
      </c>
      <c r="C26" s="5">
        <f>EnergyLJ($A26,$C$2,$C$3,shape_factors!C$2,$C$4,shape_factors!C$3)</f>
        <v>16.8662450892217</v>
      </c>
      <c r="D26" s="5">
        <f>EnergyLJ($A26,$C$2,$C$3,shape_factors!D$2,$C$4,shape_factors!D$3)</f>
        <v>418.05258554945021</v>
      </c>
      <c r="E26" s="5">
        <f>EnergyLJ($A26,$C$2,$C$3,shape_factors!E$2,$C$4,shape_factors!E$3)</f>
        <v>51.787907618544942</v>
      </c>
      <c r="F26" s="5">
        <f>EnergyLJ($A26,$C$2,$C$3,shape_factors!F$2,$C$4,shape_factors!F$3)</f>
        <v>12.67524486948655</v>
      </c>
      <c r="G26" s="5">
        <f>EnergyLJ($A26,$C$2,$C$3,shape_factors!G$2,$C$4,shape_factors!G$3)</f>
        <v>22.342178758535258</v>
      </c>
      <c r="H26" s="5">
        <f>EnergyLJ($A26,$C$2,$C$3,shape_factors!H$2,$C$4,shape_factors!H$3)</f>
        <v>8376.2280692740442</v>
      </c>
      <c r="I26" s="5">
        <f>EnergyLJ($A26,$C$2,$C$3,shape_factors!I$2,$C$4,shape_factors!I$3)</f>
        <v>80.011552949385077</v>
      </c>
      <c r="J26" s="5">
        <f>EnergyLJ($A26,$C$2,$C$3,shape_factors!J$2,$C$4,shape_factors!J$3)</f>
        <v>2.7988397793647102</v>
      </c>
      <c r="K26" s="5">
        <f>EnergyLJ($A26,$C$2,$C$3,shape_factors!K$2,$C$4,shape_factors!K$3)</f>
        <v>4.6042591023215262</v>
      </c>
      <c r="L26" s="5">
        <f>EnergyLJ($A26,$C$2,$C$3,shape_factors!L$2,$C$4,shape_factors!L$3)</f>
        <v>9.4007430118080766</v>
      </c>
      <c r="M26" s="5">
        <f>EnergyLJ($A26,$C$2,$C$3,shape_factors!M$2,$C$4,shape_factors!M$3)</f>
        <v>3.1583483707082496</v>
      </c>
      <c r="N26" s="5">
        <f>EnergyLJ($A26,$C$2,$C$3,shape_factors!N$2,$C$4,shape_factors!N$3)</f>
        <v>0.53714511022506928</v>
      </c>
      <c r="O26" s="5">
        <f>EnergyLJ($A26,$C$2,$C$3,shape_factors!O$2,$C$4,shape_factors!O$3)</f>
        <v>0.16843458554870852</v>
      </c>
      <c r="P26" s="5">
        <f>EnergyLJ($A26,$C$2,$C$3,shape_factors!P$2,$C$4,shape_factors!P$3)</f>
        <v>0.66310277566342202</v>
      </c>
      <c r="Q26" s="5">
        <f>EnergyLJ($A26,$C$2,$C$3,shape_factors!Q$2,$C$4,shape_factors!Q$3)</f>
        <v>0.84343831284227766</v>
      </c>
      <c r="R26" s="5">
        <f>EnergyLJ($A26,$C$2,$C$3,shape_factors!R$2,$C$4,shape_factors!R$3)</f>
        <v>13.397421022140765</v>
      </c>
      <c r="S26" s="5">
        <f>EnergyLJ($A26,$C$2,$C$3,shape_factors!S$2,$C$4,shape_factors!S$3)</f>
        <v>1.6762120664082041</v>
      </c>
      <c r="T26" s="5">
        <f>EnergyLJ($A26,$C$2,$C$3,shape_factors!T$2,$C$4,shape_factors!T$3)</f>
        <v>-3.0308973674500209E-2</v>
      </c>
      <c r="U26" s="5">
        <f>EnergyLJ($A26,$C$2,$C$3,shape_factors!U$2,$C$4,shape_factors!U$3)</f>
        <v>12.990642374067292</v>
      </c>
    </row>
    <row r="27" spans="1:21" x14ac:dyDescent="0.25">
      <c r="A27">
        <v>6</v>
      </c>
      <c r="B27" s="5">
        <f>EnergyLJ($A27,$C$2,$C$3,shape_factors!B$2,$C$4,shape_factors!B$3)</f>
        <v>147.02085599050378</v>
      </c>
      <c r="C27" s="5">
        <f>EnergyLJ($A27,$C$2,$C$3,shape_factors!C$2,$C$4,shape_factors!C$3)</f>
        <v>9.6108370340577789</v>
      </c>
      <c r="D27" s="5">
        <f>EnergyLJ($A27,$C$2,$C$3,shape_factors!D$2,$C$4,shape_factors!D$3)</f>
        <v>271.70858949637767</v>
      </c>
      <c r="E27" s="5">
        <f>EnergyLJ($A27,$C$2,$C$3,shape_factors!E$2,$C$4,shape_factors!E$3)</f>
        <v>31.925983092335226</v>
      </c>
      <c r="F27" s="5">
        <f>EnergyLJ($A27,$C$2,$C$3,shape_factors!F$2,$C$4,shape_factors!F$3)</f>
        <v>6.9831213523576521</v>
      </c>
      <c r="G27" s="5">
        <f>EnergyLJ($A27,$C$2,$C$3,shape_factors!G$2,$C$4,shape_factors!G$3)</f>
        <v>13.070690389745183</v>
      </c>
      <c r="H27" s="5">
        <f>EnergyLJ($A27,$C$2,$C$3,shape_factors!H$2,$C$4,shape_factors!H$3)</f>
        <v>5548.1136154304413</v>
      </c>
      <c r="I27" s="5">
        <f>EnergyLJ($A27,$C$2,$C$3,shape_factors!I$2,$C$4,shape_factors!I$3)</f>
        <v>50.182474552022207</v>
      </c>
      <c r="J27" s="5">
        <f>EnergyLJ($A27,$C$2,$C$3,shape_factors!J$2,$C$4,shape_factors!J$3)</f>
        <v>0.94418400453945472</v>
      </c>
      <c r="K27" s="5">
        <f>EnergyLJ($A27,$C$2,$C$3,shape_factors!K$2,$C$4,shape_factors!K$3)</f>
        <v>2.018127155117996</v>
      </c>
      <c r="L27" s="5">
        <f>EnergyLJ($A27,$C$2,$C$3,shape_factors!L$2,$C$4,shape_factors!L$3)</f>
        <v>4.9483427097602348</v>
      </c>
      <c r="M27" s="5">
        <f>EnergyLJ($A27,$C$2,$C$3,shape_factors!M$2,$C$4,shape_factors!M$3)</f>
        <v>1.155961677103629</v>
      </c>
      <c r="N27" s="5">
        <f>EnergyLJ($A27,$C$2,$C$3,shape_factors!N$2,$C$4,shape_factors!N$3)</f>
        <v>-0.34550614972707716</v>
      </c>
      <c r="O27" s="5">
        <f>EnergyLJ($A27,$C$2,$C$3,shape_factors!O$2,$C$4,shape_factors!O$3)</f>
        <v>-0.54297003875943328</v>
      </c>
      <c r="P27" s="5">
        <f>EnergyLJ($A27,$C$2,$C$3,shape_factors!P$2,$C$4,shape_factors!P$3)</f>
        <v>-0.27674006605617918</v>
      </c>
      <c r="Q27" s="5">
        <f>EnergyLJ($A27,$C$2,$C$3,shape_factors!Q$2,$C$4,shape_factors!Q$3)</f>
        <v>-0.1773514101446228</v>
      </c>
      <c r="R27" s="5">
        <f>EnergyLJ($A27,$C$2,$C$3,shape_factors!R$2,$C$4,shape_factors!R$3)</f>
        <v>7.4343077716518611</v>
      </c>
      <c r="S27" s="5">
        <f>EnergyLJ($A27,$C$2,$C$3,shape_factors!S$2,$C$4,shape_factors!S$3)</f>
        <v>0.29241043621409685</v>
      </c>
      <c r="T27" s="5">
        <f>EnergyLJ($A27,$C$2,$C$3,shape_factors!T$2,$C$4,shape_factors!T$3)</f>
        <v>-0.64634644755588988</v>
      </c>
      <c r="U27" s="5">
        <f>EnergyLJ($A27,$C$2,$C$3,shape_factors!U$2,$C$4,shape_factors!U$3)</f>
        <v>7.180075411144073</v>
      </c>
    </row>
    <row r="28" spans="1:21" x14ac:dyDescent="0.25">
      <c r="A28">
        <v>6.2</v>
      </c>
      <c r="B28" s="5">
        <f>EnergyLJ($A28,$C$2,$C$3,shape_factors!B$2,$C$4,shape_factors!B$3)</f>
        <v>95.2294661206152</v>
      </c>
      <c r="C28" s="5">
        <f>EnergyLJ($A28,$C$2,$C$3,shape_factors!C$2,$C$4,shape_factors!C$3)</f>
        <v>5.1947964943709248</v>
      </c>
      <c r="D28" s="5">
        <f>EnergyLJ($A28,$C$2,$C$3,shape_factors!D$2,$C$4,shape_factors!D$3)</f>
        <v>178.05017298949869</v>
      </c>
      <c r="E28" s="5">
        <f>EnergyLJ($A28,$C$2,$C$3,shape_factors!E$2,$C$4,shape_factors!E$3)</f>
        <v>19.506158348362224</v>
      </c>
      <c r="F28" s="5">
        <f>EnergyLJ($A28,$C$2,$C$3,shape_factors!F$2,$C$4,shape_factors!F$3)</f>
        <v>3.5513826271552089</v>
      </c>
      <c r="G28" s="5">
        <f>EnergyLJ($A28,$C$2,$C$3,shape_factors!G$2,$C$4,shape_factors!G$3)</f>
        <v>7.3810672549962666</v>
      </c>
      <c r="H28" s="5">
        <f>EnergyLJ($A28,$C$2,$C$3,shape_factors!H$2,$C$4,shape_factors!H$3)</f>
        <v>3720.6431259346064</v>
      </c>
      <c r="I28" s="5">
        <f>EnergyLJ($A28,$C$2,$C$3,shape_factors!I$2,$C$4,shape_factors!I$3)</f>
        <v>31.398452722491683</v>
      </c>
      <c r="J28" s="5">
        <f>EnergyLJ($A28,$C$2,$C$3,shape_factors!J$2,$C$4,shape_factors!J$3)</f>
        <v>-9.5575487610953788E-2</v>
      </c>
      <c r="K28" s="5">
        <f>EnergyLJ($A28,$C$2,$C$3,shape_factors!K$2,$C$4,shape_factors!K$3)</f>
        <v>0.52696700640461991</v>
      </c>
      <c r="L28" s="5">
        <f>EnergyLJ($A28,$C$2,$C$3,shape_factors!L$2,$C$4,shape_factors!L$3)</f>
        <v>2.2942898506097311</v>
      </c>
      <c r="M28" s="5">
        <f>EnergyLJ($A28,$C$2,$C$3,shape_factors!M$2,$C$4,shape_factors!M$3)</f>
        <v>2.5337561803200882E-2</v>
      </c>
      <c r="N28" s="5">
        <f>EnergyLJ($A28,$C$2,$C$3,shape_factors!N$2,$C$4,shape_factors!N$3)</f>
        <v>-0.79352478505993318</v>
      </c>
      <c r="O28" s="5">
        <f>EnergyLJ($A28,$C$2,$C$3,shape_factors!O$2,$C$4,shape_factors!O$3)</f>
        <v>-0.88848876683621147</v>
      </c>
      <c r="P28" s="5">
        <f>EnergyLJ($A28,$C$2,$C$3,shape_factors!P$2,$C$4,shape_factors!P$3)</f>
        <v>-0.75915681182006567</v>
      </c>
      <c r="Q28" s="5">
        <f>EnergyLJ($A28,$C$2,$C$3,shape_factors!Q$2,$C$4,shape_factors!Q$3)</f>
        <v>-0.70857529507432915</v>
      </c>
      <c r="R28" s="5">
        <f>EnergyLJ($A28,$C$2,$C$3,shape_factors!R$2,$C$4,shape_factors!R$3)</f>
        <v>3.8321982318256236</v>
      </c>
      <c r="S28" s="5">
        <f>EnergyLJ($A28,$C$2,$C$3,shape_factors!S$2,$C$4,shape_factors!S$3)</f>
        <v>-0.4591087178783464</v>
      </c>
      <c r="T28" s="5">
        <f>EnergyLJ($A28,$C$2,$C$3,shape_factors!T$2,$C$4,shape_factors!T$3)</f>
        <v>-0.93517123408249159</v>
      </c>
      <c r="U28" s="5">
        <f>EnergyLJ($A28,$C$2,$C$3,shape_factors!U$2,$C$4,shape_factors!U$3)</f>
        <v>3.6738861603584891</v>
      </c>
    </row>
    <row r="29" spans="1:21" x14ac:dyDescent="0.25">
      <c r="A29">
        <v>6.4</v>
      </c>
      <c r="B29" s="5">
        <f>EnergyLJ($A29,$C$2,$C$3,shape_factors!B$2,$C$4,shape_factors!B$3)</f>
        <v>61.875711894115007</v>
      </c>
      <c r="C29" s="5">
        <f>EnergyLJ($A29,$C$2,$C$3,shape_factors!C$2,$C$4,shape_factors!C$3)</f>
        <v>2.5137475606474902</v>
      </c>
      <c r="D29" s="5">
        <f>EnergyLJ($A29,$C$2,$C$3,shape_factors!D$2,$C$4,shape_factors!D$3)</f>
        <v>117.40879416502702</v>
      </c>
      <c r="E29" s="5">
        <f>EnergyLJ($A29,$C$2,$C$3,shape_factors!E$2,$C$4,shape_factors!E$3)</f>
        <v>11.693227180083444</v>
      </c>
      <c r="F29" s="5">
        <f>EnergyLJ($A29,$C$2,$C$3,shape_factors!F$2,$C$4,shape_factors!F$3)</f>
        <v>1.4949575433327424</v>
      </c>
      <c r="G29" s="5">
        <f>EnergyLJ($A29,$C$2,$C$3,shape_factors!G$2,$C$4,shape_factors!G$3)</f>
        <v>3.888487155768094</v>
      </c>
      <c r="H29" s="5">
        <f>EnergyLJ($A29,$C$2,$C$3,shape_factors!H$2,$C$4,shape_factors!H$3)</f>
        <v>2523.6757992665143</v>
      </c>
      <c r="I29" s="5">
        <f>EnergyLJ($A29,$C$2,$C$3,shape_factors!I$2,$C$4,shape_factors!I$3)</f>
        <v>19.476365267925953</v>
      </c>
      <c r="J29" s="5">
        <f>EnergyLJ($A29,$C$2,$C$3,shape_factors!J$2,$C$4,shape_factors!J$3)</f>
        <v>-0.6533945093560638</v>
      </c>
      <c r="K29" s="5">
        <f>EnergyLJ($A29,$C$2,$C$3,shape_factors!K$2,$C$4,shape_factors!K$3)</f>
        <v>-0.31000220143335933</v>
      </c>
      <c r="L29" s="5">
        <f>EnergyLJ($A29,$C$2,$C$3,shape_factors!L$2,$C$4,shape_factors!L$3)</f>
        <v>0.72907037747353176</v>
      </c>
      <c r="M29" s="5">
        <f>EnergyLJ($A29,$C$2,$C$3,shape_factors!M$2,$C$4,shape_factors!M$3)</f>
        <v>-0.58842783830974243</v>
      </c>
      <c r="N29" s="5">
        <f>EnergyLJ($A29,$C$2,$C$3,shape_factors!N$2,$C$4,shape_factors!N$3)</f>
        <v>-0.99198506231099681</v>
      </c>
      <c r="O29" s="5">
        <f>EnergyLJ($A29,$C$2,$C$3,shape_factors!O$2,$C$4,shape_factors!O$3)</f>
        <v>-1.0261459654671341</v>
      </c>
      <c r="P29" s="5">
        <f>EnergyLJ($A29,$C$2,$C$3,shape_factors!P$2,$C$4,shape_factors!P$3)</f>
        <v>-0.97816124973433582</v>
      </c>
      <c r="Q29" s="5">
        <f>EnergyLJ($A29,$C$2,$C$3,shape_factors!Q$2,$C$4,shape_factors!Q$3)</f>
        <v>-0.95683083277813064</v>
      </c>
      <c r="R29" s="5">
        <f>EnergyLJ($A29,$C$2,$C$3,shape_factors!R$2,$C$4,shape_factors!R$3)</f>
        <v>1.6678609481844691</v>
      </c>
      <c r="S29" s="5">
        <f>EnergyLJ($A29,$C$2,$C$3,shape_factors!S$2,$C$4,shape_factors!S$3)</f>
        <v>-0.84057014022657772</v>
      </c>
      <c r="T29" s="5">
        <f>EnergyLJ($A29,$C$2,$C$3,shape_factors!T$2,$C$4,shape_factors!T$3)</f>
        <v>-1.0395229132092878</v>
      </c>
      <c r="U29" s="5">
        <f>EnergyLJ($A29,$C$2,$C$3,shape_factors!U$2,$C$4,shape_factors!U$3)</f>
        <v>1.5703161239109091</v>
      </c>
    </row>
    <row r="30" spans="1:21" x14ac:dyDescent="0.25">
      <c r="A30">
        <v>6.6</v>
      </c>
      <c r="B30" s="5">
        <f>EnergyLJ($A30,$C$2,$C$3,shape_factors!B$2,$C$4,shape_factors!B$3)</f>
        <v>40.198300294338409</v>
      </c>
      <c r="C30" s="5">
        <f>EnergyLJ($A30,$C$2,$C$3,shape_factors!C$2,$C$4,shape_factors!C$3)</f>
        <v>0.90099120449919967</v>
      </c>
      <c r="D30" s="5">
        <f>EnergyLJ($A30,$C$2,$C$3,shape_factors!D$2,$C$4,shape_factors!D$3)</f>
        <v>77.737528746919992</v>
      </c>
      <c r="E30" s="5">
        <f>EnergyLJ($A30,$C$2,$C$3,shape_factors!E$2,$C$4,shape_factors!E$3)</f>
        <v>6.763110844256869</v>
      </c>
      <c r="F30" s="5">
        <f>EnergyLJ($A30,$C$2,$C$3,shape_factors!F$2,$C$4,shape_factors!F$3)</f>
        <v>0.28077815568626757</v>
      </c>
      <c r="G30" s="5">
        <f>EnergyLJ($A30,$C$2,$C$3,shape_factors!G$2,$C$4,shape_factors!G$3)</f>
        <v>1.7551925021054151</v>
      </c>
      <c r="H30" s="5">
        <f>EnergyLJ($A30,$C$2,$C$3,shape_factors!H$2,$C$4,shape_factors!H$3)</f>
        <v>1729.752161379972</v>
      </c>
      <c r="I30" s="5">
        <f>EnergyLJ($A30,$C$2,$C$3,shape_factors!I$2,$C$4,shape_factors!I$3)</f>
        <v>11.867166296290751</v>
      </c>
      <c r="J30" s="5">
        <f>EnergyLJ($A30,$C$2,$C$3,shape_factors!J$2,$C$4,shape_factors!J$3)</f>
        <v>-0.92690868772627422</v>
      </c>
      <c r="K30" s="5">
        <f>EnergyLJ($A30,$C$2,$C$3,shape_factors!K$2,$C$4,shape_factors!K$3)</f>
        <v>-0.75574248693533597</v>
      </c>
      <c r="L30" s="5">
        <f>EnergyLJ($A30,$C$2,$C$3,shape_factors!L$2,$C$4,shape_factors!L$3)</f>
        <v>-0.17352822799103737</v>
      </c>
      <c r="M30" s="5">
        <f>EnergyLJ($A30,$C$2,$C$3,shape_factors!M$2,$C$4,shape_factors!M$3)</f>
        <v>-0.89625573408562165</v>
      </c>
      <c r="N30" s="5">
        <f>EnergyLJ($A30,$C$2,$C$3,shape_factors!N$2,$C$4,shape_factors!N$3)</f>
        <v>-1.049243481930729</v>
      </c>
      <c r="O30" s="5">
        <f>EnergyLJ($A30,$C$2,$C$3,shape_factors!O$2,$C$4,shape_factors!O$3)</f>
        <v>-1.0480337952132335</v>
      </c>
      <c r="P30" s="5">
        <f>EnergyLJ($A30,$C$2,$C$3,shape_factors!P$2,$C$4,shape_factors!P$3)</f>
        <v>-1.0474910061431126</v>
      </c>
      <c r="Q30" s="5">
        <f>EnergyLJ($A30,$C$2,$C$3,shape_factors!Q$2,$C$4,shape_factors!Q$3)</f>
        <v>-1.0434348458696985</v>
      </c>
      <c r="R30" s="5">
        <f>EnergyLJ($A30,$C$2,$C$3,shape_factors!R$2,$C$4,shape_factors!R$3)</f>
        <v>0.38498581714877933</v>
      </c>
      <c r="S30" s="5">
        <f>EnergyLJ($A30,$C$2,$C$3,shape_factors!S$2,$C$4,shape_factors!S$3)</f>
        <v>-1.0068474854271685</v>
      </c>
      <c r="T30" s="5">
        <f>EnergyLJ($A30,$C$2,$C$3,shape_factors!T$2,$C$4,shape_factors!T$3)</f>
        <v>-1.0423174692784427</v>
      </c>
      <c r="U30" s="5">
        <f>EnergyLJ($A30,$C$2,$C$3,shape_factors!U$2,$C$4,shape_factors!U$3)</f>
        <v>0.32613425389302181</v>
      </c>
    </row>
    <row r="31" spans="1:21" x14ac:dyDescent="0.25">
      <c r="A31">
        <v>6.8</v>
      </c>
      <c r="B31" s="5">
        <f>EnergyLJ($A31,$C$2,$C$3,shape_factors!B$2,$C$4,shape_factors!B$3)</f>
        <v>26.002501541225694</v>
      </c>
      <c r="C31" s="5">
        <f>EnergyLJ($A31,$C$2,$C$3,shape_factors!C$2,$C$4,shape_factors!C$3)</f>
        <v>-5.0649632247065382E-2</v>
      </c>
      <c r="D31" s="5">
        <f>EnergyLJ($A31,$C$2,$C$3,shape_factors!D$2,$C$4,shape_factors!D$3)</f>
        <v>51.549555927423846</v>
      </c>
      <c r="E31" s="5">
        <f>EnergyLJ($A31,$C$2,$C$3,shape_factors!E$2,$C$4,shape_factors!E$3)</f>
        <v>3.6535232901960666</v>
      </c>
      <c r="F31" s="5">
        <f>EnergyLJ($A31,$C$2,$C$3,shape_factors!F$2,$C$4,shape_factors!F$3)</f>
        <v>-0.41579414315017393</v>
      </c>
      <c r="G31" s="5">
        <f>EnergyLJ($A31,$C$2,$C$3,shape_factors!G$2,$C$4,shape_factors!G$3)</f>
        <v>0.46822351228961118</v>
      </c>
      <c r="H31" s="5">
        <f>EnergyLJ($A31,$C$2,$C$3,shape_factors!H$2,$C$4,shape_factors!H$3)</f>
        <v>1196.9613031934116</v>
      </c>
      <c r="I31" s="5">
        <f>EnergyLJ($A31,$C$2,$C$3,shape_factors!I$2,$C$4,shape_factors!I$3)</f>
        <v>6.9963377833517164</v>
      </c>
      <c r="J31" s="5">
        <f>EnergyLJ($A31,$C$2,$C$3,shape_factors!J$2,$C$4,shape_factors!J$3)</f>
        <v>-1.0343085362872322</v>
      </c>
      <c r="K31" s="5">
        <f>EnergyLJ($A31,$C$2,$C$3,shape_factors!K$2,$C$4,shape_factors!K$3)</f>
        <v>-0.96851595851674588</v>
      </c>
      <c r="L31" s="5">
        <f>EnergyLJ($A31,$C$2,$C$3,shape_factors!L$2,$C$4,shape_factors!L$3)</f>
        <v>-0.67223196585347933</v>
      </c>
      <c r="M31" s="5">
        <f>EnergyLJ($A31,$C$2,$C$3,shape_factors!M$2,$C$4,shape_factors!M$3)</f>
        <v>-1.024477345609855</v>
      </c>
      <c r="N31" s="5">
        <f>EnergyLJ($A31,$C$2,$C$3,shape_factors!N$2,$C$4,shape_factors!N$3)</f>
        <v>-1.0289610484303862</v>
      </c>
      <c r="O31" s="5">
        <f>EnergyLJ($A31,$C$2,$C$3,shape_factors!O$2,$C$4,shape_factors!O$3)</f>
        <v>-1.0079288443430645</v>
      </c>
      <c r="P31" s="5">
        <f>EnergyLJ($A31,$C$2,$C$3,shape_factors!P$2,$C$4,shape_factors!P$3)</f>
        <v>-1.0340819168174058</v>
      </c>
      <c r="Q31" s="5">
        <f>EnergyLJ($A31,$C$2,$C$3,shape_factors!Q$2,$C$4,shape_factors!Q$3)</f>
        <v>-1.0399390386616254</v>
      </c>
      <c r="R31" s="5">
        <f>EnergyLJ($A31,$C$2,$C$3,shape_factors!R$2,$C$4,shape_factors!R$3)</f>
        <v>-0.35541378673308255</v>
      </c>
      <c r="S31" s="5">
        <f>EnergyLJ($A31,$C$2,$C$3,shape_factors!S$2,$C$4,shape_factors!S$3)</f>
        <v>-1.0499683821354422</v>
      </c>
      <c r="T31" s="5">
        <f>EnergyLJ($A31,$C$2,$C$3,shape_factors!T$2,$C$4,shape_factors!T$3)</f>
        <v>-0.99176539606890191</v>
      </c>
      <c r="U31" s="5">
        <f>EnergyLJ($A31,$C$2,$C$3,shape_factors!U$2,$C$4,shape_factors!U$3)</f>
        <v>-0.38957157384761532</v>
      </c>
    </row>
    <row r="32" spans="1:21" x14ac:dyDescent="0.25">
      <c r="A32">
        <v>7</v>
      </c>
      <c r="B32" s="5">
        <f>EnergyLJ($A32,$C$2,$C$3,shape_factors!B$2,$C$4,shape_factors!B$3)</f>
        <v>16.651357239238472</v>
      </c>
      <c r="C32" s="5">
        <f>EnergyLJ($A32,$C$2,$C$3,shape_factors!C$2,$C$4,shape_factors!C$3)</f>
        <v>-0.5923421519983133</v>
      </c>
      <c r="D32" s="5">
        <f>EnergyLJ($A32,$C$2,$C$3,shape_factors!D$2,$C$4,shape_factors!D$3)</f>
        <v>34.128809901726996</v>
      </c>
      <c r="E32" s="5">
        <f>EnergyLJ($A32,$C$2,$C$3,shape_factors!E$2,$C$4,shape_factors!E$3)</f>
        <v>1.7021371307951669</v>
      </c>
      <c r="F32" s="5">
        <f>EnergyLJ($A32,$C$2,$C$3,shape_factors!F$2,$C$4,shape_factors!F$3)</f>
        <v>-0.79431297057523431</v>
      </c>
      <c r="G32" s="5">
        <f>EnergyLJ($A32,$C$2,$C$3,shape_factors!G$2,$C$4,shape_factors!G$3)</f>
        <v>-0.28983075883501369</v>
      </c>
      <c r="H32" s="5">
        <f>EnergyLJ($A32,$C$2,$C$3,shape_factors!H$2,$C$4,shape_factors!H$3)</f>
        <v>835.50153367918983</v>
      </c>
      <c r="I32" s="5">
        <f>EnergyLJ($A32,$C$2,$C$3,shape_factors!I$2,$C$4,shape_factors!I$3)</f>
        <v>3.8792325260726743</v>
      </c>
      <c r="J32" s="5">
        <f>EnergyLJ($A32,$C$2,$C$3,shape_factors!J$2,$C$4,shape_factors!J$3)</f>
        <v>-1.0465994250973365</v>
      </c>
      <c r="K32" s="5">
        <f>EnergyLJ($A32,$C$2,$C$3,shape_factors!K$2,$C$4,shape_factors!K$3)</f>
        <v>-1.0441780753729373</v>
      </c>
      <c r="L32" s="5">
        <f>EnergyLJ($A32,$C$2,$C$3,shape_factors!L$2,$C$4,shape_factors!L$3)</f>
        <v>-0.92544299609979452</v>
      </c>
      <c r="M32" s="5">
        <f>EnergyLJ($A32,$C$2,$C$3,shape_factors!M$2,$C$4,shape_factors!M$3)</f>
        <v>-1.0491398503979141</v>
      </c>
      <c r="N32" s="5">
        <f>EnergyLJ($A32,$C$2,$C$3,shape_factors!N$2,$C$4,shape_factors!N$3)</f>
        <v>-0.96850392389452744</v>
      </c>
      <c r="O32" s="5">
        <f>EnergyLJ($A32,$C$2,$C$3,shape_factors!O$2,$C$4,shape_factors!O$3)</f>
        <v>-0.93713698239440291</v>
      </c>
      <c r="P32" s="5">
        <f>EnergyLJ($A32,$C$2,$C$3,shape_factors!P$2,$C$4,shape_factors!P$3)</f>
        <v>-0.97731143821411948</v>
      </c>
      <c r="Q32" s="5">
        <f>EnergyLJ($A32,$C$2,$C$3,shape_factors!Q$2,$C$4,shape_factors!Q$3)</f>
        <v>-0.98855831955792794</v>
      </c>
      <c r="R32" s="5">
        <f>EnergyLJ($A32,$C$2,$C$3,shape_factors!R$2,$C$4,shape_factors!R$3)</f>
        <v>-0.76185792743615122</v>
      </c>
      <c r="S32" s="5">
        <f>EnergyLJ($A32,$C$2,$C$3,shape_factors!S$2,$C$4,shape_factors!S$3)</f>
        <v>-1.0247643680436804</v>
      </c>
      <c r="T32" s="5">
        <f>EnergyLJ($A32,$C$2,$C$3,shape_factors!T$2,$C$4,shape_factors!T$3)</f>
        <v>-0.91576795399781574</v>
      </c>
      <c r="U32" s="5">
        <f>EnergyLJ($A32,$C$2,$C$3,shape_factors!U$2,$C$4,shape_factors!U$3)</f>
        <v>-0.78027512721089565</v>
      </c>
    </row>
    <row r="33" spans="1:21" x14ac:dyDescent="0.25">
      <c r="A33">
        <v>7.2</v>
      </c>
      <c r="B33" s="5">
        <f>EnergyLJ($A33,$C$2,$C$3,shape_factors!B$2,$C$4,shape_factors!B$3)</f>
        <v>10.466915436823596</v>
      </c>
      <c r="C33" s="5">
        <f>EnergyLJ($A33,$C$2,$C$3,shape_factors!C$2,$C$4,shape_factors!C$3)</f>
        <v>-0.88030007001751709</v>
      </c>
      <c r="D33" s="5">
        <f>EnergyLJ($A33,$C$2,$C$3,shape_factors!D$2,$C$4,shape_factors!D$3)</f>
        <v>22.467153856537504</v>
      </c>
      <c r="E33" s="5">
        <f>EnergyLJ($A33,$C$2,$C$3,shape_factors!E$2,$C$4,shape_factors!E$3)</f>
        <v>0.49160889882747993</v>
      </c>
      <c r="F33" s="5">
        <f>EnergyLJ($A33,$C$2,$C$3,shape_factors!F$2,$C$4,shape_factors!F$3)</f>
        <v>-0.97835460051667411</v>
      </c>
      <c r="G33" s="5">
        <f>EnergyLJ($A33,$C$2,$C$3,shape_factors!G$2,$C$4,shape_factors!G$3)</f>
        <v>-0.71714445897782875</v>
      </c>
      <c r="H33" s="5">
        <f>EnergyLJ($A33,$C$2,$C$3,shape_factors!H$2,$C$4,shape_factors!H$3)</f>
        <v>587.78538671154274</v>
      </c>
      <c r="I33" s="5">
        <f>EnergyLJ($A33,$C$2,$C$3,shape_factors!I$2,$C$4,shape_factors!I$3)</f>
        <v>1.8931732991238999</v>
      </c>
      <c r="J33" s="5">
        <f>EnergyLJ($A33,$C$2,$C$3,shape_factors!J$2,$C$4,shape_factors!J$3)</f>
        <v>-1.0064866038749412</v>
      </c>
      <c r="K33" s="5">
        <f>EnergyLJ($A33,$C$2,$C$3,shape_factors!K$2,$C$4,shape_factors!K$3)</f>
        <v>-1.0409907400379039</v>
      </c>
      <c r="L33" s="5">
        <f>EnergyLJ($A33,$C$2,$C$3,shape_factors!L$2,$C$4,shape_factors!L$3)</f>
        <v>-1.030765336709486</v>
      </c>
      <c r="M33" s="5">
        <f>EnergyLJ($A33,$C$2,$C$3,shape_factors!M$2,$C$4,shape_factors!M$3)</f>
        <v>-1.0160997473884843</v>
      </c>
      <c r="N33" s="5">
        <f>EnergyLJ($A33,$C$2,$C$3,shape_factors!N$2,$C$4,shape_factors!N$3)</f>
        <v>-0.88965336513651272</v>
      </c>
      <c r="O33" s="5">
        <f>EnergyLJ($A33,$C$2,$C$3,shape_factors!O$2,$C$4,shape_factors!O$3)</f>
        <v>-0.85369855085525148</v>
      </c>
      <c r="P33" s="5">
        <f>EnergyLJ($A33,$C$2,$C$3,shape_factors!P$2,$C$4,shape_factors!P$3)</f>
        <v>-0.90020502012479942</v>
      </c>
      <c r="Q33" s="5">
        <f>EnergyLJ($A33,$C$2,$C$3,shape_factors!Q$2,$C$4,shape_factors!Q$3)</f>
        <v>-0.91407534742759111</v>
      </c>
      <c r="R33" s="5">
        <f>EnergyLJ($A33,$C$2,$C$3,shape_factors!R$2,$C$4,shape_factors!R$3)</f>
        <v>-0.96358837968886746</v>
      </c>
      <c r="S33" s="5">
        <f>EnergyLJ($A33,$C$2,$C$3,shape_factors!S$2,$C$4,shape_factors!S$3)</f>
        <v>-0.96385433908798579</v>
      </c>
      <c r="T33" s="5">
        <f>EnergyLJ($A33,$C$2,$C$3,shape_factors!T$2,$C$4,shape_factors!T$3)</f>
        <v>-0.83027008628636256</v>
      </c>
      <c r="U33" s="5">
        <f>EnergyLJ($A33,$C$2,$C$3,shape_factors!U$2,$C$4,shape_factors!U$3)</f>
        <v>-0.97202939861133963</v>
      </c>
    </row>
    <row r="34" spans="1:21" x14ac:dyDescent="0.25">
      <c r="A34">
        <v>7.4</v>
      </c>
      <c r="B34" s="5">
        <f>EnergyLJ($A34,$C$2,$C$3,shape_factors!B$2,$C$4,shape_factors!B$3)</f>
        <v>6.3694694333191064</v>
      </c>
      <c r="C34" s="5">
        <f>EnergyLJ($A34,$C$2,$C$3,shape_factors!C$2,$C$4,shape_factors!C$3)</f>
        <v>-1.0123007777828024</v>
      </c>
      <c r="D34" s="5">
        <f>EnergyLJ($A34,$C$2,$C$3,shape_factors!D$2,$C$4,shape_factors!D$3)</f>
        <v>14.623479173575435</v>
      </c>
      <c r="E34" s="5">
        <f>EnergyLJ($A34,$C$2,$C$3,shape_factors!E$2,$C$4,shape_factors!E$3)</f>
        <v>-0.2434873819363258</v>
      </c>
      <c r="F34" s="5">
        <f>EnergyLJ($A34,$C$2,$C$3,shape_factors!F$2,$C$4,shape_factors!F$3)</f>
        <v>-1.0448512695340582</v>
      </c>
      <c r="G34" s="5">
        <f>EnergyLJ($A34,$C$2,$C$3,shape_factors!G$2,$C$4,shape_factors!G$3)</f>
        <v>-0.93834943518929048</v>
      </c>
      <c r="H34" s="5">
        <f>EnergyLJ($A34,$C$2,$C$3,shape_factors!H$2,$C$4,shape_factors!H$3)</f>
        <v>416.41945864955005</v>
      </c>
      <c r="I34" s="5">
        <f>EnergyLJ($A34,$C$2,$C$3,shape_factors!I$2,$C$4,shape_factors!I$3)</f>
        <v>0.64043024159050888</v>
      </c>
      <c r="J34" s="5">
        <f>EnergyLJ($A34,$C$2,$C$3,shape_factors!J$2,$C$4,shape_factors!J$3)</f>
        <v>-0.93956840944398634</v>
      </c>
      <c r="K34" s="5">
        <f>EnergyLJ($A34,$C$2,$C$3,shape_factors!K$2,$C$4,shape_factors!K$3)</f>
        <v>-0.99436808221841422</v>
      </c>
      <c r="L34" s="5">
        <f>EnergyLJ($A34,$C$2,$C$3,shape_factors!L$2,$C$4,shape_factors!L$3)</f>
        <v>-1.0485809063623406</v>
      </c>
      <c r="M34" s="5">
        <f>EnergyLJ($A34,$C$2,$C$3,shape_factors!M$2,$C$4,shape_factors!M$3)</f>
        <v>-0.95293984202145943</v>
      </c>
      <c r="N34" s="5">
        <f>EnergyLJ($A34,$C$2,$C$3,shape_factors!N$2,$C$4,shape_factors!N$3)</f>
        <v>-0.80490935610541092</v>
      </c>
      <c r="O34" s="5">
        <f>EnergyLJ($A34,$C$2,$C$3,shape_factors!O$2,$C$4,shape_factors!O$3)</f>
        <v>-0.7677939984040778</v>
      </c>
      <c r="P34" s="5">
        <f>EnergyLJ($A34,$C$2,$C$3,shape_factors!P$2,$C$4,shape_factors!P$3)</f>
        <v>-0.81603618060542493</v>
      </c>
      <c r="Q34" s="5">
        <f>EnergyLJ($A34,$C$2,$C$3,shape_factors!Q$2,$C$4,shape_factors!Q$3)</f>
        <v>-0.83085764973197118</v>
      </c>
      <c r="R34" s="5">
        <f>EnergyLJ($A34,$C$2,$C$3,shape_factors!R$2,$C$4,shape_factors!R$3)</f>
        <v>-1.0411525372156103</v>
      </c>
      <c r="S34" s="5">
        <f>EnergyLJ($A34,$C$2,$C$3,shape_factors!S$2,$C$4,shape_factors!S$3)</f>
        <v>-0.88650238005601278</v>
      </c>
      <c r="T34" s="5">
        <f>EnergyLJ($A34,$C$2,$C$3,shape_factors!T$2,$C$4,shape_factors!T$3)</f>
        <v>-0.74415786140627516</v>
      </c>
      <c r="U34" s="5">
        <f>EnergyLJ($A34,$C$2,$C$3,shape_factors!U$2,$C$4,shape_factors!U$3)</f>
        <v>-1.0433468270880022</v>
      </c>
    </row>
    <row r="35" spans="1:21" x14ac:dyDescent="0.25">
      <c r="A35">
        <v>7.6</v>
      </c>
      <c r="B35" s="5">
        <f>EnergyLJ($A35,$C$2,$C$3,shape_factors!B$2,$C$4,shape_factors!B$3)</f>
        <v>3.6571265831168809</v>
      </c>
      <c r="C35" s="5">
        <f>EnergyLJ($A35,$C$2,$C$3,shape_factors!C$2,$C$4,shape_factors!C$3)</f>
        <v>-1.0498057514448149</v>
      </c>
      <c r="D35" s="5">
        <f>EnergyLJ($A35,$C$2,$C$3,shape_factors!D$2,$C$4,shape_factors!D$3)</f>
        <v>9.331720508825164</v>
      </c>
      <c r="E35" s="5">
        <f>EnergyLJ($A35,$C$2,$C$3,shape_factors!E$2,$C$4,shape_factors!E$3)</f>
        <v>-0.67330653276901409</v>
      </c>
      <c r="F35" s="5">
        <f>EnergyLJ($A35,$C$2,$C$3,shape_factors!F$2,$C$4,shape_factors!F$3)</f>
        <v>-1.0418330628475951</v>
      </c>
      <c r="G35" s="5">
        <f>EnergyLJ($A35,$C$2,$C$3,shape_factors!G$2,$C$4,shape_factors!G$3)</f>
        <v>-1.0322529321112865</v>
      </c>
      <c r="H35" s="5">
        <f>EnergyLJ($A35,$C$2,$C$3,shape_factors!H$2,$C$4,shape_factors!H$3)</f>
        <v>296.8362013171556</v>
      </c>
      <c r="I35" s="5">
        <f>EnergyLJ($A35,$C$2,$C$3,shape_factors!I$2,$C$4,shape_factors!I$3)</f>
        <v>-0.13529596034896293</v>
      </c>
      <c r="J35" s="5">
        <f>EnergyLJ($A35,$C$2,$C$3,shape_factors!J$2,$C$4,shape_factors!J$3)</f>
        <v>-0.86104360411829484</v>
      </c>
      <c r="K35" s="5">
        <f>EnergyLJ($A35,$C$2,$C$3,shape_factors!K$2,$C$4,shape_factors!K$3)</f>
        <v>-0.92574085024160713</v>
      </c>
      <c r="L35" s="5">
        <f>EnergyLJ($A35,$C$2,$C$3,shape_factors!L$2,$C$4,shape_factors!L$3)</f>
        <v>-1.0162849824714091</v>
      </c>
      <c r="M35" s="5">
        <f>EnergyLJ($A35,$C$2,$C$3,shape_factors!M$2,$C$4,shape_factors!M$3)</f>
        <v>-0.87611579189345479</v>
      </c>
      <c r="N35" s="5">
        <f>EnergyLJ($A35,$C$2,$C$3,shape_factors!N$2,$C$4,shape_factors!N$3)</f>
        <v>-0.72123596511489296</v>
      </c>
      <c r="O35" s="5">
        <f>EnergyLJ($A35,$C$2,$C$3,shape_factors!O$2,$C$4,shape_factors!O$3)</f>
        <v>-0.68494669057345159</v>
      </c>
      <c r="P35" s="5">
        <f>EnergyLJ($A35,$C$2,$C$3,shape_factors!P$2,$C$4,shape_factors!P$3)</f>
        <v>-0.73225109695554225</v>
      </c>
      <c r="Q35" s="5">
        <f>EnergyLJ($A35,$C$2,$C$3,shape_factors!Q$2,$C$4,shape_factors!Q$3)</f>
        <v>-0.74703446080100111</v>
      </c>
      <c r="R35" s="5">
        <f>EnergyLJ($A35,$C$2,$C$3,shape_factors!R$2,$C$4,shape_factors!R$3)</f>
        <v>-1.0449073058112854</v>
      </c>
      <c r="S35" s="5">
        <f>EnergyLJ($A35,$C$2,$C$3,shape_factors!S$2,$C$4,shape_factors!S$3)</f>
        <v>-0.80390908571801734</v>
      </c>
      <c r="T35" s="5">
        <f>EnergyLJ($A35,$C$2,$C$3,shape_factors!T$2,$C$4,shape_factors!T$3)</f>
        <v>-0.66215455055827155</v>
      </c>
      <c r="U35" s="5">
        <f>EnergyLJ($A35,$C$2,$C$3,shape_factors!U$2,$C$4,shape_factors!U$3)</f>
        <v>-1.0432744137694501</v>
      </c>
    </row>
    <row r="36" spans="1:21" x14ac:dyDescent="0.25">
      <c r="A36">
        <v>7.8000000000000096</v>
      </c>
      <c r="B36" s="5">
        <f>EnergyLJ($A36,$C$2,$C$3,shape_factors!B$2,$C$4,shape_factors!B$3)</f>
        <v>1.8693413416648337</v>
      </c>
      <c r="C36" s="5">
        <f>EnergyLJ($A36,$C$2,$C$3,shape_factors!C$2,$C$4,shape_factors!C$3)</f>
        <v>-1.031516812647685</v>
      </c>
      <c r="D36" s="5">
        <f>EnergyLJ($A36,$C$2,$C$3,shape_factors!D$2,$C$4,shape_factors!D$3)</f>
        <v>5.7579054259579951</v>
      </c>
      <c r="E36" s="5">
        <f>EnergyLJ($A36,$C$2,$C$3,shape_factors!E$2,$C$4,shape_factors!E$3)</f>
        <v>-0.90764400875922313</v>
      </c>
      <c r="F36" s="5">
        <f>EnergyLJ($A36,$C$2,$C$3,shape_factors!F$2,$C$4,shape_factors!F$3)</f>
        <v>-0.99928133994974777</v>
      </c>
      <c r="G36" s="5">
        <f>EnergyLJ($A36,$C$2,$C$3,shape_factors!G$2,$C$4,shape_factors!G$3)</f>
        <v>-1.0488517336296908</v>
      </c>
      <c r="H36" s="5">
        <f>EnergyLJ($A36,$C$2,$C$3,shape_factors!H$2,$C$4,shape_factors!H$3)</f>
        <v>212.71529124960344</v>
      </c>
      <c r="I36" s="5">
        <f>EnergyLJ($A36,$C$2,$C$3,shape_factors!I$2,$C$4,shape_factors!I$3)</f>
        <v>-0.6004301331951204</v>
      </c>
      <c r="J36" s="5">
        <f>EnergyLJ($A36,$C$2,$C$3,shape_factors!J$2,$C$4,shape_factors!J$3)</f>
        <v>-0.77976892675412557</v>
      </c>
      <c r="K36" s="5">
        <f>EnergyLJ($A36,$C$2,$C$3,shape_factors!K$2,$C$4,shape_factors!K$3)</f>
        <v>-0.84793956655150571</v>
      </c>
      <c r="L36" s="5">
        <f>EnergyLJ($A36,$C$2,$C$3,shape_factors!L$2,$C$4,shape_factors!L$3)</f>
        <v>-0.95697700055662149</v>
      </c>
      <c r="M36" s="5">
        <f>EnergyLJ($A36,$C$2,$C$3,shape_factors!M$2,$C$4,shape_factors!M$3)</f>
        <v>-0.7952833847537808</v>
      </c>
      <c r="N36" s="5">
        <f>EnergyLJ($A36,$C$2,$C$3,shape_factors!N$2,$C$4,shape_factors!N$3)</f>
        <v>-0.64230360216279447</v>
      </c>
      <c r="O36" s="5">
        <f>EnergyLJ($A36,$C$2,$C$3,shape_factors!O$2,$C$4,shape_factors!O$3)</f>
        <v>-0.60793370126942414</v>
      </c>
      <c r="P36" s="5">
        <f>EnergyLJ($A36,$C$2,$C$3,shape_factors!P$2,$C$4,shape_factors!P$3)</f>
        <v>-0.65282045968764801</v>
      </c>
      <c r="Q36" s="5">
        <f>EnergyLJ($A36,$C$2,$C$3,shape_factors!Q$2,$C$4,shape_factors!Q$3)</f>
        <v>-0.66700288845668532</v>
      </c>
      <c r="R36" s="5">
        <f>EnergyLJ($A36,$C$2,$C$3,shape_factors!R$2,$C$4,shape_factors!R$3)</f>
        <v>-1.006342746628597</v>
      </c>
      <c r="S36" s="5">
        <f>EnergyLJ($A36,$C$2,$C$3,shape_factors!S$2,$C$4,shape_factors!S$3)</f>
        <v>-0.72240033788034719</v>
      </c>
      <c r="T36" s="5">
        <f>EnergyLJ($A36,$C$2,$C$3,shape_factors!T$2,$C$4,shape_factors!T$3)</f>
        <v>-0.58654424534215466</v>
      </c>
      <c r="U36" s="5">
        <f>EnergyLJ($A36,$C$2,$C$3,shape_factors!U$2,$C$4,shape_factors!U$3)</f>
        <v>-1.002452766527631</v>
      </c>
    </row>
    <row r="37" spans="1:21" x14ac:dyDescent="0.25">
      <c r="A37">
        <v>8.0000000000000107</v>
      </c>
      <c r="B37" s="5">
        <f>EnergyLJ($A37,$C$2,$C$3,shape_factors!B$2,$C$4,shape_factors!B$3)</f>
        <v>0.70138481967469324</v>
      </c>
      <c r="C37" s="5">
        <f>EnergyLJ($A37,$C$2,$C$3,shape_factors!C$2,$C$4,shape_factors!C$3)</f>
        <v>-0.98177203505273847</v>
      </c>
      <c r="D37" s="5">
        <f>EnergyLJ($A37,$C$2,$C$3,shape_factors!D$2,$C$4,shape_factors!D$3)</f>
        <v>3.3476850948743064</v>
      </c>
      <c r="E37" s="5">
        <f>EnergyLJ($A37,$C$2,$C$3,shape_factors!E$2,$C$4,shape_factors!E$3)</f>
        <v>-1.0177024288375602</v>
      </c>
      <c r="F37" s="5">
        <f>EnergyLJ($A37,$C$2,$C$3,shape_factors!F$2,$C$4,shape_factors!F$3)</f>
        <v>-0.93583635954017719</v>
      </c>
      <c r="G37" s="5">
        <f>EnergyLJ($A37,$C$2,$C$3,shape_factors!G$2,$C$4,shape_factors!G$3)</f>
        <v>-1.0198899507920205</v>
      </c>
      <c r="H37" s="5">
        <f>EnergyLJ($A37,$C$2,$C$3,shape_factors!H$2,$C$4,shape_factors!H$3)</f>
        <v>153.10160072507477</v>
      </c>
      <c r="I37" s="5">
        <f>EnergyLJ($A37,$C$2,$C$3,shape_factors!I$2,$C$4,shape_factors!I$3)</f>
        <v>-0.86372745448707944</v>
      </c>
      <c r="J37" s="5">
        <f>EnergyLJ($A37,$C$2,$C$3,shape_factors!J$2,$C$4,shape_factors!J$3)</f>
        <v>-0.70073321374489816</v>
      </c>
      <c r="K37" s="5">
        <f>EnergyLJ($A37,$C$2,$C$3,shape_factors!K$2,$C$4,shape_factors!K$3)</f>
        <v>-0.76849234431985325</v>
      </c>
      <c r="L37" s="5">
        <f>EnergyLJ($A37,$C$2,$C$3,shape_factors!L$2,$C$4,shape_factors!L$3)</f>
        <v>-0.88481869298020877</v>
      </c>
      <c r="M37" s="5">
        <f>EnergyLJ($A37,$C$2,$C$3,shape_factors!M$2,$C$4,shape_factors!M$3)</f>
        <v>-0.71594012506609006</v>
      </c>
      <c r="N37" s="5">
        <f>EnergyLJ($A37,$C$2,$C$3,shape_factors!N$2,$C$4,shape_factors!N$3)</f>
        <v>-0.56983880492875016</v>
      </c>
      <c r="O37" s="5">
        <f>EnergyLJ($A37,$C$2,$C$3,shape_factors!O$2,$C$4,shape_factors!O$3)</f>
        <v>-0.53793106443734495</v>
      </c>
      <c r="P37" s="5">
        <f>EnergyLJ($A37,$C$2,$C$3,shape_factors!P$2,$C$4,shape_factors!P$3)</f>
        <v>-0.57965695617652357</v>
      </c>
      <c r="Q37" s="5">
        <f>EnergyLJ($A37,$C$2,$C$3,shape_factors!Q$2,$C$4,shape_factors!Q$3)</f>
        <v>-0.59294076792085193</v>
      </c>
      <c r="R37" s="5">
        <f>EnergyLJ($A37,$C$2,$C$3,shape_factors!R$2,$C$4,shape_factors!R$3)</f>
        <v>-0.94508329490939036</v>
      </c>
      <c r="S37" s="5">
        <f>EnergyLJ($A37,$C$2,$C$3,shape_factors!S$2,$C$4,shape_factors!S$3)</f>
        <v>-0.64536264054862491</v>
      </c>
      <c r="T37" s="5">
        <f>EnergyLJ($A37,$C$2,$C$3,shape_factors!T$2,$C$4,shape_factors!T$3)</f>
        <v>-0.51820177541965073</v>
      </c>
      <c r="U37" s="5">
        <f>EnergyLJ($A37,$C$2,$C$3,shape_factors!U$2,$C$4,shape_factors!U$3)</f>
        <v>-0.93995210211931035</v>
      </c>
    </row>
    <row r="38" spans="1:21" x14ac:dyDescent="0.25">
      <c r="A38">
        <v>8.2000000000000099</v>
      </c>
      <c r="B38" s="5">
        <f>EnergyLJ($A38,$C$2,$C$3,shape_factors!B$2,$C$4,shape_factors!B$3)</f>
        <v>-4.988188418567252E-2</v>
      </c>
      <c r="C38" s="5">
        <f>EnergyLJ($A38,$C$2,$C$3,shape_factors!C$2,$C$4,shape_factors!C$3)</f>
        <v>-0.91579512703331034</v>
      </c>
      <c r="D38" s="5">
        <f>EnergyLJ($A38,$C$2,$C$3,shape_factors!D$2,$C$4,shape_factors!D$3)</f>
        <v>1.7295210601201689</v>
      </c>
      <c r="E38" s="5">
        <f>EnergyLJ($A38,$C$2,$C$3,shape_factors!E$2,$C$4,shape_factors!E$3)</f>
        <v>-1.0498077846917799</v>
      </c>
      <c r="F38" s="5">
        <f>EnergyLJ($A38,$C$2,$C$3,shape_factors!F$2,$C$4,shape_factors!F$3)</f>
        <v>-0.86298047561837976</v>
      </c>
      <c r="G38" s="5">
        <f>EnergyLJ($A38,$C$2,$C$3,shape_factors!G$2,$C$4,shape_factors!G$3)</f>
        <v>-0.96547513121147832</v>
      </c>
      <c r="H38" s="5">
        <f>EnergyLJ($A38,$C$2,$C$3,shape_factors!H$2,$C$4,shape_factors!H$3)</f>
        <v>110.56890228049754</v>
      </c>
      <c r="I38" s="5">
        <f>EnergyLJ($A38,$C$2,$C$3,shape_factors!I$2,$C$4,shape_factors!I$3)</f>
        <v>-0.99661238750463821</v>
      </c>
      <c r="J38" s="5">
        <f>EnergyLJ($A38,$C$2,$C$3,shape_factors!J$2,$C$4,shape_factors!J$3)</f>
        <v>-0.62657545229420919</v>
      </c>
      <c r="K38" s="5">
        <f>EnergyLJ($A38,$C$2,$C$3,shape_factors!K$2,$C$4,shape_factors!K$3)</f>
        <v>-0.69165994318073321</v>
      </c>
      <c r="L38" s="5">
        <f>EnergyLJ($A38,$C$2,$C$3,shape_factors!L$2,$C$4,shape_factors!L$3)</f>
        <v>-0.80836605767017333</v>
      </c>
      <c r="M38" s="5">
        <f>EnergyLJ($A38,$C$2,$C$3,shape_factors!M$2,$C$4,shape_factors!M$3)</f>
        <v>-0.641048298747115</v>
      </c>
      <c r="N38" s="5">
        <f>EnergyLJ($A38,$C$2,$C$3,shape_factors!N$2,$C$4,shape_factors!N$3)</f>
        <v>-0.50443928211849942</v>
      </c>
      <c r="O38" s="5">
        <f>EnergyLJ($A38,$C$2,$C$3,shape_factors!O$2,$C$4,shape_factors!O$3)</f>
        <v>-0.47520149637209724</v>
      </c>
      <c r="P38" s="5">
        <f>EnergyLJ($A38,$C$2,$C$3,shape_factors!P$2,$C$4,shape_factors!P$3)</f>
        <v>-0.51347250734379879</v>
      </c>
      <c r="Q38" s="5">
        <f>EnergyLJ($A38,$C$2,$C$3,shape_factors!Q$2,$C$4,shape_factors!Q$3)</f>
        <v>-0.52572337750775988</v>
      </c>
      <c r="R38" s="5">
        <f>EnergyLJ($A38,$C$2,$C$3,shape_factors!R$2,$C$4,shape_factors!R$3)</f>
        <v>-0.87325627871126144</v>
      </c>
      <c r="S38" s="5">
        <f>EnergyLJ($A38,$C$2,$C$3,shape_factors!S$2,$C$4,shape_factors!S$3)</f>
        <v>-0.57442377240988551</v>
      </c>
      <c r="T38" s="5">
        <f>EnergyLJ($A38,$C$2,$C$3,shape_factors!T$2,$C$4,shape_factors!T$3)</f>
        <v>-0.45720875807966505</v>
      </c>
      <c r="U38" s="5">
        <f>EnergyLJ($A38,$C$2,$C$3,shape_factors!U$2,$C$4,shape_factors!U$3)</f>
        <v>-0.86753647161848324</v>
      </c>
    </row>
    <row r="39" spans="1:21" x14ac:dyDescent="0.25">
      <c r="A39">
        <v>8.4000000000000092</v>
      </c>
      <c r="B39" s="5">
        <f>EnergyLJ($A39,$C$2,$C$3,shape_factors!B$2,$C$4,shape_factors!B$3)</f>
        <v>-0.52075997349929792</v>
      </c>
      <c r="C39" s="5">
        <f>EnergyLJ($A39,$C$2,$C$3,shape_factors!C$2,$C$4,shape_factors!C$3)</f>
        <v>-0.84300511819547141</v>
      </c>
      <c r="D39" s="5">
        <f>EnergyLJ($A39,$C$2,$C$3,shape_factors!D$2,$C$4,shape_factors!D$3)</f>
        <v>0.6525316842356752</v>
      </c>
      <c r="E39" s="5">
        <f>EnergyLJ($A39,$C$2,$C$3,shape_factors!E$2,$C$4,shape_factors!E$3)</f>
        <v>-1.0341377192271253</v>
      </c>
      <c r="F39" s="5">
        <f>EnergyLJ($A39,$C$2,$C$3,shape_factors!F$2,$C$4,shape_factors!F$3)</f>
        <v>-0.78766763655835492</v>
      </c>
      <c r="G39" s="5">
        <f>EnergyLJ($A39,$C$2,$C$3,shape_factors!G$2,$C$4,shape_factors!G$3)</f>
        <v>-0.89826094446342952</v>
      </c>
      <c r="H39" s="5">
        <f>EnergyLJ($A39,$C$2,$C$3,shape_factors!H$2,$C$4,shape_factors!H$3)</f>
        <v>80.036325708321755</v>
      </c>
      <c r="I39" s="5">
        <f>EnergyLJ($A39,$C$2,$C$3,shape_factors!I$2,$C$4,shape_factors!I$3)</f>
        <v>-1.0461548179180291</v>
      </c>
      <c r="J39" s="5">
        <f>EnergyLJ($A39,$C$2,$C$3,shape_factors!J$2,$C$4,shape_factors!J$3)</f>
        <v>-0.55852026117092402</v>
      </c>
      <c r="K39" s="5">
        <f>EnergyLJ($A39,$C$2,$C$3,shape_factors!K$2,$C$4,shape_factors!K$3)</f>
        <v>-0.61969871718341185</v>
      </c>
      <c r="L39" s="5">
        <f>EnergyLJ($A39,$C$2,$C$3,shape_factors!L$2,$C$4,shape_factors!L$3)</f>
        <v>-0.73265655033603827</v>
      </c>
      <c r="M39" s="5">
        <f>EnergyLJ($A39,$C$2,$C$3,shape_factors!M$2,$C$4,shape_factors!M$3)</f>
        <v>-0.57203689278772096</v>
      </c>
      <c r="N39" s="5">
        <f>EnergyLJ($A39,$C$2,$C$3,shape_factors!N$2,$C$4,shape_factors!N$3)</f>
        <v>-0.44606612259242179</v>
      </c>
      <c r="O39" s="5">
        <f>EnergyLJ($A39,$C$2,$C$3,shape_factors!O$2,$C$4,shape_factors!O$3)</f>
        <v>-0.41950675037188156</v>
      </c>
      <c r="P39" s="5">
        <f>EnergyLJ($A39,$C$2,$C$3,shape_factors!P$2,$C$4,shape_factors!P$3)</f>
        <v>-0.45429697926383522</v>
      </c>
      <c r="Q39" s="5">
        <f>EnergyLJ($A39,$C$2,$C$3,shape_factors!Q$2,$C$4,shape_factors!Q$3)</f>
        <v>-0.46547953907429057</v>
      </c>
      <c r="R39" s="5">
        <f>EnergyLJ($A39,$C$2,$C$3,shape_factors!R$2,$C$4,shape_factors!R$3)</f>
        <v>-0.79823958140135953</v>
      </c>
      <c r="S39" s="5">
        <f>EnergyLJ($A39,$C$2,$C$3,shape_factors!S$2,$C$4,shape_factors!S$3)</f>
        <v>-0.51017513816572224</v>
      </c>
      <c r="T39" s="5">
        <f>EnergyLJ($A39,$C$2,$C$3,shape_factors!T$2,$C$4,shape_factors!T$3)</f>
        <v>-0.40322109221842184</v>
      </c>
      <c r="U39" s="5">
        <f>EnergyLJ($A39,$C$2,$C$3,shape_factors!U$2,$C$4,shape_factors!U$3)</f>
        <v>-0.79234492077240437</v>
      </c>
    </row>
    <row r="40" spans="1:21" x14ac:dyDescent="0.25">
      <c r="A40">
        <v>8.6000000000000103</v>
      </c>
      <c r="B40" s="5">
        <f>EnergyLJ($A40,$C$2,$C$3,shape_factors!B$2,$C$4,shape_factors!B$3)</f>
        <v>-0.80321012452650775</v>
      </c>
      <c r="C40" s="5">
        <f>EnergyLJ($A40,$C$2,$C$3,shape_factors!C$2,$C$4,shape_factors!C$3)</f>
        <v>-0.7691182537234349</v>
      </c>
      <c r="D40" s="5">
        <f>EnergyLJ($A40,$C$2,$C$3,shape_factors!D$2,$C$4,shape_factors!D$3)</f>
        <v>-5.3824614763982016E-2</v>
      </c>
      <c r="E40" s="5">
        <f>EnergyLJ($A40,$C$2,$C$3,shape_factors!E$2,$C$4,shape_factors!E$3)</f>
        <v>-0.99032555581007664</v>
      </c>
      <c r="F40" s="5">
        <f>EnergyLJ($A40,$C$2,$C$3,shape_factors!F$2,$C$4,shape_factors!F$3)</f>
        <v>-0.7139872681259154</v>
      </c>
      <c r="G40" s="5">
        <f>EnergyLJ($A40,$C$2,$C$3,shape_factors!G$2,$C$4,shape_factors!G$3)</f>
        <v>-0.8261120580072</v>
      </c>
      <c r="H40" s="5">
        <f>EnergyLJ($A40,$C$2,$C$3,shape_factors!H$2,$C$4,shape_factors!H$3)</f>
        <v>57.997171912165783</v>
      </c>
      <c r="I40" s="5">
        <f>EnergyLJ($A40,$C$2,$C$3,shape_factors!I$2,$C$4,shape_factors!I$3)</f>
        <v>-1.0434266137558474</v>
      </c>
      <c r="J40" s="5">
        <f>EnergyLJ($A40,$C$2,$C$3,shape_factors!J$2,$C$4,shape_factors!J$3)</f>
        <v>-0.49695557914786448</v>
      </c>
      <c r="K40" s="5">
        <f>EnergyLJ($A40,$C$2,$C$3,shape_factors!K$2,$C$4,shape_factors!K$3)</f>
        <v>-0.55364740814806657</v>
      </c>
      <c r="L40" s="5">
        <f>EnergyLJ($A40,$C$2,$C$3,shape_factors!L$2,$C$4,shape_factors!L$3)</f>
        <v>-0.66052430339943391</v>
      </c>
      <c r="M40" s="5">
        <f>EnergyLJ($A40,$C$2,$C$3,shape_factors!M$2,$C$4,shape_factors!M$3)</f>
        <v>-0.50942165178981325</v>
      </c>
      <c r="N40" s="5">
        <f>EnergyLJ($A40,$C$2,$C$3,shape_factors!N$2,$C$4,shape_factors!N$3)</f>
        <v>-0.39433995061640797</v>
      </c>
      <c r="O40" s="5">
        <f>EnergyLJ($A40,$C$2,$C$3,shape_factors!O$2,$C$4,shape_factors!O$3)</f>
        <v>-0.37035337725007328</v>
      </c>
      <c r="P40" s="5">
        <f>EnergyLJ($A40,$C$2,$C$3,shape_factors!P$2,$C$4,shape_factors!P$3)</f>
        <v>-0.40179109357259557</v>
      </c>
      <c r="Q40" s="5">
        <f>EnergyLJ($A40,$C$2,$C$3,shape_factors!Q$2,$C$4,shape_factors!Q$3)</f>
        <v>-0.41192818806529241</v>
      </c>
      <c r="R40" s="5">
        <f>EnergyLJ($A40,$C$2,$C$3,shape_factors!R$2,$C$4,shape_factors!R$3)</f>
        <v>-0.7244015676871941</v>
      </c>
      <c r="S40" s="5">
        <f>EnergyLJ($A40,$C$2,$C$3,shape_factors!S$2,$C$4,shape_factors!S$3)</f>
        <v>-0.45261379968679571</v>
      </c>
      <c r="T40" s="5">
        <f>EnergyLJ($A40,$C$2,$C$3,shape_factors!T$2,$C$4,shape_factors!T$3)</f>
        <v>-0.35568647803231845</v>
      </c>
      <c r="U40" s="5">
        <f>EnergyLJ($A40,$C$2,$C$3,shape_factors!U$2,$C$4,shape_factors!U$3)</f>
        <v>-0.71858861634620008</v>
      </c>
    </row>
    <row r="41" spans="1:21" x14ac:dyDescent="0.25">
      <c r="A41">
        <v>8.8000000000000096</v>
      </c>
      <c r="B41" s="5">
        <f>EnergyLJ($A41,$C$2,$C$3,shape_factors!B$2,$C$4,shape_factors!B$3)</f>
        <v>-0.9595537712495068</v>
      </c>
      <c r="C41" s="5">
        <f>EnergyLJ($A41,$C$2,$C$3,shape_factors!C$2,$C$4,shape_factors!C$3)</f>
        <v>-0.69749093499570525</v>
      </c>
      <c r="D41" s="5">
        <f>EnergyLJ($A41,$C$2,$C$3,shape_factors!D$2,$C$4,shape_factors!D$3)</f>
        <v>-0.50615633101312441</v>
      </c>
      <c r="E41" s="5">
        <f>EnergyLJ($A41,$C$2,$C$3,shape_factors!E$2,$C$4,shape_factors!E$3)</f>
        <v>-0.93108754962729678</v>
      </c>
      <c r="F41" s="5">
        <f>EnergyLJ($A41,$C$2,$C$3,shape_factors!F$2,$C$4,shape_factors!F$3)</f>
        <v>-0.64422272623846355</v>
      </c>
      <c r="G41" s="5">
        <f>EnergyLJ($A41,$C$2,$C$3,shape_factors!G$2,$C$4,shape_factors!G$3)</f>
        <v>-0.75381334483828677</v>
      </c>
      <c r="H41" s="5">
        <f>EnergyLJ($A41,$C$2,$C$3,shape_factors!H$2,$C$4,shape_factors!H$3)</f>
        <v>42.011194300838476</v>
      </c>
      <c r="I41" s="5">
        <f>EnergyLJ($A41,$C$2,$C$3,shape_factors!I$2,$C$4,shape_factors!I$3)</f>
        <v>-1.0089295710903854</v>
      </c>
      <c r="J41" s="5">
        <f>EnergyLJ($A41,$C$2,$C$3,shape_factors!J$2,$C$4,shape_factors!J$3)</f>
        <v>-0.44178917537840001</v>
      </c>
      <c r="K41" s="5">
        <f>EnergyLJ($A41,$C$2,$C$3,shape_factors!K$2,$C$4,shape_factors!K$3)</f>
        <v>-0.49381813084618115</v>
      </c>
      <c r="L41" s="5">
        <f>EnergyLJ($A41,$C$2,$C$3,shape_factors!L$2,$C$4,shape_factors!L$3)</f>
        <v>-0.59343254394913325</v>
      </c>
      <c r="M41" s="5">
        <f>EnergyLJ($A41,$C$2,$C$3,shape_factors!M$2,$C$4,shape_factors!M$3)</f>
        <v>-0.45318879198797518</v>
      </c>
      <c r="N41" s="5">
        <f>EnergyLJ($A41,$C$2,$C$3,shape_factors!N$2,$C$4,shape_factors!N$3)</f>
        <v>-0.34871754156409235</v>
      </c>
      <c r="O41" s="5">
        <f>EnergyLJ($A41,$C$2,$C$3,shape_factors!O$2,$C$4,shape_factors!O$3)</f>
        <v>-0.32713738731265413</v>
      </c>
      <c r="P41" s="5">
        <f>EnergyLJ($A41,$C$2,$C$3,shape_factors!P$2,$C$4,shape_factors!P$3)</f>
        <v>-0.3554336901790271</v>
      </c>
      <c r="Q41" s="5">
        <f>EnergyLJ($A41,$C$2,$C$3,shape_factors!Q$2,$C$4,shape_factors!Q$3)</f>
        <v>-0.36458068760879675</v>
      </c>
      <c r="R41" s="5">
        <f>EnergyLJ($A41,$C$2,$C$3,shape_factors!R$2,$C$4,shape_factors!R$3)</f>
        <v>-0.65420888907217434</v>
      </c>
      <c r="S41" s="5">
        <f>EnergyLJ($A41,$C$2,$C$3,shape_factors!S$2,$C$4,shape_factors!S$3)</f>
        <v>-0.40141207887345093</v>
      </c>
      <c r="T41" s="5">
        <f>EnergyLJ($A41,$C$2,$C$3,shape_factors!T$2,$C$4,shape_factors!T$3)</f>
        <v>-0.31397122636660096</v>
      </c>
      <c r="U41" s="5">
        <f>EnergyLJ($A41,$C$2,$C$3,shape_factors!U$2,$C$4,shape_factors!U$3)</f>
        <v>-0.6486308720018531</v>
      </c>
    </row>
    <row r="42" spans="1:21" x14ac:dyDescent="0.25">
      <c r="A42">
        <v>9.0000000000000107</v>
      </c>
      <c r="B42" s="5">
        <f>EnergyLJ($A42,$C$2,$C$3,shape_factors!B$2,$C$4,shape_factors!B$3)</f>
        <v>-1.0321644766080287</v>
      </c>
      <c r="C42" s="5">
        <f>EnergyLJ($A42,$C$2,$C$3,shape_factors!C$2,$C$4,shape_factors!C$3)</f>
        <v>-0.6299818099688036</v>
      </c>
      <c r="D42" s="5">
        <f>EnergyLJ($A42,$C$2,$C$3,shape_factors!D$2,$C$4,shape_factors!D$3)</f>
        <v>-0.78459317281824859</v>
      </c>
      <c r="E42" s="5">
        <f>EnergyLJ($A42,$C$2,$C$3,shape_factors!E$2,$C$4,shape_factors!E$3)</f>
        <v>-0.86458762496925046</v>
      </c>
      <c r="F42" s="5">
        <f>EnergyLJ($A42,$C$2,$C$3,shape_factors!F$2,$C$4,shape_factors!F$3)</f>
        <v>-0.57952716764830881</v>
      </c>
      <c r="G42" s="5">
        <f>EnergyLJ($A42,$C$2,$C$3,shape_factors!G$2,$C$4,shape_factors!G$3)</f>
        <v>-0.68417219086811876</v>
      </c>
      <c r="H42" s="5">
        <f>EnergyLJ($A42,$C$2,$C$3,shape_factors!H$2,$C$4,shape_factors!H$3)</f>
        <v>30.367041692858272</v>
      </c>
      <c r="I42" s="5">
        <f>EnergyLJ($A42,$C$2,$C$3,shape_factors!I$2,$C$4,shape_factors!I$3)</f>
        <v>-0.95614871385730238</v>
      </c>
      <c r="J42" s="5">
        <f>EnergyLJ($A42,$C$2,$C$3,shape_factors!J$2,$C$4,shape_factors!J$3)</f>
        <v>-0.39266774481408878</v>
      </c>
      <c r="K42" s="5">
        <f>EnergyLJ($A42,$C$2,$C$3,shape_factors!K$2,$C$4,shape_factors!K$3)</f>
        <v>-0.44010247123923052</v>
      </c>
      <c r="L42" s="5">
        <f>EnergyLJ($A42,$C$2,$C$3,shape_factors!L$2,$C$4,shape_factors!L$3)</f>
        <v>-0.53200182898109893</v>
      </c>
      <c r="M42" s="5">
        <f>EnergyLJ($A42,$C$2,$C$3,shape_factors!M$2,$C$4,shape_factors!M$3)</f>
        <v>-0.40303166367716609</v>
      </c>
      <c r="N42" s="5">
        <f>EnergyLJ($A42,$C$2,$C$3,shape_factors!N$2,$C$4,shape_factors!N$3)</f>
        <v>-0.30859542158727099</v>
      </c>
      <c r="O42" s="5">
        <f>EnergyLJ($A42,$C$2,$C$3,shape_factors!O$2,$C$4,shape_factors!O$3)</f>
        <v>-0.28922752720985584</v>
      </c>
      <c r="P42" s="5">
        <f>EnergyLJ($A42,$C$2,$C$3,shape_factors!P$2,$C$4,shape_factors!P$3)</f>
        <v>-0.31463211656483253</v>
      </c>
      <c r="Q42" s="5">
        <f>EnergyLJ($A42,$C$2,$C$3,shape_factors!Q$2,$C$4,shape_factors!Q$3)</f>
        <v>-0.32286082934664173</v>
      </c>
      <c r="R42" s="5">
        <f>EnergyLJ($A42,$C$2,$C$3,shape_factors!R$2,$C$4,shape_factors!R$3)</f>
        <v>-0.58893463141027547</v>
      </c>
      <c r="S42" s="5">
        <f>EnergyLJ($A42,$C$2,$C$3,shape_factors!S$2,$C$4,shape_factors!S$3)</f>
        <v>-0.35608068234104973</v>
      </c>
      <c r="T42" s="5">
        <f>EnergyLJ($A42,$C$2,$C$3,shape_factors!T$2,$C$4,shape_factors!T$3)</f>
        <v>-0.27743222335924728</v>
      </c>
      <c r="U42" s="5">
        <f>EnergyLJ($A42,$C$2,$C$3,shape_factors!U$2,$C$4,shape_factors!U$3)</f>
        <v>-0.58367712625730261</v>
      </c>
    </row>
    <row r="43" spans="1:21" x14ac:dyDescent="0.25">
      <c r="A43">
        <v>9.2000000000000099</v>
      </c>
      <c r="B43" s="5">
        <f>EnergyLJ($A43,$C$2,$C$3,shape_factors!B$2,$C$4,shape_factors!B$3)</f>
        <v>-1.0499088123064135</v>
      </c>
      <c r="C43" s="5">
        <f>EnergyLJ($A43,$C$2,$C$3,shape_factors!C$2,$C$4,shape_factors!C$3)</f>
        <v>-0.56750697989426058</v>
      </c>
      <c r="D43" s="5">
        <f>EnergyLJ($A43,$C$2,$C$3,shape_factors!D$2,$C$4,shape_factors!D$3)</f>
        <v>-0.9444215926366365</v>
      </c>
      <c r="E43" s="5">
        <f>EnergyLJ($A43,$C$2,$C$3,shape_factors!E$2,$C$4,shape_factors!E$3)</f>
        <v>-0.79598878242179893</v>
      </c>
      <c r="F43" s="5">
        <f>EnergyLJ($A43,$C$2,$C$3,shape_factors!F$2,$C$4,shape_factors!F$3)</f>
        <v>-0.52035600444662267</v>
      </c>
      <c r="G43" s="5">
        <f>EnergyLJ($A43,$C$2,$C$3,shape_factors!G$2,$C$4,shape_factors!G$3)</f>
        <v>-0.61873240684608777</v>
      </c>
      <c r="H43" s="5">
        <f>EnergyLJ($A43,$C$2,$C$3,shape_factors!H$2,$C$4,shape_factors!H$3)</f>
        <v>21.8557322077225</v>
      </c>
      <c r="I43" s="5">
        <f>EnergyLJ($A43,$C$2,$C$3,shape_factors!I$2,$C$4,shape_factors!I$3)</f>
        <v>-0.89389477346032009</v>
      </c>
      <c r="J43" s="5">
        <f>EnergyLJ($A43,$C$2,$C$3,shape_factors!J$2,$C$4,shape_factors!J$3)</f>
        <v>-0.34911034559734083</v>
      </c>
      <c r="K43" s="5">
        <f>EnergyLJ($A43,$C$2,$C$3,shape_factors!K$2,$C$4,shape_factors!K$3)</f>
        <v>-0.39216148785147859</v>
      </c>
      <c r="L43" s="5">
        <f>EnergyLJ($A43,$C$2,$C$3,shape_factors!L$2,$C$4,shape_factors!L$3)</f>
        <v>-0.476345429659494</v>
      </c>
      <c r="M43" s="5">
        <f>EnergyLJ($A43,$C$2,$C$3,shape_factors!M$2,$C$4,shape_factors!M$3)</f>
        <v>-0.35849558370029722</v>
      </c>
      <c r="N43" s="5">
        <f>EnergyLJ($A43,$C$2,$C$3,shape_factors!N$2,$C$4,shape_factors!N$3)</f>
        <v>-0.27336891220729392</v>
      </c>
      <c r="O43" s="5">
        <f>EnergyLJ($A43,$C$2,$C$3,shape_factors!O$2,$C$4,shape_factors!O$3)</f>
        <v>-0.25601138502257459</v>
      </c>
      <c r="P43" s="5">
        <f>EnergyLJ($A43,$C$2,$C$3,shape_factors!P$2,$C$4,shape_factors!P$3)</f>
        <v>-0.27878560962318311</v>
      </c>
      <c r="Q43" s="5">
        <f>EnergyLJ($A43,$C$2,$C$3,shape_factors!Q$2,$C$4,shape_factors!Q$3)</f>
        <v>-0.28617436561123977</v>
      </c>
      <c r="R43" s="5">
        <f>EnergyLJ($A43,$C$2,$C$3,shape_factors!R$2,$C$4,shape_factors!R$3)</f>
        <v>-0.52911202383240696</v>
      </c>
      <c r="S43" s="5">
        <f>EnergyLJ($A43,$C$2,$C$3,shape_factors!S$2,$C$4,shape_factors!S$3)</f>
        <v>-0.31606595013417788</v>
      </c>
      <c r="T43" s="5">
        <f>EnergyLJ($A43,$C$2,$C$3,shape_factors!T$2,$C$4,shape_factors!T$3)</f>
        <v>-0.24545586650593643</v>
      </c>
      <c r="U43" s="5">
        <f>EnergyLJ($A43,$C$2,$C$3,shape_factors!U$2,$C$4,shape_factors!U$3)</f>
        <v>-0.52421668541624089</v>
      </c>
    </row>
    <row r="44" spans="1:21" x14ac:dyDescent="0.25">
      <c r="A44">
        <v>9.4000000000000092</v>
      </c>
      <c r="B44" s="5">
        <f>EnergyLJ($A44,$C$2,$C$3,shape_factors!B$2,$C$4,shape_factors!B$3)</f>
        <v>-1.0324592432490156</v>
      </c>
      <c r="C44" s="5">
        <f>EnergyLJ($A44,$C$2,$C$3,shape_factors!C$2,$C$4,shape_factors!C$3)</f>
        <v>-0.51039810551213138</v>
      </c>
      <c r="D44" s="5">
        <f>EnergyLJ($A44,$C$2,$C$3,shape_factors!D$2,$C$4,shape_factors!D$3)</f>
        <v>-1.0239033491910983</v>
      </c>
      <c r="E44" s="5">
        <f>EnergyLJ($A44,$C$2,$C$3,shape_factors!E$2,$C$4,shape_factors!E$3)</f>
        <v>-0.72847637830466083</v>
      </c>
      <c r="F44" s="5">
        <f>EnergyLJ($A44,$C$2,$C$3,shape_factors!F$2,$C$4,shape_factors!F$3)</f>
        <v>-0.46674359163106255</v>
      </c>
      <c r="G44" s="5">
        <f>EnergyLJ($A44,$C$2,$C$3,shape_factors!G$2,$C$4,shape_factors!G$3)</f>
        <v>-0.55823787887411425</v>
      </c>
      <c r="H44" s="5">
        <f>EnergyLJ($A44,$C$2,$C$3,shape_factors!H$2,$C$4,shape_factors!H$3)</f>
        <v>15.617284773002662</v>
      </c>
      <c r="I44" s="5">
        <f>EnergyLJ($A44,$C$2,$C$3,shape_factors!I$2,$C$4,shape_factors!I$3)</f>
        <v>-0.82785806849116472</v>
      </c>
      <c r="J44" s="5">
        <f>EnergyLJ($A44,$C$2,$C$3,shape_factors!J$2,$C$4,shape_factors!J$3)</f>
        <v>-0.31058837124369548</v>
      </c>
      <c r="K44" s="5">
        <f>EnergyLJ($A44,$C$2,$C$3,shape_factors!K$2,$C$4,shape_factors!K$3)</f>
        <v>-0.34954259055287717</v>
      </c>
      <c r="L44" s="5">
        <f>EnergyLJ($A44,$C$2,$C$3,shape_factors!L$2,$C$4,shape_factors!L$3)</f>
        <v>-0.42628182715661761</v>
      </c>
      <c r="M44" s="5">
        <f>EnergyLJ($A44,$C$2,$C$3,shape_factors!M$2,$C$4,shape_factors!M$3)</f>
        <v>-0.31906522223888578</v>
      </c>
      <c r="N44" s="5">
        <f>EnergyLJ($A44,$C$2,$C$3,shape_factors!N$2,$C$4,shape_factors!N$3)</f>
        <v>-0.24246411084647845</v>
      </c>
      <c r="O44" s="5">
        <f>EnergyLJ($A44,$C$2,$C$3,shape_factors!O$2,$C$4,shape_factors!O$3)</f>
        <v>-0.22691914322795775</v>
      </c>
      <c r="P44" s="5">
        <f>EnergyLJ($A44,$C$2,$C$3,shape_factors!P$2,$C$4,shape_factors!P$3)</f>
        <v>-0.24732004552424541</v>
      </c>
      <c r="Q44" s="5">
        <f>EnergyLJ($A44,$C$2,$C$3,shape_factors!Q$2,$C$4,shape_factors!Q$3)</f>
        <v>-0.25394769465808825</v>
      </c>
      <c r="R44" s="5">
        <f>EnergyLJ($A44,$C$2,$C$3,shape_factors!R$2,$C$4,shape_factors!R$3)</f>
        <v>-0.47482520690987501</v>
      </c>
      <c r="S44" s="5">
        <f>EnergyLJ($A44,$C$2,$C$3,shape_factors!S$2,$C$4,shape_factors!S$3)</f>
        <v>-0.28080637329561203</v>
      </c>
      <c r="T44" s="5">
        <f>EnergyLJ($A44,$C$2,$C$3,shape_factors!T$2,$C$4,shape_factors!T$3)</f>
        <v>-0.21747728610854822</v>
      </c>
      <c r="U44" s="5">
        <f>EnergyLJ($A44,$C$2,$C$3,shape_factors!U$2,$C$4,shape_factors!U$3)</f>
        <v>-0.47030556353741021</v>
      </c>
    </row>
    <row r="45" spans="1:21" x14ac:dyDescent="0.25">
      <c r="A45">
        <v>9.6000000000000103</v>
      </c>
      <c r="B45" s="5">
        <f>EnergyLJ($A45,$C$2,$C$3,shape_factors!B$2,$C$4,shape_factors!B$3)</f>
        <v>-0.99320208421862188</v>
      </c>
      <c r="C45" s="5">
        <f>EnergyLJ($A45,$C$2,$C$3,shape_factors!C$2,$C$4,shape_factors!C$3)</f>
        <v>-0.45863324954852419</v>
      </c>
      <c r="D45" s="5">
        <f>EnergyLJ($A45,$C$2,$C$3,shape_factors!D$2,$C$4,shape_factors!D$3)</f>
        <v>-1.0495683439179013</v>
      </c>
      <c r="E45" s="5">
        <f>EnergyLJ($A45,$C$2,$C$3,shape_factors!E$2,$C$4,shape_factors!E$3)</f>
        <v>-0.66393598920904962</v>
      </c>
      <c r="F45" s="5">
        <f>EnergyLJ($A45,$C$2,$C$3,shape_factors!F$2,$C$4,shape_factors!F$3)</f>
        <v>-0.41847977691703664</v>
      </c>
      <c r="G45" s="5">
        <f>EnergyLJ($A45,$C$2,$C$3,shape_factors!G$2,$C$4,shape_factors!G$3)</f>
        <v>-0.50293401003836824</v>
      </c>
      <c r="H45" s="5">
        <f>EnergyLJ($A45,$C$2,$C$3,shape_factors!H$2,$C$4,shape_factors!H$3)</f>
        <v>11.036003135812244</v>
      </c>
      <c r="I45" s="5">
        <f>EnergyLJ($A45,$C$2,$C$3,shape_factors!I$2,$C$4,shape_factors!I$3)</f>
        <v>-0.76164481634016379</v>
      </c>
      <c r="J45" s="5">
        <f>EnergyLJ($A45,$C$2,$C$3,shape_factors!J$2,$C$4,shape_factors!J$3)</f>
        <v>-0.27657219024582469</v>
      </c>
      <c r="K45" s="5">
        <f>EnergyLJ($A45,$C$2,$C$3,shape_factors!K$2,$C$4,shape_factors!K$3)</f>
        <v>-0.31175031188242841</v>
      </c>
      <c r="L45" s="5">
        <f>EnergyLJ($A45,$C$2,$C$3,shape_factors!L$2,$C$4,shape_factors!L$3)</f>
        <v>-0.3814686082565838</v>
      </c>
      <c r="M45" s="5">
        <f>EnergyLJ($A45,$C$2,$C$3,shape_factors!M$2,$C$4,shape_factors!M$3)</f>
        <v>-0.28421607426514722</v>
      </c>
      <c r="N45" s="5">
        <f>EnergyLJ($A45,$C$2,$C$3,shape_factors!N$2,$C$4,shape_factors!N$3)</f>
        <v>-0.21535358712703151</v>
      </c>
      <c r="O45" s="5">
        <f>EnergyLJ($A45,$C$2,$C$3,shape_factors!O$2,$C$4,shape_factors!O$3)</f>
        <v>-0.20143406674473788</v>
      </c>
      <c r="P45" s="5">
        <f>EnergyLJ($A45,$C$2,$C$3,shape_factors!P$2,$C$4,shape_factors!P$3)</f>
        <v>-0.21970539847499918</v>
      </c>
      <c r="Q45" s="5">
        <f>EnergyLJ($A45,$C$2,$C$3,shape_factors!Q$2,$C$4,shape_factors!Q$3)</f>
        <v>-0.22564783079151976</v>
      </c>
      <c r="R45" s="5">
        <f>EnergyLJ($A45,$C$2,$C$3,shape_factors!R$2,$C$4,shape_factors!R$3)</f>
        <v>-0.42589515859095245</v>
      </c>
      <c r="S45" s="5">
        <f>EnergyLJ($A45,$C$2,$C$3,shape_factors!S$2,$C$4,shape_factors!S$3)</f>
        <v>-0.2497640230300156</v>
      </c>
      <c r="T45" s="5">
        <f>EnergyLJ($A45,$C$2,$C$3,shape_factors!T$2,$C$4,shape_factors!T$3)</f>
        <v>-0.19298798674672329</v>
      </c>
      <c r="U45" s="5">
        <f>EnergyLJ($A45,$C$2,$C$3,shape_factors!U$2,$C$4,shape_factors!U$3)</f>
        <v>-0.42174712829854172</v>
      </c>
    </row>
    <row r="46" spans="1:21" x14ac:dyDescent="0.25">
      <c r="A46">
        <v>9.8000000000000096</v>
      </c>
      <c r="B46" s="5">
        <f>EnergyLJ($A46,$C$2,$C$3,shape_factors!B$2,$C$4,shape_factors!B$3)</f>
        <v>-0.94121055554877775</v>
      </c>
      <c r="C46" s="5">
        <f>EnergyLJ($A46,$C$2,$C$3,shape_factors!C$2,$C$4,shape_factors!C$3)</f>
        <v>-0.41198520384343063</v>
      </c>
      <c r="D46" s="5">
        <f>EnergyLJ($A46,$C$2,$C$3,shape_factors!D$2,$C$4,shape_factors!D$3)</f>
        <v>-1.0398223929218211</v>
      </c>
      <c r="E46" s="5">
        <f>EnergyLJ($A46,$C$2,$C$3,shape_factors!E$2,$C$4,shape_factors!E$3)</f>
        <v>-0.60340389460199473</v>
      </c>
      <c r="F46" s="5">
        <f>EnergyLJ($A46,$C$2,$C$3,shape_factors!F$2,$C$4,shape_factors!F$3)</f>
        <v>-0.37522186241896471</v>
      </c>
      <c r="G46" s="5">
        <f>EnergyLJ($A46,$C$2,$C$3,shape_factors!G$2,$C$4,shape_factors!G$3)</f>
        <v>-0.45276350802775078</v>
      </c>
      <c r="H46" s="5">
        <f>EnergyLJ($A46,$C$2,$C$3,shape_factors!H$2,$C$4,shape_factors!H$3)</f>
        <v>7.6684029956522375</v>
      </c>
      <c r="I46" s="5">
        <f>EnergyLJ($A46,$C$2,$C$3,shape_factors!I$2,$C$4,shape_factors!I$3)</f>
        <v>-0.69747136319538905</v>
      </c>
      <c r="J46" s="5">
        <f>EnergyLJ($A46,$C$2,$C$3,shape_factors!J$2,$C$4,shape_factors!J$3)</f>
        <v>-0.24655709497816614</v>
      </c>
      <c r="K46" s="5">
        <f>EnergyLJ($A46,$C$2,$C$3,shape_factors!K$2,$C$4,shape_factors!K$3)</f>
        <v>-0.27828804071327679</v>
      </c>
      <c r="L46" s="5">
        <f>EnergyLJ($A46,$C$2,$C$3,shape_factors!L$2,$C$4,shape_factors!L$3)</f>
        <v>-0.34148597652589019</v>
      </c>
      <c r="M46" s="5">
        <f>EnergyLJ($A46,$C$2,$C$3,shape_factors!M$2,$C$4,shape_factors!M$3)</f>
        <v>-0.25344355588129702</v>
      </c>
      <c r="N46" s="5">
        <f>EnergyLJ($A46,$C$2,$C$3,shape_factors!N$2,$C$4,shape_factors!N$3)</f>
        <v>-0.19156244359250515</v>
      </c>
      <c r="O46" s="5">
        <f>EnergyLJ($A46,$C$2,$C$3,shape_factors!O$2,$C$4,shape_factors!O$3)</f>
        <v>-0.17909529516845937</v>
      </c>
      <c r="P46" s="5">
        <f>EnergyLJ($A46,$C$2,$C$3,shape_factors!P$2,$C$4,shape_factors!P$3)</f>
        <v>-0.1954629153240994</v>
      </c>
      <c r="Q46" s="5">
        <f>EnergyLJ($A46,$C$2,$C$3,shape_factors!Q$2,$C$4,shape_factors!Q$3)</f>
        <v>-0.20079117181487421</v>
      </c>
      <c r="R46" s="5">
        <f>EnergyLJ($A46,$C$2,$C$3,shape_factors!R$2,$C$4,shape_factors!R$3)</f>
        <v>-0.38199792553348944</v>
      </c>
      <c r="S46" s="5">
        <f>EnergyLJ($A46,$C$2,$C$3,shape_factors!S$2,$C$4,shape_factors!S$3)</f>
        <v>-0.22244065162848242</v>
      </c>
      <c r="T46" s="5">
        <f>EnergyLJ($A46,$C$2,$C$3,shape_factors!T$2,$C$4,shape_factors!T$3)</f>
        <v>-0.17153687144200283</v>
      </c>
      <c r="U46" s="5">
        <f>EnergyLJ($A46,$C$2,$C$3,shape_factors!U$2,$C$4,shape_factors!U$3)</f>
        <v>-0.37820680102749399</v>
      </c>
    </row>
    <row r="47" spans="1:21" x14ac:dyDescent="0.25">
      <c r="A47">
        <v>10</v>
      </c>
      <c r="B47" s="5">
        <f>EnergyLJ($A47,$C$2,$C$3,shape_factors!B$2,$C$4,shape_factors!B$3)</f>
        <v>-0.88259111215104558</v>
      </c>
      <c r="C47" s="5">
        <f>EnergyLJ($A47,$C$2,$C$3,shape_factors!C$2,$C$4,shape_factors!C$3)</f>
        <v>-0.37011615918947044</v>
      </c>
      <c r="D47" s="5">
        <f>EnergyLJ($A47,$C$2,$C$3,shape_factors!D$2,$C$4,shape_factors!D$3)</f>
        <v>-1.0074220770991089</v>
      </c>
      <c r="E47" s="5">
        <f>EnergyLJ($A47,$C$2,$C$3,shape_factors!E$2,$C$4,shape_factors!E$3)</f>
        <v>-0.54736701817179534</v>
      </c>
      <c r="F47" s="5">
        <f>EnergyLJ($A47,$C$2,$C$3,shape_factors!F$2,$C$4,shape_factors!F$3)</f>
        <v>-0.33656483251377783</v>
      </c>
      <c r="G47" s="5">
        <f>EnergyLJ($A47,$C$2,$C$3,shape_factors!G$2,$C$4,shape_factors!G$3)</f>
        <v>-0.40749309223016544</v>
      </c>
      <c r="H47" s="5">
        <f>EnergyLJ($A47,$C$2,$C$3,shape_factors!H$2,$C$4,shape_factors!H$3)</f>
        <v>5.1932263530234897</v>
      </c>
      <c r="I47" s="5">
        <f>EnergyLJ($A47,$C$2,$C$3,shape_factors!I$2,$C$4,shape_factors!I$3)</f>
        <v>-0.63663087399657947</v>
      </c>
      <c r="J47" s="5">
        <f>EnergyLJ($A47,$C$2,$C$3,shape_factors!J$2,$C$4,shape_factors!J$3)</f>
        <v>-0.22007651828858141</v>
      </c>
      <c r="K47" s="5">
        <f>EnergyLJ($A47,$C$2,$C$3,shape_factors!K$2,$C$4,shape_factors!K$3)</f>
        <v>-0.24868154569123002</v>
      </c>
      <c r="L47" s="5">
        <f>EnergyLJ($A47,$C$2,$C$3,shape_factors!L$2,$C$4,shape_factors!L$3)</f>
        <v>-0.30588795336170332</v>
      </c>
      <c r="M47" s="5">
        <f>EnergyLJ($A47,$C$2,$C$3,shape_factors!M$2,$C$4,shape_factors!M$3)</f>
        <v>-0.22627826534078987</v>
      </c>
      <c r="N47" s="5">
        <f>EnergyLJ($A47,$C$2,$C$3,shape_factors!N$2,$C$4,shape_factors!N$3)</f>
        <v>-0.17066883394989113</v>
      </c>
      <c r="O47" s="5">
        <f>EnergyLJ($A47,$C$2,$C$3,shape_factors!O$2,$C$4,shape_factors!O$3)</f>
        <v>-0.15949633987321629</v>
      </c>
      <c r="P47" s="5">
        <f>EnergyLJ($A47,$C$2,$C$3,shape_factors!P$2,$C$4,shape_factors!P$3)</f>
        <v>-0.17416632927552575</v>
      </c>
      <c r="Q47" s="5">
        <f>EnergyLJ($A47,$C$2,$C$3,shape_factors!Q$2,$C$4,shape_factors!Q$3)</f>
        <v>-0.17894571204498322</v>
      </c>
      <c r="R47" s="5">
        <f>EnergyLJ($A47,$C$2,$C$3,shape_factors!R$2,$C$4,shape_factors!R$3)</f>
        <v>-0.34273905653783404</v>
      </c>
      <c r="S47" s="5">
        <f>EnergyLJ($A47,$C$2,$C$3,shape_factors!S$2,$C$4,shape_factors!S$3)</f>
        <v>-0.19838456152623213</v>
      </c>
      <c r="T47" s="5">
        <f>EnergyLJ($A47,$C$2,$C$3,shape_factors!T$2,$C$4,shape_factors!T$3)</f>
        <v>-0.1527276610478249</v>
      </c>
      <c r="U47" s="5">
        <f>EnergyLJ($A47,$C$2,$C$3,shape_factors!U$2,$C$4,shape_factors!U$3)</f>
        <v>-0.33928412091450433</v>
      </c>
    </row>
    <row r="48" spans="1:21" x14ac:dyDescent="0.25">
      <c r="A48">
        <v>10.199999999999999</v>
      </c>
      <c r="B48" s="5">
        <f>EnergyLJ($A48,$C$2,$C$3,shape_factors!B$2,$C$4,shape_factors!B$3)</f>
        <v>-0.82140674556344351</v>
      </c>
      <c r="C48" s="5">
        <f>EnergyLJ($A48,$C$2,$C$3,shape_factors!C$2,$C$4,shape_factors!C$3)</f>
        <v>-0.33263743310041216</v>
      </c>
      <c r="D48" s="5">
        <f>EnergyLJ($A48,$C$2,$C$3,shape_factors!D$2,$C$4,shape_factors!D$3)</f>
        <v>-0.96118234825012572</v>
      </c>
      <c r="E48" s="5">
        <f>EnergyLJ($A48,$C$2,$C$3,shape_factors!E$2,$C$4,shape_factors!E$3)</f>
        <v>-0.49596270923806052</v>
      </c>
      <c r="F48" s="5">
        <f>EnergyLJ($A48,$C$2,$C$3,shape_factors!F$2,$C$4,shape_factors!F$3)</f>
        <v>-0.30208461514776425</v>
      </c>
      <c r="G48" s="5">
        <f>EnergyLJ($A48,$C$2,$C$3,shape_factors!G$2,$C$4,shape_factors!G$3)</f>
        <v>-0.36679491620531079</v>
      </c>
      <c r="H48" s="5">
        <f>EnergyLJ($A48,$C$2,$C$3,shape_factors!H$2,$C$4,shape_factors!H$3)</f>
        <v>3.3765214251488747</v>
      </c>
      <c r="I48" s="5">
        <f>EnergyLJ($A48,$C$2,$C$3,shape_factors!I$2,$C$4,shape_factors!I$3)</f>
        <v>-0.57980780692386458</v>
      </c>
      <c r="J48" s="5">
        <f>EnergyLJ($A48,$C$2,$C$3,shape_factors!J$2,$C$4,shape_factors!J$3)</f>
        <v>-0.19670753136601057</v>
      </c>
      <c r="K48" s="5">
        <f>EnergyLJ($A48,$C$2,$C$3,shape_factors!K$2,$C$4,shape_factors!K$3)</f>
        <v>-0.22249117293456572</v>
      </c>
      <c r="L48" s="5">
        <f>EnergyLJ($A48,$C$2,$C$3,shape_factors!L$2,$C$4,shape_factors!L$3)</f>
        <v>-0.27423289790554528</v>
      </c>
      <c r="M48" s="5">
        <f>EnergyLJ($A48,$C$2,$C$3,shape_factors!M$2,$C$4,shape_factors!M$3)</f>
        <v>-0.20229280096907135</v>
      </c>
      <c r="N48" s="5">
        <f>EnergyLJ($A48,$C$2,$C$3,shape_factors!N$2,$C$4,shape_factors!N$3)</f>
        <v>-0.1523014454730828</v>
      </c>
      <c r="O48" s="5">
        <f>EnergyLJ($A48,$C$2,$C$3,shape_factors!O$2,$C$4,shape_factors!O$3)</f>
        <v>-0.14228134643450774</v>
      </c>
      <c r="P48" s="5">
        <f>EnergyLJ($A48,$C$2,$C$3,shape_factors!P$2,$C$4,shape_factors!P$3)</f>
        <v>-0.15543976793768927</v>
      </c>
      <c r="Q48" s="5">
        <f>EnergyLJ($A48,$C$2,$C$3,shape_factors!Q$2,$C$4,shape_factors!Q$3)</f>
        <v>-0.15972956610821371</v>
      </c>
      <c r="R48" s="5">
        <f>EnergyLJ($A48,$C$2,$C$3,shape_factors!R$2,$C$4,shape_factors!R$3)</f>
        <v>-0.30769969036075917</v>
      </c>
      <c r="S48" s="5">
        <f>EnergyLJ($A48,$C$2,$C$3,shape_factors!S$2,$C$4,shape_factors!S$3)</f>
        <v>-0.17719204577900377</v>
      </c>
      <c r="T48" s="5">
        <f>EnergyLJ($A48,$C$2,$C$3,shape_factors!T$2,$C$4,shape_factors!T$3)</f>
        <v>-0.13621451983900373</v>
      </c>
      <c r="U48" s="5">
        <f>EnergyLJ($A48,$C$2,$C$3,shape_factors!U$2,$C$4,shape_factors!U$3)</f>
        <v>-0.30455724011096202</v>
      </c>
    </row>
    <row r="49" spans="1:21" x14ac:dyDescent="0.25">
      <c r="A49">
        <v>10.4</v>
      </c>
      <c r="B49" s="5">
        <f>EnergyLJ($A49,$C$2,$C$3,shape_factors!B$2,$C$4,shape_factors!B$3)</f>
        <v>-0.76031293441495262</v>
      </c>
      <c r="C49" s="5">
        <f>EnergyLJ($A49,$C$2,$C$3,shape_factors!C$2,$C$4,shape_factors!C$3)</f>
        <v>-0.2991464502512558</v>
      </c>
      <c r="D49" s="5">
        <f>EnergyLJ($A49,$C$2,$C$3,shape_factors!D$2,$C$4,shape_factors!D$3)</f>
        <v>-0.90716099339586354</v>
      </c>
      <c r="E49" s="5">
        <f>EnergyLJ($A49,$C$2,$C$3,shape_factors!E$2,$C$4,shape_factors!E$3)</f>
        <v>-0.44911161286813001</v>
      </c>
      <c r="F49" s="5">
        <f>EnergyLJ($A49,$C$2,$C$3,shape_factors!F$2,$C$4,shape_factors!F$3)</f>
        <v>-0.2713639571669646</v>
      </c>
      <c r="G49" s="5">
        <f>EnergyLJ($A49,$C$2,$C$3,shape_factors!G$2,$C$4,shape_factors!G$3)</f>
        <v>-0.33029826990720013</v>
      </c>
      <c r="H49" s="5">
        <f>EnergyLJ($A49,$C$2,$C$3,shape_factors!H$2,$C$4,shape_factors!H$3)</f>
        <v>2.0470779660054199</v>
      </c>
      <c r="I49" s="5">
        <f>EnergyLJ($A49,$C$2,$C$3,shape_factors!I$2,$C$4,shape_factors!I$3)</f>
        <v>-0.52729005228399917</v>
      </c>
      <c r="J49" s="5">
        <f>EnergyLJ($A49,$C$2,$C$3,shape_factors!J$2,$C$4,shape_factors!J$3)</f>
        <v>-0.17607177647823466</v>
      </c>
      <c r="K49" s="5">
        <f>EnergyLJ($A49,$C$2,$C$3,shape_factors!K$2,$C$4,shape_factors!K$3)</f>
        <v>-0.19931709851780349</v>
      </c>
      <c r="L49" s="5">
        <f>EnergyLJ($A49,$C$2,$C$3,shape_factors!L$2,$C$4,shape_factors!L$3)</f>
        <v>-0.24610085212958296</v>
      </c>
      <c r="M49" s="5">
        <f>EnergyLJ($A49,$C$2,$C$3,shape_factors!M$2,$C$4,shape_factors!M$3)</f>
        <v>-0.18110353749472419</v>
      </c>
      <c r="N49" s="5">
        <f>EnergyLJ($A49,$C$2,$C$3,shape_factors!N$2,$C$4,shape_factors!N$3)</f>
        <v>-0.1361354654876088</v>
      </c>
      <c r="O49" s="5">
        <f>EnergyLJ($A49,$C$2,$C$3,shape_factors!O$2,$C$4,shape_factors!O$3)</f>
        <v>-0.12714035375973612</v>
      </c>
      <c r="P49" s="5">
        <f>EnergyLJ($A49,$C$2,$C$3,shape_factors!P$2,$C$4,shape_factors!P$3)</f>
        <v>-0.1389539719222779</v>
      </c>
      <c r="Q49" s="5">
        <f>EnergyLJ($A49,$C$2,$C$3,shape_factors!Q$2,$C$4,shape_factors!Q$3)</f>
        <v>-0.14280755597443986</v>
      </c>
      <c r="R49" s="5">
        <f>EnergyLJ($A49,$C$2,$C$3,shape_factors!R$2,$C$4,shape_factors!R$3)</f>
        <v>-0.27646433174978519</v>
      </c>
      <c r="S49" s="5">
        <f>EnergyLJ($A49,$C$2,$C$3,shape_factors!S$2,$C$4,shape_factors!S$3)</f>
        <v>-0.15850576282410087</v>
      </c>
      <c r="T49" s="5">
        <f>EnergyLJ($A49,$C$2,$C$3,shape_factors!T$2,$C$4,shape_factors!T$3)</f>
        <v>-0.12169695784485413</v>
      </c>
      <c r="U49" s="5">
        <f>EnergyLJ($A49,$C$2,$C$3,shape_factors!U$2,$C$4,shape_factors!U$3)</f>
        <v>-0.27360962841016812</v>
      </c>
    </row>
    <row r="50" spans="1:21" x14ac:dyDescent="0.25">
      <c r="A50">
        <v>10.6</v>
      </c>
      <c r="B50" s="5">
        <f>EnergyLJ($A50,$C$2,$C$3,shape_factors!B$2,$C$4,shape_factors!B$3)</f>
        <v>-0.70099726227605852</v>
      </c>
      <c r="C50" s="5">
        <f>EnergyLJ($A50,$C$2,$C$3,shape_factors!C$2,$C$4,shape_factors!C$3)</f>
        <v>-0.26924895145171185</v>
      </c>
      <c r="D50" s="5">
        <f>EnergyLJ($A50,$C$2,$C$3,shape_factors!D$2,$C$4,shape_factors!D$3)</f>
        <v>-0.84948412471353818</v>
      </c>
      <c r="E50" s="5">
        <f>EnergyLJ($A50,$C$2,$C$3,shape_factors!E$2,$C$4,shape_factors!E$3)</f>
        <v>-0.40660570032971838</v>
      </c>
      <c r="F50" s="5">
        <f>EnergyLJ($A50,$C$2,$C$3,shape_factors!F$2,$C$4,shape_factors!F$3)</f>
        <v>-0.24400714747002422</v>
      </c>
      <c r="G50" s="5">
        <f>EnergyLJ($A50,$C$2,$C$3,shape_factors!G$2,$C$4,shape_factors!G$3)</f>
        <v>-0.29762178716234666</v>
      </c>
      <c r="H50" s="5">
        <f>EnergyLJ($A50,$C$2,$C$3,shape_factors!H$2,$C$4,shape_factors!H$3)</f>
        <v>1.0790328664471509</v>
      </c>
      <c r="I50" s="5">
        <f>EnergyLJ($A50,$C$2,$C$3,shape_factors!I$2,$C$4,shape_factors!I$3)</f>
        <v>-0.47911197796433308</v>
      </c>
      <c r="J50" s="5">
        <f>EnergyLJ($A50,$C$2,$C$3,shape_factors!J$2,$C$4,shape_factors!J$3)</f>
        <v>-0.15783380945048314</v>
      </c>
      <c r="K50" s="5">
        <f>EnergyLJ($A50,$C$2,$C$3,shape_factors!K$2,$C$4,shape_factors!K$3)</f>
        <v>-0.17880041916029044</v>
      </c>
      <c r="L50" s="5">
        <f>EnergyLJ($A50,$C$2,$C$3,shape_factors!L$2,$C$4,shape_factors!L$3)</f>
        <v>-0.22110256546994558</v>
      </c>
      <c r="M50" s="5">
        <f>EnergyLJ($A50,$C$2,$C$3,shape_factors!M$2,$C$4,shape_factors!M$3)</f>
        <v>-0.16236949874230577</v>
      </c>
      <c r="N50" s="5">
        <f>EnergyLJ($A50,$C$2,$C$3,shape_factors!N$2,$C$4,shape_factors!N$3)</f>
        <v>-0.12188793819387794</v>
      </c>
      <c r="O50" s="5">
        <f>EnergyLJ($A50,$C$2,$C$3,shape_factors!O$2,$C$4,shape_factors!O$3)</f>
        <v>-0.11380426917438911</v>
      </c>
      <c r="P50" s="5">
        <f>EnergyLJ($A50,$C$2,$C$3,shape_factors!P$2,$C$4,shape_factors!P$3)</f>
        <v>-0.12442179282508603</v>
      </c>
      <c r="Q50" s="5">
        <f>EnergyLJ($A50,$C$2,$C$3,shape_factors!Q$2,$C$4,shape_factors!Q$3)</f>
        <v>-0.12788691871465527</v>
      </c>
      <c r="R50" s="5">
        <f>EnergyLJ($A50,$C$2,$C$3,shape_factors!R$2,$C$4,shape_factors!R$3)</f>
        <v>-0.24863685129454513</v>
      </c>
      <c r="S50" s="5">
        <f>EnergyLJ($A50,$C$2,$C$3,shape_factors!S$2,$C$4,shape_factors!S$3)</f>
        <v>-0.14201150160108358</v>
      </c>
      <c r="T50" s="5">
        <f>EnergyLJ($A50,$C$2,$C$3,shape_factors!T$2,$C$4,shape_factors!T$3)</f>
        <v>-0.1089146253073547</v>
      </c>
      <c r="U50" s="5">
        <f>EnergyLJ($A50,$C$2,$C$3,shape_factors!U$2,$C$4,shape_factors!U$3)</f>
        <v>-0.24604535320737125</v>
      </c>
    </row>
    <row r="51" spans="1:21" x14ac:dyDescent="0.25">
      <c r="A51">
        <v>10.8</v>
      </c>
      <c r="B51" s="5">
        <f>EnergyLJ($A51,$C$2,$C$3,shape_factors!B$2,$C$4,shape_factors!B$3)</f>
        <v>-0.64448417674543967</v>
      </c>
      <c r="C51" s="5">
        <f>EnergyLJ($A51,$C$2,$C$3,shape_factors!C$2,$C$4,shape_factors!C$3)</f>
        <v>-0.24257166156095916</v>
      </c>
      <c r="D51" s="5">
        <f>EnergyLJ($A51,$C$2,$C$3,shape_factors!D$2,$C$4,shape_factors!D$3)</f>
        <v>-0.79092388544884307</v>
      </c>
      <c r="E51" s="5">
        <f>EnergyLJ($A51,$C$2,$C$3,shape_factors!E$2,$C$4,shape_factors!E$3)</f>
        <v>-0.36816618883440766</v>
      </c>
      <c r="F51" s="5">
        <f>EnergyLJ($A51,$C$2,$C$3,shape_factors!F$2,$C$4,shape_factors!F$3)</f>
        <v>-0.21964765071142536</v>
      </c>
      <c r="G51" s="5">
        <f>EnergyLJ($A51,$C$2,$C$3,shape_factors!G$2,$C$4,shape_factors!G$3)</f>
        <v>-0.26839289989561249</v>
      </c>
      <c r="H51" s="5">
        <f>EnergyLJ($A51,$C$2,$C$3,shape_factors!H$2,$C$4,shape_factors!H$3)</f>
        <v>0.37947553399633288</v>
      </c>
      <c r="I51" s="5">
        <f>EnergyLJ($A51,$C$2,$C$3,shape_factors!I$2,$C$4,shape_factors!I$3)</f>
        <v>-0.43515066513022616</v>
      </c>
      <c r="J51" s="5">
        <f>EnergyLJ($A51,$C$2,$C$3,shape_factors!J$2,$C$4,shape_factors!J$3)</f>
        <v>-0.14169807833091441</v>
      </c>
      <c r="K51" s="5">
        <f>EnergyLJ($A51,$C$2,$C$3,shape_factors!K$2,$C$4,shape_factors!K$3)</f>
        <v>-0.16062184256063944</v>
      </c>
      <c r="L51" s="5">
        <f>EnergyLJ($A51,$C$2,$C$3,shape_factors!L$2,$C$4,shape_factors!L$3)</f>
        <v>-0.19888333932267044</v>
      </c>
      <c r="M51" s="5">
        <f>EnergyLJ($A51,$C$2,$C$3,shape_factors!M$2,$C$4,shape_factors!M$3)</f>
        <v>-0.1457896608077647</v>
      </c>
      <c r="N51" s="5">
        <f>EnergyLJ($A51,$C$2,$C$3,shape_factors!N$2,$C$4,shape_factors!N$3)</f>
        <v>-0.10931303740334418</v>
      </c>
      <c r="O51" s="5">
        <f>EnergyLJ($A51,$C$2,$C$3,shape_factors!O$2,$C$4,shape_factors!O$3)</f>
        <v>-0.10203996373448812</v>
      </c>
      <c r="P51" s="5">
        <f>EnergyLJ($A51,$C$2,$C$3,shape_factors!P$2,$C$4,shape_factors!P$3)</f>
        <v>-0.11159353688136942</v>
      </c>
      <c r="Q51" s="5">
        <f>EnergyLJ($A51,$C$2,$C$3,shape_factors!Q$2,$C$4,shape_factors!Q$3)</f>
        <v>-0.11471275905628638</v>
      </c>
      <c r="R51" s="5">
        <f>EnergyLJ($A51,$C$2,$C$3,shape_factors!R$2,$C$4,shape_factors!R$3)</f>
        <v>-0.22384897392052344</v>
      </c>
      <c r="S51" s="5">
        <f>EnergyLJ($A51,$C$2,$C$3,shape_factors!S$2,$C$4,shape_factors!S$3)</f>
        <v>-0.12743422198924489</v>
      </c>
      <c r="T51" s="5">
        <f>EnergyLJ($A51,$C$2,$C$3,shape_factors!T$2,$C$4,shape_factors!T$3)</f>
        <v>-9.7642336462721968E-2</v>
      </c>
      <c r="U51" s="5">
        <f>EnergyLJ($A51,$C$2,$C$3,shape_factors!U$2,$C$4,shape_factors!U$3)</f>
        <v>-0.22149708578096536</v>
      </c>
    </row>
    <row r="52" spans="1:21" x14ac:dyDescent="0.25">
      <c r="A52">
        <v>11</v>
      </c>
      <c r="B52" s="5">
        <f>EnergyLJ($A52,$C$2,$C$3,shape_factors!B$2,$C$4,shape_factors!B$3)</f>
        <v>-0.59134667158401177</v>
      </c>
      <c r="C52" s="5">
        <f>EnergyLJ($A52,$C$2,$C$3,shape_factors!C$2,$C$4,shape_factors!C$3)</f>
        <v>-0.21876885112736827</v>
      </c>
      <c r="D52" s="5">
        <f>EnergyLJ($A52,$C$2,$C$3,shape_factors!D$2,$C$4,shape_factors!D$3)</f>
        <v>-0.73330418420945365</v>
      </c>
      <c r="E52" s="5">
        <f>EnergyLJ($A52,$C$2,$C$3,shape_factors!E$2,$C$4,shape_factors!E$3)</f>
        <v>-0.33348122456521961</v>
      </c>
      <c r="F52" s="5">
        <f>EnergyLJ($A52,$C$2,$C$3,shape_factors!F$2,$C$4,shape_factors!F$3)</f>
        <v>-0.19795129954098209</v>
      </c>
      <c r="G52" s="5">
        <f>EnergyLJ($A52,$C$2,$C$3,shape_factors!G$2,$C$4,shape_factors!G$3)</f>
        <v>-0.24225899453596814</v>
      </c>
      <c r="H52" s="5">
        <f>EnergyLJ($A52,$C$2,$C$3,shape_factors!H$2,$C$4,shape_factors!H$3)</f>
        <v>-0.12043697441789487</v>
      </c>
      <c r="I52" s="5">
        <f>EnergyLJ($A52,$C$2,$C$3,shape_factors!I$2,$C$4,shape_factors!I$3)</f>
        <v>-0.39519035068170294</v>
      </c>
      <c r="J52" s="5">
        <f>EnergyLJ($A52,$C$2,$C$3,shape_factors!J$2,$C$4,shape_factors!J$3)</f>
        <v>-0.12740528935738821</v>
      </c>
      <c r="K52" s="5">
        <f>EnergyLJ($A52,$C$2,$C$3,shape_factors!K$2,$C$4,shape_factors!K$3)</f>
        <v>-0.1444990835884736</v>
      </c>
      <c r="L52" s="5">
        <f>EnergyLJ($A52,$C$2,$C$3,shape_factors!L$2,$C$4,shape_factors!L$3)</f>
        <v>-0.17912371955440104</v>
      </c>
      <c r="M52" s="5">
        <f>EnergyLJ($A52,$C$2,$C$3,shape_factors!M$2,$C$4,shape_factors!M$3)</f>
        <v>-0.1310995081177723</v>
      </c>
      <c r="N52" s="5">
        <f>EnergyLJ($A52,$C$2,$C$3,shape_factors!N$2,$C$4,shape_factors!N$3)</f>
        <v>-9.8197545966558664E-2</v>
      </c>
      <c r="O52" s="5">
        <f>EnergyLJ($A52,$C$2,$C$3,shape_factors!O$2,$C$4,shape_factors!O$3)</f>
        <v>-9.1645699938979946E-2</v>
      </c>
      <c r="P52" s="5">
        <f>EnergyLJ($A52,$C$2,$C$3,shape_factors!P$2,$C$4,shape_factors!P$3)</f>
        <v>-0.10025247156313027</v>
      </c>
      <c r="Q52" s="5">
        <f>EnergyLJ($A52,$C$2,$C$3,shape_factors!Q$2,$C$4,shape_factors!Q$3)</f>
        <v>-0.10306360166718156</v>
      </c>
      <c r="R52" s="5">
        <f>EnergyLJ($A52,$C$2,$C$3,shape_factors!R$2,$C$4,shape_factors!R$3)</f>
        <v>-0.20176404003730122</v>
      </c>
      <c r="S52" s="5">
        <f>EnergyLJ($A52,$C$2,$C$3,shape_factors!S$2,$C$4,shape_factors!S$3)</f>
        <v>-0.11453389641512618</v>
      </c>
      <c r="T52" s="5">
        <f>EnergyLJ($A52,$C$2,$C$3,shape_factors!T$2,$C$4,shape_factors!T$3)</f>
        <v>-8.7685491597800036E-2</v>
      </c>
      <c r="U52" s="5">
        <f>EnergyLJ($A52,$C$2,$C$3,shape_factors!U$2,$C$4,shape_factors!U$3)</f>
        <v>-0.19962954131379446</v>
      </c>
    </row>
    <row r="53" spans="1:21" x14ac:dyDescent="0.25">
      <c r="A53">
        <v>11.2</v>
      </c>
      <c r="B53" s="5">
        <f>EnergyLJ($A53,$C$2,$C$3,shape_factors!B$2,$C$4,shape_factors!B$3)</f>
        <v>-0.5418534569213066</v>
      </c>
      <c r="C53" s="5">
        <f>EnergyLJ($A53,$C$2,$C$3,shape_factors!C$2,$C$4,shape_factors!C$3)</f>
        <v>-0.1975250471301076</v>
      </c>
      <c r="D53" s="5">
        <f>EnergyLJ($A53,$C$2,$C$3,shape_factors!D$2,$C$4,shape_factors!D$3)</f>
        <v>-0.67778647383467117</v>
      </c>
      <c r="E53" s="5">
        <f>EnergyLJ($A53,$C$2,$C$3,shape_factors!E$2,$C$4,shape_factors!E$3)</f>
        <v>-0.30222997379754735</v>
      </c>
      <c r="F53" s="5">
        <f>EnergyLJ($A53,$C$2,$C$3,shape_factors!F$2,$C$4,shape_factors!F$3)</f>
        <v>-0.17861676813064956</v>
      </c>
      <c r="G53" s="5">
        <f>EnergyLJ($A53,$C$2,$C$3,shape_factors!G$2,$C$4,shape_factors!G$3)</f>
        <v>-0.21889321882981078</v>
      </c>
      <c r="H53" s="5">
        <f>EnergyLJ($A53,$C$2,$C$3,shape_factors!H$2,$C$4,shape_factors!H$3)</f>
        <v>-0.47188520159280434</v>
      </c>
      <c r="I53" s="5">
        <f>EnergyLJ($A53,$C$2,$C$3,shape_factors!I$2,$C$4,shape_factors!I$3)</f>
        <v>-0.35896524311887845</v>
      </c>
      <c r="J53" s="5">
        <f>EnergyLJ($A53,$C$2,$C$3,shape_factors!J$2,$C$4,shape_factors!J$3)</f>
        <v>-0.11472860999492207</v>
      </c>
      <c r="K53" s="5">
        <f>EnergyLJ($A53,$C$2,$C$3,shape_factors!K$2,$C$4,shape_factors!K$3)</f>
        <v>-0.13018365228470891</v>
      </c>
      <c r="L53" s="5">
        <f>EnergyLJ($A53,$C$2,$C$3,shape_factors!L$2,$C$4,shape_factors!L$3)</f>
        <v>-0.16153834150522095</v>
      </c>
      <c r="M53" s="5">
        <f>EnergyLJ($A53,$C$2,$C$3,shape_factors!M$2,$C$4,shape_factors!M$3)</f>
        <v>-0.1180673394133147</v>
      </c>
      <c r="N53" s="5">
        <f>EnergyLJ($A53,$C$2,$C$3,shape_factors!N$2,$C$4,shape_factors!N$3)</f>
        <v>-8.8356689331961627E-2</v>
      </c>
      <c r="O53" s="5">
        <f>EnergyLJ($A53,$C$2,$C$3,shape_factors!O$2,$C$4,shape_factors!O$3)</f>
        <v>-8.2446988510016805E-2</v>
      </c>
      <c r="P53" s="5">
        <f>EnergyLJ($A53,$C$2,$C$3,shape_factors!P$2,$C$4,shape_factors!P$3)</f>
        <v>-9.021065974946374E-2</v>
      </c>
      <c r="Q53" s="5">
        <f>EnergyLJ($A53,$C$2,$C$3,shape_factors!Q$2,$C$4,shape_factors!Q$3)</f>
        <v>-9.2747232305332925E-2</v>
      </c>
      <c r="R53" s="5">
        <f>EnergyLJ($A53,$C$2,$C$3,shape_factors!R$2,$C$4,shape_factors!R$3)</f>
        <v>-0.18207785405921523</v>
      </c>
      <c r="S53" s="5">
        <f>EnergyLJ($A53,$C$2,$C$3,shape_factors!S$2,$C$4,shape_factors!S$3)</f>
        <v>-0.10310145368083892</v>
      </c>
      <c r="T53" s="5">
        <f>EnergyLJ($A53,$C$2,$C$3,shape_factors!T$2,$C$4,shape_factors!T$3)</f>
        <v>-7.8875966327276906E-2</v>
      </c>
      <c r="U53" s="5">
        <f>EnergyLJ($A53,$C$2,$C$3,shape_factors!U$2,$C$4,shape_factors!U$3)</f>
        <v>-0.18014011558134932</v>
      </c>
    </row>
    <row r="54" spans="1:21" x14ac:dyDescent="0.25">
      <c r="A54">
        <v>11.4</v>
      </c>
      <c r="B54" s="5">
        <f>EnergyLJ($A54,$C$2,$C$3,shape_factors!B$2,$C$4,shape_factors!B$3)</f>
        <v>-0.49607125314207262</v>
      </c>
      <c r="C54" s="5">
        <f>EnergyLJ($A54,$C$2,$C$3,shape_factors!C$2,$C$4,shape_factors!C$3)</f>
        <v>-0.17855537089755391</v>
      </c>
      <c r="D54" s="5">
        <f>EnergyLJ($A54,$C$2,$C$3,shape_factors!D$2,$C$4,shape_factors!D$3)</f>
        <v>-0.62507147506896366</v>
      </c>
      <c r="E54" s="5">
        <f>EnergyLJ($A54,$C$2,$C$3,shape_factors!E$2,$C$4,shape_factors!E$3)</f>
        <v>-0.27409760747160444</v>
      </c>
      <c r="F54" s="5">
        <f>EnergyLJ($A54,$C$2,$C$3,shape_factors!F$2,$C$4,shape_factors!F$3)</f>
        <v>-0.16137444304863624</v>
      </c>
      <c r="G54" s="5">
        <f>EnergyLJ($A54,$C$2,$C$3,shape_factors!G$2,$C$4,shape_factors!G$3)</f>
        <v>-0.19799688956094263</v>
      </c>
      <c r="H54" s="5">
        <f>EnergyLJ($A54,$C$2,$C$3,shape_factors!H$2,$C$4,shape_factors!H$3)</f>
        <v>-0.71302994212879633</v>
      </c>
      <c r="I54" s="5">
        <f>EnergyLJ($A54,$C$2,$C$3,shape_factors!I$2,$C$4,shape_factors!I$3)</f>
        <v>-0.32618762279212293</v>
      </c>
      <c r="J54" s="5">
        <f>EnergyLJ($A54,$C$2,$C$3,shape_factors!J$2,$C$4,shape_factors!J$3)</f>
        <v>-0.10346996861659527</v>
      </c>
      <c r="K54" s="5">
        <f>EnergyLJ($A54,$C$2,$C$3,shape_factors!K$2,$C$4,shape_factors!K$3)</f>
        <v>-0.11745745046884025</v>
      </c>
      <c r="L54" s="5">
        <f>EnergyLJ($A54,$C$2,$C$3,shape_factors!L$2,$C$4,shape_factors!L$3)</f>
        <v>-0.14587376029289101</v>
      </c>
      <c r="M54" s="5">
        <f>EnergyLJ($A54,$C$2,$C$3,shape_factors!M$2,$C$4,shape_factors!M$3)</f>
        <v>-0.10649061458383385</v>
      </c>
      <c r="N54" s="5">
        <f>EnergyLJ($A54,$C$2,$C$3,shape_factors!N$2,$C$4,shape_factors!N$3)</f>
        <v>-7.9630384624489375E-2</v>
      </c>
      <c r="O54" s="5">
        <f>EnergyLJ($A54,$C$2,$C$3,shape_factors!O$2,$C$4,shape_factors!O$3)</f>
        <v>-7.4292903040559993E-2</v>
      </c>
      <c r="P54" s="5">
        <f>EnergyLJ($A54,$C$2,$C$3,shape_factors!P$2,$C$4,shape_factors!P$3)</f>
        <v>-8.1305193963440742E-2</v>
      </c>
      <c r="Q54" s="5">
        <f>EnergyLJ($A54,$C$2,$C$3,shape_factors!Q$2,$C$4,shape_factors!Q$3)</f>
        <v>-8.359691620560171E-2</v>
      </c>
      <c r="R54" s="5">
        <f>EnergyLJ($A54,$C$2,$C$3,shape_factors!R$2,$C$4,shape_factors!R$3)</f>
        <v>-0.16451779877475928</v>
      </c>
      <c r="S54" s="5">
        <f>EnergyLJ($A54,$C$2,$C$3,shape_factors!S$2,$C$4,shape_factors!S$3)</f>
        <v>-9.2954986469577602E-2</v>
      </c>
      <c r="T54" s="5">
        <f>EnergyLJ($A54,$C$2,$C$3,shape_factors!T$2,$C$4,shape_factors!T$3)</f>
        <v>-7.1068479257329911E-2</v>
      </c>
      <c r="U54" s="5">
        <f>EnergyLJ($A54,$C$2,$C$3,shape_factors!U$2,$C$4,shape_factors!U$3)</f>
        <v>-0.1627578616281182</v>
      </c>
    </row>
    <row r="55" spans="1:21" x14ac:dyDescent="0.25">
      <c r="A55">
        <v>11.6</v>
      </c>
      <c r="B55" s="5">
        <f>EnergyLJ($A55,$C$2,$C$3,shape_factors!B$2,$C$4,shape_factors!B$3)</f>
        <v>-0.45393577365414728</v>
      </c>
      <c r="C55" s="5">
        <f>EnergyLJ($A55,$C$2,$C$3,shape_factors!C$2,$C$4,shape_factors!C$3)</f>
        <v>-0.1616044677292883</v>
      </c>
      <c r="D55" s="5">
        <f>EnergyLJ($A55,$C$2,$C$3,shape_factors!D$2,$C$4,shape_factors!D$3)</f>
        <v>-0.57554175958974785</v>
      </c>
      <c r="E55" s="5">
        <f>EnergyLJ($A55,$C$2,$C$3,shape_factors!E$2,$C$4,shape_factors!E$3)</f>
        <v>-0.24878421347371055</v>
      </c>
      <c r="F55" s="5">
        <f>EnergyLJ($A55,$C$2,$C$3,shape_factors!F$2,$C$4,shape_factors!F$3)</f>
        <v>-0.14598440913101657</v>
      </c>
      <c r="G55" s="5">
        <f>EnergyLJ($A55,$C$2,$C$3,shape_factors!G$2,$C$4,shape_factors!G$3)</f>
        <v>-0.17929978906839678</v>
      </c>
      <c r="H55" s="5">
        <f>EnergyLJ($A55,$C$2,$C$3,shape_factors!H$2,$C$4,shape_factors!H$3)</f>
        <v>-0.87239462372671783</v>
      </c>
      <c r="I55" s="5">
        <f>EnergyLJ($A55,$C$2,$C$3,shape_factors!I$2,$C$4,shape_factors!I$3)</f>
        <v>-0.29656594020851912</v>
      </c>
      <c r="J55" s="5">
        <f>EnergyLJ($A55,$C$2,$C$3,shape_factors!J$2,$C$4,shape_factors!J$3)</f>
        <v>-9.3456591311607204E-2</v>
      </c>
      <c r="K55" s="5">
        <f>EnergyLJ($A55,$C$2,$C$3,shape_factors!K$2,$C$4,shape_factors!K$3)</f>
        <v>-0.10612942204179499</v>
      </c>
      <c r="L55" s="5">
        <f>EnergyLJ($A55,$C$2,$C$3,shape_factors!L$2,$C$4,shape_factors!L$3)</f>
        <v>-0.13190579173022979</v>
      </c>
      <c r="M55" s="5">
        <f>EnergyLJ($A55,$C$2,$C$3,shape_factors!M$2,$C$4,shape_factors!M$3)</f>
        <v>-9.6192503602939627E-2</v>
      </c>
      <c r="N55" s="5">
        <f>EnergyLJ($A55,$C$2,$C$3,shape_factors!N$2,$C$4,shape_factors!N$3)</f>
        <v>-7.1879916361038187E-2</v>
      </c>
      <c r="O55" s="5">
        <f>EnergyLJ($A55,$C$2,$C$3,shape_factors!O$2,$C$4,shape_factors!O$3)</f>
        <v>-6.7052842921113812E-2</v>
      </c>
      <c r="P55" s="5">
        <f>EnergyLJ($A55,$C$2,$C$3,shape_factors!P$2,$C$4,shape_factors!P$3)</f>
        <v>-7.3394848905202745E-2</v>
      </c>
      <c r="Q55" s="5">
        <f>EnergyLJ($A55,$C$2,$C$3,shape_factors!Q$2,$C$4,shape_factors!Q$3)</f>
        <v>-7.5468022144520905E-2</v>
      </c>
      <c r="R55" s="5">
        <f>EnergyLJ($A55,$C$2,$C$3,shape_factors!R$2,$C$4,shape_factors!R$3)</f>
        <v>-0.14884097570723612</v>
      </c>
      <c r="S55" s="5">
        <f>EnergyLJ($A55,$C$2,$C$3,shape_factors!S$2,$C$4,shape_factors!S$3)</f>
        <v>-8.3936298449439228E-2</v>
      </c>
      <c r="T55" s="5">
        <f>EnergyLJ($A55,$C$2,$C$3,shape_factors!T$2,$C$4,shape_factors!T$3)</f>
        <v>-6.4137417378988495E-2</v>
      </c>
      <c r="U55" s="5">
        <f>EnergyLJ($A55,$C$2,$C$3,shape_factors!U$2,$C$4,shape_factors!U$3)</f>
        <v>-0.14724154263723141</v>
      </c>
    </row>
    <row r="56" spans="1:21" x14ac:dyDescent="0.25">
      <c r="A56">
        <v>11.8</v>
      </c>
      <c r="B56" s="5">
        <f>EnergyLJ($A56,$C$2,$C$3,shape_factors!B$2,$C$4,shape_factors!B$3)</f>
        <v>-0.41530081078627001</v>
      </c>
      <c r="C56" s="5">
        <f>EnergyLJ($A56,$C$2,$C$3,shape_factors!C$2,$C$4,shape_factors!C$3)</f>
        <v>-0.14644465299476581</v>
      </c>
      <c r="D56" s="5">
        <f>EnergyLJ($A56,$C$2,$C$3,shape_factors!D$2,$C$4,shape_factors!D$3)</f>
        <v>-0.52936257213835547</v>
      </c>
      <c r="E56" s="5">
        <f>EnergyLJ($A56,$C$2,$C$3,shape_factors!E$2,$C$4,shape_factors!E$3)</f>
        <v>-0.22600969161138146</v>
      </c>
      <c r="F56" s="5">
        <f>EnergyLJ($A56,$C$2,$C$3,shape_factors!F$2,$C$4,shape_factors!F$3)</f>
        <v>-0.13223400632981938</v>
      </c>
      <c r="G56" s="5">
        <f>EnergyLJ($A56,$C$2,$C$3,shape_factors!G$2,$C$4,shape_factors!G$3)</f>
        <v>-0.16255919737889699</v>
      </c>
      <c r="H56" s="5">
        <f>EnergyLJ($A56,$C$2,$C$3,shape_factors!H$2,$C$4,shape_factors!H$3)</f>
        <v>-0.97134152919250105</v>
      </c>
      <c r="I56" s="5">
        <f>EnergyLJ($A56,$C$2,$C$3,shape_factors!I$2,$C$4,shape_factors!I$3)</f>
        <v>-0.26981613579617053</v>
      </c>
      <c r="J56" s="5">
        <f>EnergyLJ($A56,$C$2,$C$3,shape_factors!J$2,$C$4,shape_factors!J$3)</f>
        <v>-8.453784270224729E-2</v>
      </c>
      <c r="K56" s="5">
        <f>EnergyLJ($A56,$C$2,$C$3,shape_factors!K$2,$C$4,shape_factors!K$3)</f>
        <v>-9.6032393298090629E-2</v>
      </c>
      <c r="L56" s="5">
        <f>EnergyLJ($A56,$C$2,$C$3,shape_factors!L$2,$C$4,shape_factors!L$3)</f>
        <v>-0.1194366889877642</v>
      </c>
      <c r="M56" s="5">
        <f>EnergyLJ($A56,$C$2,$C$3,shape_factors!M$2,$C$4,shape_factors!M$3)</f>
        <v>-8.7018718155983762E-2</v>
      </c>
      <c r="N56" s="5">
        <f>EnergyLJ($A56,$C$2,$C$3,shape_factors!N$2,$C$4,shape_factors!N$3)</f>
        <v>-6.4985021853212546E-2</v>
      </c>
      <c r="O56" s="5">
        <f>EnergyLJ($A56,$C$2,$C$3,shape_factors!O$2,$C$4,shape_factors!O$3)</f>
        <v>-6.0613714652574868E-2</v>
      </c>
      <c r="P56" s="5">
        <f>EnergyLJ($A56,$C$2,$C$3,shape_factors!P$2,$C$4,shape_factors!P$3)</f>
        <v>-6.6357139827423389E-2</v>
      </c>
      <c r="Q56" s="5">
        <f>EnergyLJ($A56,$C$2,$C$3,shape_factors!Q$2,$C$4,shape_factors!Q$3)</f>
        <v>-6.8235046218818429E-2</v>
      </c>
      <c r="R56" s="5">
        <f>EnergyLJ($A56,$C$2,$C$3,shape_factors!R$2,$C$4,shape_factors!R$3)</f>
        <v>-0.13483185644046097</v>
      </c>
      <c r="S56" s="5">
        <f>EnergyLJ($A56,$C$2,$C$3,shape_factors!S$2,$C$4,shape_factors!S$3)</f>
        <v>-7.5907815589452504E-2</v>
      </c>
      <c r="T56" s="5">
        <f>EnergyLJ($A56,$C$2,$C$3,shape_factors!T$2,$C$4,shape_factors!T$3)</f>
        <v>-5.797408249449329E-2</v>
      </c>
      <c r="U56" s="5">
        <f>EnergyLJ($A56,$C$2,$C$3,shape_factors!U$2,$C$4,shape_factors!U$3)</f>
        <v>-0.13337722963005683</v>
      </c>
    </row>
    <row r="57" spans="1:21" x14ac:dyDescent="0.25">
      <c r="A57">
        <v>12</v>
      </c>
      <c r="B57" s="5">
        <f>EnergyLJ($A57,$C$2,$C$3,shape_factors!B$2,$C$4,shape_factors!B$3)</f>
        <v>-0.37997198507726915</v>
      </c>
      <c r="C57" s="5">
        <f>EnergyLJ($A57,$C$2,$C$3,shape_factors!C$2,$C$4,shape_factors!C$3)</f>
        <v>-0.13287367468989045</v>
      </c>
      <c r="D57" s="5">
        <f>EnergyLJ($A57,$C$2,$C$3,shape_factors!D$2,$C$4,shape_factors!D$3)</f>
        <v>-0.48655307337139564</v>
      </c>
      <c r="E57" s="5">
        <f>EnergyLJ($A57,$C$2,$C$3,shape_factors!E$2,$C$4,shape_factors!E$3)</f>
        <v>-0.20551602299443358</v>
      </c>
      <c r="F57" s="5">
        <f>EnergyLJ($A57,$C$2,$C$3,shape_factors!F$2,$C$4,shape_factors!F$3)</f>
        <v>-0.11993524190925435</v>
      </c>
      <c r="G57" s="5">
        <f>EnergyLJ($A57,$C$2,$C$3,shape_factors!G$2,$C$4,shape_factors!G$3)</f>
        <v>-0.14755821278390296</v>
      </c>
      <c r="H57" s="5">
        <f>EnergyLJ($A57,$C$2,$C$3,shape_factors!H$2,$C$4,shape_factors!H$3)</f>
        <v>-1.0258929804253598</v>
      </c>
      <c r="I57" s="5">
        <f>EnergyLJ($A57,$C$2,$C$3,shape_factors!I$2,$C$4,shape_factors!I$3)</f>
        <v>-0.24566838934562341</v>
      </c>
      <c r="J57" s="5">
        <f>EnergyLJ($A57,$C$2,$C$3,shape_factors!J$2,$C$4,shape_factors!J$3)</f>
        <v>-7.65823930897543E-2</v>
      </c>
      <c r="K57" s="5">
        <f>EnergyLJ($A57,$C$2,$C$3,shape_factors!K$2,$C$4,shape_factors!K$3)</f>
        <v>-8.7020171440678543E-2</v>
      </c>
      <c r="L57" s="5">
        <f>EnergyLJ($A57,$C$2,$C$3,shape_factors!L$2,$C$4,shape_factors!L$3)</f>
        <v>-0.10829235028466365</v>
      </c>
      <c r="M57" s="5">
        <f>EnergyLJ($A57,$C$2,$C$3,shape_factors!M$2,$C$4,shape_factors!M$3)</f>
        <v>-7.8834657273715456E-2</v>
      </c>
      <c r="N57" s="5">
        <f>EnergyLJ($A57,$C$2,$C$3,shape_factors!N$2,$C$4,shape_factors!N$3)</f>
        <v>-5.8841354919460076E-2</v>
      </c>
      <c r="O57" s="5">
        <f>EnergyLJ($A57,$C$2,$C$3,shape_factors!O$2,$C$4,shape_factors!O$3)</f>
        <v>-5.4877492278981893E-2</v>
      </c>
      <c r="P57" s="5">
        <f>EnergyLJ($A57,$C$2,$C$3,shape_factors!P$2,$C$4,shape_factors!P$3)</f>
        <v>-6.008575815865435E-2</v>
      </c>
      <c r="Q57" s="5">
        <f>EnergyLJ($A57,$C$2,$C$3,shape_factors!Q$2,$C$4,shape_factors!Q$3)</f>
        <v>-6.1789010791553522E-2</v>
      </c>
      <c r="R57" s="5">
        <f>EnergyLJ($A57,$C$2,$C$3,shape_factors!R$2,$C$4,shape_factors!R$3)</f>
        <v>-0.1222997490934802</v>
      </c>
      <c r="S57" s="5">
        <f>EnergyLJ($A57,$C$2,$C$3,shape_factors!S$2,$C$4,shape_factors!S$3)</f>
        <v>-6.8749856567564063E-2</v>
      </c>
      <c r="T57" s="5">
        <f>EnergyLJ($A57,$C$2,$C$3,shape_factors!T$2,$C$4,shape_factors!T$3)</f>
        <v>-5.2484315365713172E-2</v>
      </c>
      <c r="U57" s="5">
        <f>EnergyLJ($A57,$C$2,$C$3,shape_factors!U$2,$C$4,shape_factors!U$3)</f>
        <v>-0.12097573701374417</v>
      </c>
    </row>
    <row r="58" spans="1:21" x14ac:dyDescent="0.25">
      <c r="A58">
        <v>12.2</v>
      </c>
      <c r="B58" s="5">
        <f>EnergyLJ($A58,$C$2,$C$3,shape_factors!B$2,$C$4,shape_factors!B$3)</f>
        <v>-0.34772974593313877</v>
      </c>
      <c r="C58" s="5">
        <f>EnergyLJ($A58,$C$2,$C$3,shape_factors!C$2,$C$4,shape_factors!C$3)</f>
        <v>-0.12071234392384127</v>
      </c>
      <c r="D58" s="5">
        <f>EnergyLJ($A58,$C$2,$C$3,shape_factors!D$2,$C$4,shape_factors!D$3)</f>
        <v>-0.44703657916563355</v>
      </c>
      <c r="E58" s="5">
        <f>EnergyLJ($A58,$C$2,$C$3,shape_factors!E$2,$C$4,shape_factors!E$3)</f>
        <v>-0.18706785495477024</v>
      </c>
      <c r="F58" s="5">
        <f>EnergyLJ($A58,$C$2,$C$3,shape_factors!F$2,$C$4,shape_factors!F$3)</f>
        <v>-0.10892223021773598</v>
      </c>
      <c r="G58" s="5">
        <f>EnergyLJ($A58,$C$2,$C$3,shape_factors!G$2,$C$4,shape_factors!G$3)</f>
        <v>-0.13410371772761931</v>
      </c>
      <c r="H58" s="5">
        <f>EnergyLJ($A58,$C$2,$C$3,shape_factors!H$2,$C$4,shape_factors!H$3)</f>
        <v>-1.0480765904911564</v>
      </c>
      <c r="I58" s="5">
        <f>EnergyLJ($A58,$C$2,$C$3,shape_factors!I$2,$C$4,shape_factors!I$3)</f>
        <v>-0.2238708131315473</v>
      </c>
      <c r="J58" s="5">
        <f>EnergyLJ($A58,$C$2,$C$3,shape_factors!J$2,$C$4,shape_factors!J$3)</f>
        <v>-6.9475708145777942E-2</v>
      </c>
      <c r="K58" s="5">
        <f>EnergyLJ($A58,$C$2,$C$3,shape_factors!K$2,$C$4,shape_factors!K$3)</f>
        <v>-7.8964927592994658E-2</v>
      </c>
      <c r="L58" s="5">
        <f>EnergyLJ($A58,$C$2,$C$3,shape_factors!L$2,$C$4,shape_factors!L$3)</f>
        <v>-9.8319669200527704E-2</v>
      </c>
      <c r="M58" s="5">
        <f>EnergyLJ($A58,$C$2,$C$3,shape_factors!M$2,$C$4,shape_factors!M$3)</f>
        <v>-7.1522869032978387E-2</v>
      </c>
      <c r="N58" s="5">
        <f>EnergyLJ($A58,$C$2,$C$3,shape_factors!N$2,$C$4,shape_factors!N$3)</f>
        <v>-5.3358290337807167E-2</v>
      </c>
      <c r="O58" s="5">
        <f>EnergyLJ($A58,$C$2,$C$3,shape_factors!O$2,$C$4,shape_factors!O$3)</f>
        <v>-4.9759114757935478E-2</v>
      </c>
      <c r="P58" s="5">
        <f>EnergyLJ($A58,$C$2,$C$3,shape_factors!P$2,$C$4,shape_factors!P$3)</f>
        <v>-5.4488348473371737E-2</v>
      </c>
      <c r="Q58" s="5">
        <f>EnergyLJ($A58,$C$2,$C$3,shape_factors!Q$2,$C$4,shape_factors!Q$3)</f>
        <v>-5.6035205157630476E-2</v>
      </c>
      <c r="R58" s="5">
        <f>EnergyLJ($A58,$C$2,$C$3,shape_factors!R$2,$C$4,shape_factors!R$3)</f>
        <v>-0.11107626571441112</v>
      </c>
      <c r="S58" s="5">
        <f>EnergyLJ($A58,$C$2,$C$3,shape_factors!S$2,$C$4,shape_factors!S$3)</f>
        <v>-6.2358240904838921E-2</v>
      </c>
      <c r="T58" s="5">
        <f>EnergyLJ($A58,$C$2,$C$3,shape_factors!T$2,$C$4,shape_factors!T$3)</f>
        <v>-4.7586453129765241E-2</v>
      </c>
      <c r="U58" s="5">
        <f>EnergyLJ($A58,$C$2,$C$3,shape_factors!U$2,$C$4,shape_factors!U$3)</f>
        <v>-0.10987007411225569</v>
      </c>
    </row>
    <row r="59" spans="1:21" x14ac:dyDescent="0.25">
      <c r="A59">
        <v>12.4</v>
      </c>
      <c r="B59" s="5">
        <f>EnergyLJ($A59,$C$2,$C$3,shape_factors!B$2,$C$4,shape_factors!B$3)</f>
        <v>-0.31834484220385312</v>
      </c>
      <c r="C59" s="5">
        <f>EnergyLJ($A59,$C$2,$C$3,shape_factors!C$2,$C$4,shape_factors!C$3)</f>
        <v>-0.10980218703328179</v>
      </c>
      <c r="D59" s="5">
        <f>EnergyLJ($A59,$C$2,$C$3,shape_factors!D$2,$C$4,shape_factors!D$3)</f>
        <v>-0.41067585776174181</v>
      </c>
      <c r="E59" s="5">
        <f>EnergyLJ($A59,$C$2,$C$3,shape_factors!E$2,$C$4,shape_factors!E$3)</f>
        <v>-0.17045203586420224</v>
      </c>
      <c r="F59" s="5">
        <f>EnergyLJ($A59,$C$2,$C$3,shape_factors!F$2,$C$4,shape_factors!F$3)</f>
        <v>-9.9048759433704683E-2</v>
      </c>
      <c r="G59" s="5">
        <f>EnergyLJ($A59,$C$2,$C$3,shape_factors!G$2,$C$4,shape_factors!G$3)</f>
        <v>-0.12202421643154264</v>
      </c>
      <c r="H59" s="5">
        <f>EnergyLJ($A59,$C$2,$C$3,shape_factors!H$2,$C$4,shape_factors!H$3)</f>
        <v>-1.0469230292981848</v>
      </c>
      <c r="I59" s="5">
        <f>EnergyLJ($A59,$C$2,$C$3,shape_factors!I$2,$C$4,shape_factors!I$3)</f>
        <v>-0.20419112643181156</v>
      </c>
      <c r="J59" s="5">
        <f>EnergyLJ($A59,$C$2,$C$3,shape_factors!J$2,$C$4,shape_factors!J$3)</f>
        <v>-6.3117842906207186E-2</v>
      </c>
      <c r="K59" s="5">
        <f>EnergyLJ($A59,$C$2,$C$3,shape_factors!K$2,$C$4,shape_factors!K$3)</f>
        <v>-7.175486555407308E-2</v>
      </c>
      <c r="L59" s="5">
        <f>EnergyLJ($A59,$C$2,$C$3,shape_factors!L$2,$C$4,shape_factors!L$3)</f>
        <v>-8.9384085811688191E-2</v>
      </c>
      <c r="M59" s="5">
        <f>EnergyLJ($A59,$C$2,$C$3,shape_factors!M$2,$C$4,shape_factors!M$3)</f>
        <v>-6.4980813822589037E-2</v>
      </c>
      <c r="N59" s="5">
        <f>EnergyLJ($A59,$C$2,$C$3,shape_factors!N$2,$C$4,shape_factors!N$3)</f>
        <v>-4.845703012420785E-2</v>
      </c>
      <c r="O59" s="5">
        <f>EnergyLJ($A59,$C$2,$C$3,shape_factors!O$2,$C$4,shape_factors!O$3)</f>
        <v>-4.518467884342256E-2</v>
      </c>
      <c r="P59" s="5">
        <f>EnergyLJ($A59,$C$2,$C$3,shape_factors!P$2,$C$4,shape_factors!P$3)</f>
        <v>-4.9484588839307529E-2</v>
      </c>
      <c r="Q59" s="5">
        <f>EnergyLJ($A59,$C$2,$C$3,shape_factors!Q$2,$C$4,shape_factors!Q$3)</f>
        <v>-5.0891231375941967E-2</v>
      </c>
      <c r="R59" s="5">
        <f>EnergyLJ($A59,$C$2,$C$3,shape_factors!R$2,$C$4,shape_factors!R$3)</f>
        <v>-0.1010128992396982</v>
      </c>
      <c r="S59" s="5">
        <f>EnergyLJ($A59,$C$2,$C$3,shape_factors!S$2,$C$4,shape_factors!S$3)</f>
        <v>-5.6642205540907528E-2</v>
      </c>
      <c r="T59" s="5">
        <f>EnergyLJ($A59,$C$2,$C$3,shape_factors!T$2,$C$4,shape_factors!T$3)</f>
        <v>-4.3209577409296193E-2</v>
      </c>
      <c r="U59" s="5">
        <f>EnergyLJ($A59,$C$2,$C$3,shape_factors!U$2,$C$4,shape_factors!U$3)</f>
        <v>-9.9913016111621761E-2</v>
      </c>
    </row>
    <row r="60" spans="1:21" x14ac:dyDescent="0.25">
      <c r="A60">
        <v>12.6</v>
      </c>
      <c r="B60" s="5">
        <f>EnergyLJ($A60,$C$2,$C$3,shape_factors!B$2,$C$4,shape_factors!B$3)</f>
        <v>-0.29158852625680975</v>
      </c>
      <c r="C60" s="5">
        <f>EnergyLJ($A60,$C$2,$C$3,shape_factors!C$2,$C$4,shape_factors!C$3)</f>
        <v>-0.1000032090325661</v>
      </c>
      <c r="D60" s="5">
        <f>EnergyLJ($A60,$C$2,$C$3,shape_factors!D$2,$C$4,shape_factors!D$3)</f>
        <v>-0.37729778436410538</v>
      </c>
      <c r="E60" s="5">
        <f>EnergyLJ($A60,$C$2,$C$3,shape_factors!E$2,$C$4,shape_factors!E$3)</f>
        <v>-0.15547652505662868</v>
      </c>
      <c r="F60" s="5">
        <f>EnergyLJ($A60,$C$2,$C$3,shape_factors!F$2,$C$4,shape_factors!F$3)</f>
        <v>-9.0186037851906389E-2</v>
      </c>
      <c r="G60" s="5">
        <f>EnergyLJ($A60,$C$2,$C$3,shape_factors!G$2,$C$4,shape_factors!G$3)</f>
        <v>-0.11116768413612074</v>
      </c>
      <c r="H60" s="5">
        <f>EnergyLJ($A60,$C$2,$C$3,shape_factors!H$2,$C$4,shape_factors!H$3)</f>
        <v>-1.029208902977218</v>
      </c>
      <c r="I60" s="5">
        <f>EnergyLJ($A60,$C$2,$C$3,shape_factors!I$2,$C$4,shape_factors!I$3)</f>
        <v>-0.18641702152451578</v>
      </c>
      <c r="J60" s="5">
        <f>EnergyLJ($A60,$C$2,$C$3,shape_factors!J$2,$C$4,shape_factors!J$3)</f>
        <v>-5.7421514619714856E-2</v>
      </c>
      <c r="K60" s="5">
        <f>EnergyLJ($A60,$C$2,$C$3,shape_factors!K$2,$C$4,shape_factors!K$3)</f>
        <v>-6.5292163251625165E-2</v>
      </c>
      <c r="L60" s="5">
        <f>EnergyLJ($A60,$C$2,$C$3,shape_factors!L$2,$C$4,shape_factors!L$3)</f>
        <v>-8.1367363333523887E-2</v>
      </c>
      <c r="M60" s="5">
        <f>EnergyLJ($A60,$C$2,$C$3,shape_factors!M$2,$C$4,shape_factors!M$3)</f>
        <v>-5.9118906067873608E-2</v>
      </c>
      <c r="N60" s="5">
        <f>EnergyLJ($A60,$C$2,$C$3,shape_factors!N$2,$C$4,shape_factors!N$3)</f>
        <v>-4.4068974102506243E-2</v>
      </c>
      <c r="O60" s="5">
        <f>EnergyLJ($A60,$C$2,$C$3,shape_factors!O$2,$C$4,shape_factors!O$3)</f>
        <v>-4.1089888769303709E-2</v>
      </c>
      <c r="P60" s="5">
        <f>EnergyLJ($A60,$C$2,$C$3,shape_factors!P$2,$C$4,shape_factors!P$3)</f>
        <v>-4.5004537491554072E-2</v>
      </c>
      <c r="Q60" s="5">
        <f>EnergyLJ($A60,$C$2,$C$3,shape_factors!Q$2,$C$4,shape_factors!Q$3)</f>
        <v>-4.6285318967818803E-2</v>
      </c>
      <c r="R60" s="5">
        <f>EnergyLJ($A60,$C$2,$C$3,shape_factors!R$2,$C$4,shape_factors!R$3)</f>
        <v>-9.1978768885741746E-2</v>
      </c>
      <c r="S60" s="5">
        <f>EnergyLJ($A60,$C$2,$C$3,shape_factors!S$2,$C$4,shape_factors!S$3)</f>
        <v>-5.1522597683725004E-2</v>
      </c>
      <c r="T60" s="5">
        <f>EnergyLJ($A60,$C$2,$C$3,shape_factors!T$2,$C$4,shape_factors!T$3)</f>
        <v>-3.9292013960615907E-2</v>
      </c>
      <c r="U60" s="5">
        <f>EnergyLJ($A60,$C$2,$C$3,shape_factors!U$2,$C$4,shape_factors!U$3)</f>
        <v>-9.0974849731826471E-2</v>
      </c>
    </row>
    <row r="61" spans="1:21" x14ac:dyDescent="0.25">
      <c r="A61">
        <v>12.8</v>
      </c>
      <c r="B61" s="5">
        <f>EnergyLJ($A61,$C$2,$C$3,shape_factors!B$2,$C$4,shape_factors!B$3)</f>
        <v>-0.26723908653265316</v>
      </c>
      <c r="C61" s="5">
        <f>EnergyLJ($A61,$C$2,$C$3,shape_factors!C$2,$C$4,shape_factors!C$3)</f>
        <v>-9.1191816625769279E-2</v>
      </c>
      <c r="D61" s="5">
        <f>EnergyLJ($A61,$C$2,$C$3,shape_factors!D$2,$C$4,shape_factors!D$3)</f>
        <v>-0.34671041275493625</v>
      </c>
      <c r="E61" s="5">
        <f>EnergyLJ($A61,$C$2,$C$3,shape_factors!E$2,$C$4,shape_factors!E$3)</f>
        <v>-0.14196896040596899</v>
      </c>
      <c r="F61" s="5">
        <f>EnergyLJ($A61,$C$2,$C$3,shape_factors!F$2,$C$4,shape_factors!F$3)</f>
        <v>-8.222064261727853E-2</v>
      </c>
      <c r="G61" s="5">
        <f>EnergyLJ($A61,$C$2,$C$3,shape_factors!G$2,$C$4,shape_factors!G$3)</f>
        <v>-0.10139951074148</v>
      </c>
      <c r="H61" s="5">
        <f>EnergyLJ($A61,$C$2,$C$3,shape_factors!H$2,$C$4,shape_factors!H$3)</f>
        <v>-1.0000118425118987</v>
      </c>
      <c r="I61" s="5">
        <f>EnergyLJ($A61,$C$2,$C$3,shape_factors!I$2,$C$4,shape_factors!I$3)</f>
        <v>-0.17035570542078698</v>
      </c>
      <c r="J61" s="5">
        <f>EnergyLJ($A61,$C$2,$C$3,shape_factors!J$2,$C$4,shape_factors!J$3)</f>
        <v>-5.2310426235474924E-2</v>
      </c>
      <c r="K61" s="5">
        <f>EnergyLJ($A61,$C$2,$C$3,shape_factors!K$2,$C$4,shape_factors!K$3)</f>
        <v>-5.9491166353931237E-2</v>
      </c>
      <c r="L61" s="5">
        <f>EnergyLJ($A61,$C$2,$C$3,shape_factors!L$2,$C$4,shape_factors!L$3)</f>
        <v>-7.4165594412734945E-2</v>
      </c>
      <c r="M61" s="5">
        <f>EnergyLJ($A61,$C$2,$C$3,shape_factors!M$2,$C$4,shape_factors!M$3)</f>
        <v>-5.3858807611460516E-2</v>
      </c>
      <c r="N61" s="5">
        <f>EnergyLJ($A61,$C$2,$C$3,shape_factors!N$2,$C$4,shape_factors!N$3)</f>
        <v>-4.0134320032590154E-2</v>
      </c>
      <c r="O61" s="5">
        <f>EnergyLJ($A61,$C$2,$C$3,shape_factors!O$2,$C$4,shape_factors!O$3)</f>
        <v>-3.7418727649209955E-2</v>
      </c>
      <c r="P61" s="5">
        <f>EnergyLJ($A61,$C$2,$C$3,shape_factors!P$2,$C$4,shape_factors!P$3)</f>
        <v>-4.0987211292738759E-2</v>
      </c>
      <c r="Q61" s="5">
        <f>EnergyLJ($A61,$C$2,$C$3,shape_factors!Q$2,$C$4,shape_factors!Q$3)</f>
        <v>-4.2154874269057771E-2</v>
      </c>
      <c r="R61" s="5">
        <f>EnergyLJ($A61,$C$2,$C$3,shape_factors!R$2,$C$4,shape_factors!R$3)</f>
        <v>-8.3858561153192207E-2</v>
      </c>
      <c r="S61" s="5">
        <f>EnergyLJ($A61,$C$2,$C$3,shape_factors!S$2,$C$4,shape_factors!S$3)</f>
        <v>-4.6930311836287736E-2</v>
      </c>
      <c r="T61" s="5">
        <f>EnergyLJ($A61,$C$2,$C$3,shape_factors!T$2,$C$4,shape_factors!T$3)</f>
        <v>-3.5780048756720251E-2</v>
      </c>
      <c r="U61" s="5">
        <f>EnergyLJ($A61,$C$2,$C$3,shape_factors!U$2,$C$4,shape_factors!U$3)</f>
        <v>-8.2941318393483704E-2</v>
      </c>
    </row>
    <row r="62" spans="1:21" x14ac:dyDescent="0.25">
      <c r="A62">
        <v>13</v>
      </c>
      <c r="B62" s="5">
        <f>EnergyLJ($A62,$C$2,$C$3,shape_factors!B$2,$C$4,shape_factors!B$3)</f>
        <v>-0.24508583381973084</v>
      </c>
      <c r="C62" s="5">
        <f>EnergyLJ($A62,$C$2,$C$3,shape_factors!C$2,$C$4,shape_factors!C$3)</f>
        <v>-8.3258922498241836E-2</v>
      </c>
      <c r="D62" s="5">
        <f>EnergyLJ($A62,$C$2,$C$3,shape_factors!D$2,$C$4,shape_factors!D$3)</f>
        <v>-0.31871464695513357</v>
      </c>
      <c r="E62" s="5">
        <f>EnergyLJ($A62,$C$2,$C$3,shape_factors!E$2,$C$4,shape_factors!E$3)</f>
        <v>-0.12977506888541634</v>
      </c>
      <c r="F62" s="5">
        <f>EnergyLJ($A62,$C$2,$C$3,shape_factors!F$2,$C$4,shape_factors!F$3)</f>
        <v>-7.5052675462373708E-2</v>
      </c>
      <c r="G62" s="5">
        <f>EnergyLJ($A62,$C$2,$C$3,shape_factors!G$2,$C$4,shape_factors!G$3)</f>
        <v>-9.2600584289640492E-2</v>
      </c>
      <c r="H62" s="5">
        <f>EnergyLJ($A62,$C$2,$C$3,shape_factors!H$2,$C$4,shape_factors!H$3)</f>
        <v>-0.96312665274512677</v>
      </c>
      <c r="I62" s="5">
        <f>EnergyLJ($A62,$C$2,$C$3,shape_factors!I$2,$C$4,shape_factors!I$3)</f>
        <v>-0.15583294576030107</v>
      </c>
      <c r="J62" s="5">
        <f>EnergyLJ($A62,$C$2,$C$3,shape_factors!J$2,$C$4,shape_factors!J$3)</f>
        <v>-4.7717812179879623E-2</v>
      </c>
      <c r="K62" s="5">
        <f>EnergyLJ($A62,$C$2,$C$3,shape_factors!K$2,$C$4,shape_factors!K$3)</f>
        <v>-5.4276810233235086E-2</v>
      </c>
      <c r="L62" s="5">
        <f>EnergyLJ($A62,$C$2,$C$3,shape_factors!L$2,$C$4,shape_factors!L$3)</f>
        <v>-6.7687429115500464E-2</v>
      </c>
      <c r="M62" s="5">
        <f>EnergyLJ($A62,$C$2,$C$3,shape_factors!M$2,$C$4,shape_factors!M$3)</f>
        <v>-4.9131945202915271E-2</v>
      </c>
      <c r="N62" s="5">
        <f>EnergyLJ($A62,$C$2,$C$3,shape_factors!N$2,$C$4,shape_factors!N$3)</f>
        <v>-3.6600861989316925E-2</v>
      </c>
      <c r="O62" s="5">
        <f>EnergyLJ($A62,$C$2,$C$3,shape_factors!O$2,$C$4,shape_factors!O$3)</f>
        <v>-3.412231943127083E-2</v>
      </c>
      <c r="P62" s="5">
        <f>EnergyLJ($A62,$C$2,$C$3,shape_factors!P$2,$C$4,shape_factors!P$3)</f>
        <v>-3.7379364686319187E-2</v>
      </c>
      <c r="Q62" s="5">
        <f>EnergyLJ($A62,$C$2,$C$3,shape_factors!Q$2,$C$4,shape_factors!Q$3)</f>
        <v>-3.8445233209220615E-2</v>
      </c>
      <c r="R62" s="5">
        <f>EnergyLJ($A62,$C$2,$C$3,shape_factors!R$2,$C$4,shape_factors!R$3)</f>
        <v>-7.6550673877976622E-2</v>
      </c>
      <c r="S62" s="5">
        <f>EnergyLJ($A62,$C$2,$C$3,shape_factors!S$2,$C$4,shape_factors!S$3)</f>
        <v>-4.2804940611823349E-2</v>
      </c>
      <c r="T62" s="5">
        <f>EnergyLJ($A62,$C$2,$C$3,shape_factors!T$2,$C$4,shape_factors!T$3)</f>
        <v>-3.2626829572572083E-2</v>
      </c>
      <c r="U62" s="5">
        <f>EnergyLJ($A62,$C$2,$C$3,shape_factors!U$2,$C$4,shape_factors!U$3)</f>
        <v>-7.5711772687615767E-2</v>
      </c>
    </row>
    <row r="63" spans="1:21" x14ac:dyDescent="0.25">
      <c r="A63">
        <v>13.2</v>
      </c>
      <c r="B63" s="5">
        <f>EnergyLJ($A63,$C$2,$C$3,shape_factors!B$2,$C$4,shape_factors!B$3)</f>
        <v>-0.22493133541208007</v>
      </c>
      <c r="C63" s="5">
        <f>EnergyLJ($A63,$C$2,$C$3,shape_factors!C$2,$C$4,shape_factors!C$3)</f>
        <v>-7.6108236033363655E-2</v>
      </c>
      <c r="D63" s="5">
        <f>EnergyLJ($A63,$C$2,$C$3,shape_factors!D$2,$C$4,shape_factors!D$3)</f>
        <v>-0.2931120739909176</v>
      </c>
      <c r="E63" s="5">
        <f>EnergyLJ($A63,$C$2,$C$3,shape_factors!E$2,$C$4,shape_factors!E$3)</f>
        <v>-0.11875703931337406</v>
      </c>
      <c r="F63" s="5">
        <f>EnergyLJ($A63,$C$2,$C$3,shape_factors!F$2,$C$4,shape_factors!F$3)</f>
        <v>-6.8594119060993095E-2</v>
      </c>
      <c r="G63" s="5">
        <f>EnergyLJ($A63,$C$2,$C$3,shape_factors!G$2,$C$4,shape_factors!G$3)</f>
        <v>-8.4665535636995165E-2</v>
      </c>
      <c r="H63" s="5">
        <f>EnergyLJ($A63,$C$2,$C$3,shape_factors!H$2,$C$4,shape_factors!H$3)</f>
        <v>-0.92137825446428034</v>
      </c>
      <c r="I63" s="5">
        <f>EnergyLJ($A63,$C$2,$C$3,shape_factors!I$2,$C$4,shape_factors!I$3)</f>
        <v>-0.1426918417351149</v>
      </c>
      <c r="J63" s="5">
        <f>EnergyLJ($A63,$C$2,$C$3,shape_factors!J$2,$C$4,shape_factors!J$3)</f>
        <v>-4.3585179425556307E-2</v>
      </c>
      <c r="K63" s="5">
        <f>EnergyLJ($A63,$C$2,$C$3,shape_factors!K$2,$C$4,shape_factors!K$3)</f>
        <v>-4.958324576803351E-2</v>
      </c>
      <c r="L63" s="5">
        <f>EnergyLJ($A63,$C$2,$C$3,shape_factors!L$2,$C$4,shape_factors!L$3)</f>
        <v>-6.1852509996619766E-2</v>
      </c>
      <c r="M63" s="5">
        <f>EnergyLJ($A63,$C$2,$C$3,shape_factors!M$2,$C$4,shape_factors!M$3)</f>
        <v>-4.4878225506398861E-2</v>
      </c>
      <c r="N63" s="5">
        <f>EnergyLJ($A63,$C$2,$C$3,shape_factors!N$2,$C$4,shape_factors!N$3)</f>
        <v>-3.3422959266285933E-2</v>
      </c>
      <c r="O63" s="5">
        <f>EnergyLJ($A63,$C$2,$C$3,shape_factors!O$2,$C$4,shape_factors!O$3)</f>
        <v>-3.1157954110169098E-2</v>
      </c>
      <c r="P63" s="5">
        <f>EnergyLJ($A63,$C$2,$C$3,shape_factors!P$2,$C$4,shape_factors!P$3)</f>
        <v>-3.4134441326751502E-2</v>
      </c>
      <c r="Q63" s="5">
        <f>EnergyLJ($A63,$C$2,$C$3,shape_factors!Q$2,$C$4,shape_factors!Q$3)</f>
        <v>-3.5108589612671035E-2</v>
      </c>
      <c r="R63" s="5">
        <f>EnergyLJ($A63,$C$2,$C$3,shape_factors!R$2,$C$4,shape_factors!R$3)</f>
        <v>-6.9965558860100821E-2</v>
      </c>
      <c r="S63" s="5">
        <f>EnergyLJ($A63,$C$2,$C$3,shape_factors!S$2,$C$4,shape_factors!S$3)</f>
        <v>-3.9093611481610023E-2</v>
      </c>
      <c r="T63" s="5">
        <f>EnergyLJ($A63,$C$2,$C$3,shape_factors!T$2,$C$4,shape_factors!T$3)</f>
        <v>-2.9791426137094276E-2</v>
      </c>
      <c r="U63" s="5">
        <f>EnergyLJ($A63,$C$2,$C$3,shape_factors!U$2,$C$4,shape_factors!U$3)</f>
        <v>-6.9197520595018658E-2</v>
      </c>
    </row>
    <row r="64" spans="1:21" x14ac:dyDescent="0.25">
      <c r="A64">
        <v>13.4</v>
      </c>
      <c r="B64" s="5">
        <f>EnergyLJ($A64,$C$2,$C$3,shape_factors!B$2,$C$4,shape_factors!B$3)</f>
        <v>-0.20659245736454618</v>
      </c>
      <c r="C64" s="5">
        <f>EnergyLJ($A64,$C$2,$C$3,shape_factors!C$2,$C$4,shape_factors!C$3)</f>
        <v>-6.9654735588893069E-2</v>
      </c>
      <c r="D64" s="5">
        <f>EnergyLJ($A64,$C$2,$C$3,shape_factors!D$2,$C$4,shape_factors!D$3)</f>
        <v>-0.26971007591585788</v>
      </c>
      <c r="E64" s="5">
        <f>EnergyLJ($A64,$C$2,$C$3,shape_factors!E$2,$C$4,shape_factors!E$3)</f>
        <v>-0.10879193170242611</v>
      </c>
      <c r="F64" s="5">
        <f>EnergyLJ($A64,$C$2,$C$3,shape_factors!F$2,$C$4,shape_factors!F$3)</f>
        <v>-6.2767381480292941E-2</v>
      </c>
      <c r="G64" s="5">
        <f>EnergyLJ($A64,$C$2,$C$3,shape_factors!G$2,$C$4,shape_factors!G$3)</f>
        <v>-7.7501150429736321E-2</v>
      </c>
      <c r="H64" s="5">
        <f>EnergyLJ($A64,$C$2,$C$3,shape_factors!H$2,$C$4,shape_factors!H$3)</f>
        <v>-0.87685767273794657</v>
      </c>
      <c r="I64" s="5">
        <f>EnergyLJ($A64,$C$2,$C$3,shape_factors!I$2,$C$4,shape_factors!I$3)</f>
        <v>-0.13079146672341549</v>
      </c>
      <c r="J64" s="5">
        <f>EnergyLJ($A64,$C$2,$C$3,shape_factors!J$2,$C$4,shape_factors!J$3)</f>
        <v>-3.9861218978630923E-2</v>
      </c>
      <c r="K64" s="5">
        <f>EnergyLJ($A64,$C$2,$C$3,shape_factors!K$2,$C$4,shape_factors!K$3)</f>
        <v>-4.5352645259990311E-2</v>
      </c>
      <c r="L64" s="5">
        <f>EnergyLJ($A64,$C$2,$C$3,shape_factors!L$2,$C$4,shape_factors!L$3)</f>
        <v>-5.6590096430086119E-2</v>
      </c>
      <c r="M64" s="5">
        <f>EnergyLJ($A64,$C$2,$C$3,shape_factors!M$2,$C$4,shape_factors!M$3)</f>
        <v>-4.1044922904541252E-2</v>
      </c>
      <c r="N64" s="5">
        <f>EnergyLJ($A64,$C$2,$C$3,shape_factors!N$2,$C$4,shape_factors!N$3)</f>
        <v>-3.0560651548977514E-2</v>
      </c>
      <c r="O64" s="5">
        <f>EnergyLJ($A64,$C$2,$C$3,shape_factors!O$2,$C$4,shape_factors!O$3)</f>
        <v>-2.8488252514827686E-2</v>
      </c>
      <c r="P64" s="5">
        <f>EnergyLJ($A64,$C$2,$C$3,shape_factors!P$2,$C$4,shape_factors!P$3)</f>
        <v>-3.1211673983458678E-2</v>
      </c>
      <c r="Q64" s="5">
        <f>EnergyLJ($A64,$C$2,$C$3,shape_factors!Q$2,$C$4,shape_factors!Q$3)</f>
        <v>-3.2103074441554746E-2</v>
      </c>
      <c r="R64" s="5">
        <f>EnergyLJ($A64,$C$2,$C$3,shape_factors!R$2,$C$4,shape_factors!R$3)</f>
        <v>-6.4024251811491087E-2</v>
      </c>
      <c r="S64" s="5">
        <f>EnergyLJ($A64,$C$2,$C$3,shape_factors!S$2,$C$4,shape_factors!S$3)</f>
        <v>-3.574998445877952E-2</v>
      </c>
      <c r="T64" s="5">
        <f>EnergyLJ($A64,$C$2,$C$3,shape_factors!T$2,$C$4,shape_factors!T$3)</f>
        <v>-2.7238025592691065E-2</v>
      </c>
      <c r="U64" s="5">
        <f>EnergyLJ($A64,$C$2,$C$3,shape_factors!U$2,$C$4,shape_factors!U$3)</f>
        <v>-6.3320365483862037E-2</v>
      </c>
    </row>
    <row r="65" spans="1:21" x14ac:dyDescent="0.25">
      <c r="A65">
        <v>13.6</v>
      </c>
      <c r="B65" s="5">
        <f>EnergyLJ($A65,$C$2,$C$3,shape_factors!B$2,$C$4,shape_factors!B$3)</f>
        <v>-0.18990060938246603</v>
      </c>
      <c r="C65" s="5">
        <f>EnergyLJ($A65,$C$2,$C$3,shape_factors!C$2,$C$4,shape_factors!C$3)</f>
        <v>-6.3823311754718642E-2</v>
      </c>
      <c r="D65" s="5">
        <f>EnergyLJ($A65,$C$2,$C$3,shape_factors!D$2,$C$4,shape_factors!D$3)</f>
        <v>-0.2483250228358769</v>
      </c>
      <c r="E65" s="5">
        <f>EnergyLJ($A65,$C$2,$C$3,shape_factors!E$2,$C$4,shape_factors!E$3)</f>
        <v>-9.9770167477539598E-2</v>
      </c>
      <c r="F65" s="5">
        <f>EnergyLJ($A65,$C$2,$C$3,shape_factors!F$2,$C$4,shape_factors!F$3)</f>
        <v>-5.7504013170983248E-2</v>
      </c>
      <c r="G65" s="5">
        <f>EnergyLJ($A65,$C$2,$C$3,shape_factors!G$2,$C$4,shape_factors!G$3)</f>
        <v>-7.1024945155492E-2</v>
      </c>
      <c r="H65" s="5">
        <f>EnergyLJ($A65,$C$2,$C$3,shape_factors!H$2,$C$4,shape_factors!H$3)</f>
        <v>-0.8311004419099135</v>
      </c>
      <c r="I65" s="5">
        <f>EnergyLJ($A65,$C$2,$C$3,shape_factors!I$2,$C$4,shape_factors!I$3)</f>
        <v>-0.12000547825853559</v>
      </c>
      <c r="J65" s="5">
        <f>EnergyLJ($A65,$C$2,$C$3,shape_factors!J$2,$C$4,shape_factors!J$3)</f>
        <v>-3.6500865358416505E-2</v>
      </c>
      <c r="K65" s="5">
        <f>EnergyLJ($A65,$C$2,$C$3,shape_factors!K$2,$C$4,shape_factors!K$3)</f>
        <v>-4.1534166342190676E-2</v>
      </c>
      <c r="L65" s="5">
        <f>EnergyLJ($A65,$C$2,$C$3,shape_factors!L$2,$C$4,shape_factors!L$3)</f>
        <v>-5.1837859329446671E-2</v>
      </c>
      <c r="M65" s="5">
        <f>EnergyLJ($A65,$C$2,$C$3,shape_factors!M$2,$C$4,shape_factors!M$3)</f>
        <v>-3.7585717667067073E-2</v>
      </c>
      <c r="N65" s="5">
        <f>EnergyLJ($A65,$C$2,$C$3,shape_factors!N$2,$C$4,shape_factors!N$3)</f>
        <v>-2.7978899320825864E-2</v>
      </c>
      <c r="O65" s="5">
        <f>EnergyLJ($A65,$C$2,$C$3,shape_factors!O$2,$C$4,shape_factors!O$3)</f>
        <v>-2.6080450268002736E-2</v>
      </c>
      <c r="P65" s="5">
        <f>EnergyLJ($A65,$C$2,$C$3,shape_factors!P$2,$C$4,shape_factors!P$3)</f>
        <v>-2.8575311507610713E-2</v>
      </c>
      <c r="Q65" s="5">
        <f>EnergyLJ($A65,$C$2,$C$3,shape_factors!Q$2,$C$4,shape_factors!Q$3)</f>
        <v>-2.9391964549531534E-2</v>
      </c>
      <c r="R65" s="5">
        <f>EnergyLJ($A65,$C$2,$C$3,shape_factors!R$2,$C$4,shape_factors!R$3)</f>
        <v>-5.8657074869831238E-2</v>
      </c>
      <c r="S65" s="5">
        <f>EnergyLJ($A65,$C$2,$C$3,shape_factors!S$2,$C$4,shape_factors!S$3)</f>
        <v>-3.2733388612923818E-2</v>
      </c>
      <c r="T65" s="5">
        <f>EnergyLJ($A65,$C$2,$C$3,shape_factors!T$2,$C$4,shape_factors!T$3)</f>
        <v>-2.4935243296864348E-2</v>
      </c>
      <c r="U65" s="5">
        <f>EnergyLJ($A65,$C$2,$C$3,shape_factors!U$2,$C$4,shape_factors!U$3)</f>
        <v>-5.8011316674763051E-2</v>
      </c>
    </row>
    <row r="66" spans="1:21" x14ac:dyDescent="0.25">
      <c r="A66">
        <v>13.8</v>
      </c>
      <c r="B66" s="5">
        <f>EnergyLJ($A66,$C$2,$C$3,shape_factors!B$2,$C$4,shape_factors!B$3)</f>
        <v>-0.17470146937086931</v>
      </c>
      <c r="C66" s="5">
        <f>EnergyLJ($A66,$C$2,$C$3,shape_factors!C$2,$C$4,shape_factors!C$3)</f>
        <v>-5.8547568085292961E-2</v>
      </c>
      <c r="D66" s="5">
        <f>EnergyLJ($A66,$C$2,$C$3,shape_factors!D$2,$C$4,shape_factors!D$3)</f>
        <v>-0.22878412202135645</v>
      </c>
      <c r="E66" s="5">
        <f>EnergyLJ($A66,$C$2,$C$3,shape_factors!E$2,$C$4,shape_factors!E$3)</f>
        <v>-9.1594124723491474E-2</v>
      </c>
      <c r="F66" s="5">
        <f>EnergyLJ($A66,$C$2,$C$3,shape_factors!F$2,$C$4,shape_factors!F$3)</f>
        <v>-5.2743579836555497E-2</v>
      </c>
      <c r="G66" s="5">
        <f>EnergyLJ($A66,$C$2,$C$3,shape_factors!G$2,$C$4,shape_factors!G$3)</f>
        <v>-6.5163898603138981E-2</v>
      </c>
      <c r="H66" s="5">
        <f>EnergyLJ($A66,$C$2,$C$3,shape_factors!H$2,$C$4,shape_factors!H$3)</f>
        <v>-0.78522177734635501</v>
      </c>
      <c r="I66" s="5">
        <f>EnergyLJ($A66,$C$2,$C$3,shape_factors!I$2,$C$4,shape_factors!I$3)</f>
        <v>-0.11022075595076283</v>
      </c>
      <c r="J66" s="5">
        <f>EnergyLJ($A66,$C$2,$C$3,shape_factors!J$2,$C$4,shape_factors!J$3)</f>
        <v>-3.3464484151145613E-2</v>
      </c>
      <c r="K66" s="5">
        <f>EnergyLJ($A66,$C$2,$C$3,shape_factors!K$2,$C$4,shape_factors!K$3)</f>
        <v>-3.8083053741622179E-2</v>
      </c>
      <c r="L66" s="5">
        <f>EnergyLJ($A66,$C$2,$C$3,shape_factors!L$2,$C$4,shape_factors!L$3)</f>
        <v>-4.7540827633113826E-2</v>
      </c>
      <c r="M66" s="5">
        <f>EnergyLJ($A66,$C$2,$C$3,shape_factors!M$2,$C$4,shape_factors!M$3)</f>
        <v>-3.4459864465894822E-2</v>
      </c>
      <c r="N66" s="5">
        <f>EnergyLJ($A66,$C$2,$C$3,shape_factors!N$2,$C$4,shape_factors!N$3)</f>
        <v>-2.5646931370153205E-2</v>
      </c>
      <c r="O66" s="5">
        <f>EnergyLJ($A66,$C$2,$C$3,shape_factors!O$2,$C$4,shape_factors!O$3)</f>
        <v>-2.3905783424299894E-2</v>
      </c>
      <c r="P66" s="5">
        <f>EnergyLJ($A66,$C$2,$C$3,shape_factors!P$2,$C$4,shape_factors!P$3)</f>
        <v>-2.6193954547057655E-2</v>
      </c>
      <c r="Q66" s="5">
        <f>EnergyLJ($A66,$C$2,$C$3,shape_factors!Q$2,$C$4,shape_factors!Q$3)</f>
        <v>-2.6943002395592813E-2</v>
      </c>
      <c r="R66" s="5">
        <f>EnergyLJ($A66,$C$2,$C$3,shape_factors!R$2,$C$4,shape_factors!R$3)</f>
        <v>-5.3802495518766764E-2</v>
      </c>
      <c r="S66" s="5">
        <f>EnergyLJ($A66,$C$2,$C$3,shape_factors!S$2,$C$4,shape_factors!S$3)</f>
        <v>-3.0008078068221363E-2</v>
      </c>
      <c r="T66" s="5">
        <f>EnergyLJ($A66,$C$2,$C$3,shape_factors!T$2,$C$4,shape_factors!T$3)</f>
        <v>-2.2855531899822062E-2</v>
      </c>
      <c r="U66" s="5">
        <f>EnergyLJ($A66,$C$2,$C$3,shape_factors!U$2,$C$4,shape_factors!U$3)</f>
        <v>-5.3209456129848412E-2</v>
      </c>
    </row>
    <row r="67" spans="1:21" x14ac:dyDescent="0.25">
      <c r="A67">
        <v>14</v>
      </c>
      <c r="B67" s="5">
        <f>EnergyLJ($A67,$C$2,$C$3,shape_factors!B$2,$C$4,shape_factors!B$3)</f>
        <v>-0.16085438123724421</v>
      </c>
      <c r="C67" s="5">
        <f>EnergyLJ($A67,$C$2,$C$3,shape_factors!C$2,$C$4,shape_factors!C$3)</f>
        <v>-5.3768764643572033E-2</v>
      </c>
      <c r="D67" s="5">
        <f>EnergyLJ($A67,$C$2,$C$3,shape_factors!D$2,$C$4,shape_factors!D$3)</f>
        <v>-0.21092633542308159</v>
      </c>
      <c r="E67" s="5">
        <f>EnergyLJ($A67,$C$2,$C$3,shape_factors!E$2,$C$4,shape_factors!E$3)</f>
        <v>-8.4176849397193471E-2</v>
      </c>
      <c r="F67" s="5">
        <f>EnergyLJ($A67,$C$2,$C$3,shape_factors!F$2,$C$4,shape_factors!F$3)</f>
        <v>-4.8432674612662929E-2</v>
      </c>
      <c r="G67" s="5">
        <f>EnergyLJ($A67,$C$2,$C$3,shape_factors!G$2,$C$4,shape_factors!G$3)</f>
        <v>-5.9853327171354012E-2</v>
      </c>
      <c r="H67" s="5">
        <f>EnergyLJ($A67,$C$2,$C$3,shape_factors!H$2,$C$4,shape_factors!H$3)</f>
        <v>-0.74001918603138261</v>
      </c>
      <c r="I67" s="5">
        <f>EnergyLJ($A67,$C$2,$C$3,shape_factors!I$2,$C$4,shape_factors!I$3)</f>
        <v>-0.10133610411533524</v>
      </c>
      <c r="J67" s="5">
        <f>EnergyLJ($A67,$C$2,$C$3,shape_factors!J$2,$C$4,shape_factors!J$3)</f>
        <v>-3.0717170132837847E-2</v>
      </c>
      <c r="K67" s="5">
        <f>EnergyLJ($A67,$C$2,$C$3,shape_factors!K$2,$C$4,shape_factors!K$3)</f>
        <v>-3.4959860867594068E-2</v>
      </c>
      <c r="L67" s="5">
        <f>EnergyLJ($A67,$C$2,$C$3,shape_factors!L$2,$C$4,shape_factors!L$3)</f>
        <v>-4.3650468920720158E-2</v>
      </c>
      <c r="M67" s="5">
        <f>EnergyLJ($A67,$C$2,$C$3,shape_factors!M$2,$C$4,shape_factors!M$3)</f>
        <v>-3.163147357954204E-2</v>
      </c>
      <c r="N67" s="5">
        <f>EnergyLJ($A67,$C$2,$C$3,shape_factors!N$2,$C$4,shape_factors!N$3)</f>
        <v>-2.3537683838107819E-2</v>
      </c>
      <c r="O67" s="5">
        <f>EnergyLJ($A67,$C$2,$C$3,shape_factors!O$2,$C$4,shape_factors!O$3)</f>
        <v>-2.1938960840025157E-2</v>
      </c>
      <c r="P67" s="5">
        <f>EnergyLJ($A67,$C$2,$C$3,shape_factors!P$2,$C$4,shape_factors!P$3)</f>
        <v>-2.4039984270377977E-2</v>
      </c>
      <c r="Q67" s="5">
        <f>EnergyLJ($A67,$C$2,$C$3,shape_factors!Q$2,$C$4,shape_factors!Q$3)</f>
        <v>-2.4727810744056722E-2</v>
      </c>
      <c r="R67" s="5">
        <f>EnergyLJ($A67,$C$2,$C$3,shape_factors!R$2,$C$4,shape_factors!R$3)</f>
        <v>-4.9406125636668741E-2</v>
      </c>
      <c r="S67" s="5">
        <f>EnergyLJ($A67,$C$2,$C$3,shape_factors!S$2,$C$4,shape_factors!S$3)</f>
        <v>-2.7542590676575666E-2</v>
      </c>
      <c r="T67" s="5">
        <f>EnergyLJ($A67,$C$2,$C$3,shape_factors!T$2,$C$4,shape_factors!T$3)</f>
        <v>-2.0974674152964563E-2</v>
      </c>
      <c r="U67" s="5">
        <f>EnergyLJ($A67,$C$2,$C$3,shape_factors!U$2,$C$4,shape_factors!U$3)</f>
        <v>-4.8860944821880942E-2</v>
      </c>
    </row>
    <row r="68" spans="1:21" x14ac:dyDescent="0.25">
      <c r="A68">
        <v>14.2</v>
      </c>
      <c r="B68" s="5">
        <f>EnergyLJ($A68,$C$2,$C$3,shape_factors!B$2,$C$4,shape_factors!B$3)</f>
        <v>-0.14823156029321818</v>
      </c>
      <c r="C68" s="5">
        <f>EnergyLJ($A68,$C$2,$C$3,shape_factors!C$2,$C$4,shape_factors!C$3)</f>
        <v>-4.9434889635493043E-2</v>
      </c>
      <c r="D68" s="5">
        <f>EnergyLJ($A68,$C$2,$C$3,shape_factors!D$2,$C$4,shape_factors!D$3)</f>
        <v>-0.19460266079490035</v>
      </c>
      <c r="E68" s="5">
        <f>EnergyLJ($A68,$C$2,$C$3,shape_factors!E$2,$C$4,shape_factors!E$3)</f>
        <v>-7.7440884918554137E-2</v>
      </c>
      <c r="F68" s="5">
        <f>EnergyLJ($A68,$C$2,$C$3,shape_factors!F$2,$C$4,shape_factors!F$3)</f>
        <v>-4.4524053771849634E-2</v>
      </c>
      <c r="G68" s="5">
        <f>EnergyLJ($A68,$C$2,$C$3,shape_factors!G$2,$C$4,shape_factors!G$3)</f>
        <v>-5.5035891217172013E-2</v>
      </c>
      <c r="H68" s="5">
        <f>EnergyLJ($A68,$C$2,$C$3,shape_factors!H$2,$C$4,shape_factors!H$3)</f>
        <v>-0.69605048208134979</v>
      </c>
      <c r="I68" s="5">
        <f>EnergyLJ($A68,$C$2,$C$3,shape_factors!I$2,$C$4,shape_factors!I$3)</f>
        <v>-9.3261039732393844E-2</v>
      </c>
      <c r="J68" s="5">
        <f>EnergyLJ($A68,$C$2,$C$3,shape_factors!J$2,$C$4,shape_factors!J$3)</f>
        <v>-2.8228140694279532E-2</v>
      </c>
      <c r="K68" s="5">
        <f>EnergyLJ($A68,$C$2,$C$3,shape_factors!K$2,$C$4,shape_factors!K$3)</f>
        <v>-3.2129775273495531E-2</v>
      </c>
      <c r="L68" s="5">
        <f>EnergyLJ($A68,$C$2,$C$3,shape_factors!L$2,$C$4,shape_factors!L$3)</f>
        <v>-4.0123887905230124E-2</v>
      </c>
      <c r="M68" s="5">
        <f>EnergyLJ($A68,$C$2,$C$3,shape_factors!M$2,$C$4,shape_factors!M$3)</f>
        <v>-2.9068889342421252E-2</v>
      </c>
      <c r="N68" s="5">
        <f>EnergyLJ($A68,$C$2,$C$3,shape_factors!N$2,$C$4,shape_factors!N$3)</f>
        <v>-2.1627317496549201E-2</v>
      </c>
      <c r="O68" s="5">
        <f>EnergyLJ($A68,$C$2,$C$3,shape_factors!O$2,$C$4,shape_factors!O$3)</f>
        <v>-2.01577105346963E-2</v>
      </c>
      <c r="P68" s="5">
        <f>EnergyLJ($A68,$C$2,$C$3,shape_factors!P$2,$C$4,shape_factors!P$3)</f>
        <v>-2.2089070619764967E-2</v>
      </c>
      <c r="Q68" s="5">
        <f>EnergyLJ($A68,$C$2,$C$3,shape_factors!Q$2,$C$4,shape_factors!Q$3)</f>
        <v>-2.2721388646617782E-2</v>
      </c>
      <c r="R68" s="5">
        <f>EnergyLJ($A68,$C$2,$C$3,shape_factors!R$2,$C$4,shape_factors!R$3)</f>
        <v>-4.5419845040720525E-2</v>
      </c>
      <c r="S68" s="5">
        <f>EnergyLJ($A68,$C$2,$C$3,shape_factors!S$2,$C$4,shape_factors!S$3)</f>
        <v>-2.5309194840683842E-2</v>
      </c>
      <c r="T68" s="5">
        <f>EnergyLJ($A68,$C$2,$C$3,shape_factors!T$2,$C$4,shape_factors!T$3)</f>
        <v>-1.9271347076128147E-2</v>
      </c>
      <c r="U68" s="5">
        <f>EnergyLJ($A68,$C$2,$C$3,shape_factors!U$2,$C$4,shape_factors!U$3)</f>
        <v>-4.4918153062997714E-2</v>
      </c>
    </row>
    <row r="69" spans="1:21" x14ac:dyDescent="0.25">
      <c r="A69">
        <v>14.4</v>
      </c>
      <c r="B69" s="5">
        <f>EnergyLJ($A69,$C$2,$C$3,shape_factors!B$2,$C$4,shape_factors!B$3)</f>
        <v>-0.13671719854941666</v>
      </c>
      <c r="C69" s="5">
        <f>EnergyLJ($A69,$C$2,$C$3,shape_factors!C$2,$C$4,shape_factors!C$3)</f>
        <v>-4.5499845009618643E-2</v>
      </c>
      <c r="D69" s="5">
        <f>EnergyLJ($A69,$C$2,$C$3,shape_factors!D$2,$C$4,shape_factors!D$3)</f>
        <v>-0.1796759872348592</v>
      </c>
      <c r="E69" s="5">
        <f>EnergyLJ($A69,$C$2,$C$3,shape_factors!E$2,$C$4,shape_factors!E$3)</f>
        <v>-7.1317217229928398E-2</v>
      </c>
      <c r="F69" s="5">
        <f>EnergyLJ($A69,$C$2,$C$3,shape_factors!F$2,$C$4,shape_factors!F$3)</f>
        <v>-4.0975881325702471E-2</v>
      </c>
      <c r="G69" s="5">
        <f>EnergyLJ($A69,$C$2,$C$3,shape_factors!G$2,$C$4,shape_factors!G$3)</f>
        <v>-5.0660719419605621E-2</v>
      </c>
      <c r="H69" s="5">
        <f>EnergyLJ($A69,$C$2,$C$3,shape_factors!H$2,$C$4,shape_factors!H$3)</f>
        <v>-0.65369317422827533</v>
      </c>
      <c r="I69" s="5">
        <f>EnergyLJ($A69,$C$2,$C$3,shape_factors!I$2,$C$4,shape_factors!I$3)</f>
        <v>-8.5914675601657414E-2</v>
      </c>
      <c r="J69" s="5">
        <f>EnergyLJ($A69,$C$2,$C$3,shape_factors!J$2,$C$4,shape_factors!J$3)</f>
        <v>-2.5970211326303953E-2</v>
      </c>
      <c r="K69" s="5">
        <f>EnergyLJ($A69,$C$2,$C$3,shape_factors!K$2,$C$4,shape_factors!K$3)</f>
        <v>-2.9562033994537853E-2</v>
      </c>
      <c r="L69" s="5">
        <f>EnergyLJ($A69,$C$2,$C$3,shape_factors!L$2,$C$4,shape_factors!L$3)</f>
        <v>-3.692312808675461E-2</v>
      </c>
      <c r="M69" s="5">
        <f>EnergyLJ($A69,$C$2,$C$3,shape_factors!M$2,$C$4,shape_factors!M$3)</f>
        <v>-2.674415241203093E-2</v>
      </c>
      <c r="N69" s="5">
        <f>EnergyLJ($A69,$C$2,$C$3,shape_factors!N$2,$C$4,shape_factors!N$3)</f>
        <v>-1.9894801892879822E-2</v>
      </c>
      <c r="O69" s="5">
        <f>EnergyLJ($A69,$C$2,$C$3,shape_factors!O$2,$C$4,shape_factors!O$3)</f>
        <v>-1.8542389201662283E-2</v>
      </c>
      <c r="P69" s="5">
        <f>EnergyLJ($A69,$C$2,$C$3,shape_factors!P$2,$C$4,shape_factors!P$3)</f>
        <v>-2.0319748573882454E-2</v>
      </c>
      <c r="Q69" s="5">
        <f>EnergyLJ($A69,$C$2,$C$3,shape_factors!Q$2,$C$4,shape_factors!Q$3)</f>
        <v>-2.0901676980087932E-2</v>
      </c>
      <c r="R69" s="5">
        <f>EnergyLJ($A69,$C$2,$C$3,shape_factors!R$2,$C$4,shape_factors!R$3)</f>
        <v>-4.1801034958019477E-2</v>
      </c>
      <c r="S69" s="5">
        <f>EnergyLJ($A69,$C$2,$C$3,shape_factors!S$2,$C$4,shape_factors!S$3)</f>
        <v>-2.3283411983256778E-2</v>
      </c>
      <c r="T69" s="5">
        <f>EnergyLJ($A69,$C$2,$C$3,shape_factors!T$2,$C$4,shape_factors!T$3)</f>
        <v>-1.7726746972838131E-2</v>
      </c>
      <c r="U69" s="5">
        <f>EnergyLJ($A69,$C$2,$C$3,shape_factors!U$2,$C$4,shape_factors!U$3)</f>
        <v>-4.1338900189604372E-2</v>
      </c>
    </row>
    <row r="70" spans="1:21" x14ac:dyDescent="0.25">
      <c r="A70">
        <v>14.6</v>
      </c>
      <c r="B70" s="5">
        <f>EnergyLJ($A70,$C$2,$C$3,shape_factors!B$2,$C$4,shape_factors!B$3)</f>
        <v>-0.12620653239951618</v>
      </c>
      <c r="C70" s="5">
        <f>EnergyLJ($A70,$C$2,$C$3,shape_factors!C$2,$C$4,shape_factors!C$3)</f>
        <v>-4.1922732853892843E-2</v>
      </c>
      <c r="D70" s="5">
        <f>EnergyLJ($A70,$C$2,$C$3,shape_factors!D$2,$C$4,shape_factors!D$3)</f>
        <v>-0.16602067508679477</v>
      </c>
      <c r="E70" s="5">
        <f>EnergyLJ($A70,$C$2,$C$3,shape_factors!E$2,$C$4,shape_factors!E$3)</f>
        <v>-6.5744329251225225E-2</v>
      </c>
      <c r="F70" s="5">
        <f>EnergyLJ($A70,$C$2,$C$3,shape_factors!F$2,$C$4,shape_factors!F$3)</f>
        <v>-3.7751069221093572E-2</v>
      </c>
      <c r="G70" s="5">
        <f>EnergyLJ($A70,$C$2,$C$3,shape_factors!G$2,$C$4,shape_factors!G$3)</f>
        <v>-4.6682638543878316E-2</v>
      </c>
      <c r="H70" s="5">
        <f>EnergyLJ($A70,$C$2,$C$3,shape_factors!H$2,$C$4,shape_factors!H$3)</f>
        <v>-0.61318970981681797</v>
      </c>
      <c r="I70" s="5">
        <f>EnergyLJ($A70,$C$2,$C$3,shape_factors!I$2,$C$4,shape_factors!I$3)</f>
        <v>-7.9224701502302208E-2</v>
      </c>
      <c r="J70" s="5">
        <f>EnergyLJ($A70,$C$2,$C$3,shape_factors!J$2,$C$4,shape_factors!J$3)</f>
        <v>-2.3919341726006637E-2</v>
      </c>
      <c r="K70" s="5">
        <f>EnergyLJ($A70,$C$2,$C$3,shape_factors!K$2,$C$4,shape_factors!K$3)</f>
        <v>-2.7229416554954106E-2</v>
      </c>
      <c r="L70" s="5">
        <f>EnergyLJ($A70,$C$2,$C$3,shape_factors!L$2,$C$4,shape_factors!L$3)</f>
        <v>-3.4014563419338499E-2</v>
      </c>
      <c r="M70" s="5">
        <f>EnergyLJ($A70,$C$2,$C$3,shape_factors!M$2,$C$4,shape_factors!M$3)</f>
        <v>-2.4632534232416178E-2</v>
      </c>
      <c r="N70" s="5">
        <f>EnergyLJ($A70,$C$2,$C$3,shape_factors!N$2,$C$4,shape_factors!N$3)</f>
        <v>-1.8321556675210939E-2</v>
      </c>
      <c r="O70" s="5">
        <f>EnergyLJ($A70,$C$2,$C$3,shape_factors!O$2,$C$4,shape_factors!O$3)</f>
        <v>-1.70756456488175E-2</v>
      </c>
      <c r="P70" s="5">
        <f>EnergyLJ($A70,$C$2,$C$3,shape_factors!P$2,$C$4,shape_factors!P$3)</f>
        <v>-1.8713052592957073E-2</v>
      </c>
      <c r="Q70" s="5">
        <f>EnergyLJ($A70,$C$2,$C$3,shape_factors!Q$2,$C$4,shape_factors!Q$3)</f>
        <v>-1.924918352335226E-2</v>
      </c>
      <c r="R70" s="5">
        <f>EnergyLJ($A70,$C$2,$C$3,shape_factors!R$2,$C$4,shape_factors!R$3)</f>
        <v>-3.8511908120760524E-2</v>
      </c>
      <c r="S70" s="5">
        <f>EnergyLJ($A70,$C$2,$C$3,shape_factors!S$2,$C$4,shape_factors!S$3)</f>
        <v>-2.144360392782782E-2</v>
      </c>
      <c r="T70" s="5">
        <f>EnergyLJ($A70,$C$2,$C$3,shape_factors!T$2,$C$4,shape_factors!T$3)</f>
        <v>-1.6324266370143697E-2</v>
      </c>
      <c r="U70" s="5">
        <f>EnergyLJ($A70,$C$2,$C$3,shape_factors!U$2,$C$4,shape_factors!U$3)</f>
        <v>-3.8085790298937383E-2</v>
      </c>
    </row>
    <row r="71" spans="1:21" x14ac:dyDescent="0.25">
      <c r="A71">
        <v>14.8</v>
      </c>
      <c r="B71" s="5">
        <f>EnergyLJ($A71,$C$2,$C$3,shape_factors!B$2,$C$4,shape_factors!B$3)</f>
        <v>-0.11660491413283</v>
      </c>
      <c r="C71" s="5">
        <f>EnergyLJ($A71,$C$2,$C$3,shape_factors!C$2,$C$4,shape_factors!C$3)</f>
        <v>-3.8667230552111034E-2</v>
      </c>
      <c r="D71" s="5">
        <f>EnergyLJ($A71,$C$2,$C$3,shape_factors!D$2,$C$4,shape_factors!D$3)</f>
        <v>-0.15352196622453618</v>
      </c>
      <c r="E71" s="5">
        <f>EnergyLJ($A71,$C$2,$C$3,shape_factors!E$2,$C$4,shape_factors!E$3)</f>
        <v>-6.0667356939772356E-2</v>
      </c>
      <c r="F71" s="5">
        <f>EnergyLJ($A71,$C$2,$C$3,shape_factors!F$2,$C$4,shape_factors!F$3)</f>
        <v>-3.4816701191531851E-2</v>
      </c>
      <c r="G71" s="5">
        <f>EnergyLJ($A71,$C$2,$C$3,shape_factors!G$2,$C$4,shape_factors!G$3)</f>
        <v>-4.3061496760224791E-2</v>
      </c>
      <c r="H71" s="5">
        <f>EnergyLJ($A71,$C$2,$C$3,shape_factors!H$2,$C$4,shape_factors!H$3)</f>
        <v>-0.57468195629015761</v>
      </c>
      <c r="I71" s="5">
        <f>EnergyLJ($A71,$C$2,$C$3,shape_factors!I$2,$C$4,shape_factors!I$3)</f>
        <v>-7.3126461672639892E-2</v>
      </c>
      <c r="J71" s="5">
        <f>EnergyLJ($A71,$C$2,$C$3,shape_factors!J$2,$C$4,shape_factors!J$3)</f>
        <v>-2.2054242669909439E-2</v>
      </c>
      <c r="K71" s="5">
        <f>EnergyLJ($A71,$C$2,$C$3,shape_factors!K$2,$C$4,shape_factors!K$3)</f>
        <v>-2.5107805047512519E-2</v>
      </c>
      <c r="L71" s="5">
        <f>EnergyLJ($A71,$C$2,$C$3,shape_factors!L$2,$C$4,shape_factors!L$3)</f>
        <v>-3.136836834961481E-2</v>
      </c>
      <c r="M71" s="5">
        <f>EnergyLJ($A71,$C$2,$C$3,shape_factors!M$2,$C$4,shape_factors!M$3)</f>
        <v>-2.2712133666888686E-2</v>
      </c>
      <c r="N71" s="5">
        <f>EnergyLJ($A71,$C$2,$C$3,shape_factors!N$2,$C$4,shape_factors!N$3)</f>
        <v>-1.6891141846980571E-2</v>
      </c>
      <c r="O71" s="5">
        <f>EnergyLJ($A71,$C$2,$C$3,shape_factors!O$2,$C$4,shape_factors!O$3)</f>
        <v>-1.5742130334263651E-2</v>
      </c>
      <c r="P71" s="5">
        <f>EnergyLJ($A71,$C$2,$C$3,shape_factors!P$2,$C$4,shape_factors!P$3)</f>
        <v>-1.7252200869010116E-2</v>
      </c>
      <c r="Q71" s="5">
        <f>EnergyLJ($A71,$C$2,$C$3,shape_factors!Q$2,$C$4,shape_factors!Q$3)</f>
        <v>-1.7746659027030282E-2</v>
      </c>
      <c r="R71" s="5">
        <f>EnergyLJ($A71,$C$2,$C$3,shape_factors!R$2,$C$4,shape_factors!R$3)</f>
        <v>-3.5518923510111301E-2</v>
      </c>
      <c r="S71" s="5">
        <f>EnergyLJ($A71,$C$2,$C$3,shape_factors!S$2,$C$4,shape_factors!S$3)</f>
        <v>-1.97706159926383E-2</v>
      </c>
      <c r="T71" s="5">
        <f>EnergyLJ($A71,$C$2,$C$3,shape_factors!T$2,$C$4,shape_factors!T$3)</f>
        <v>-1.504921530894064E-2</v>
      </c>
      <c r="U71" s="5">
        <f>EnergyLJ($A71,$C$2,$C$3,shape_factors!U$2,$C$4,shape_factors!U$3)</f>
        <v>-3.5125632081282485E-2</v>
      </c>
    </row>
    <row r="72" spans="1:21" x14ac:dyDescent="0.25">
      <c r="A72">
        <v>15</v>
      </c>
      <c r="B72" s="5">
        <f>EnergyLJ($A72,$C$2,$C$3,shape_factors!B$2,$C$4,shape_factors!B$3)</f>
        <v>-0.10782691389938238</v>
      </c>
      <c r="C72" s="5">
        <f>EnergyLJ($A72,$C$2,$C$3,shape_factors!C$2,$C$4,shape_factors!C$3)</f>
        <v>-3.5701043847519522E-2</v>
      </c>
      <c r="D72" s="5">
        <f>EnergyLJ($A72,$C$2,$C$3,shape_factors!D$2,$C$4,shape_factors!D$3)</f>
        <v>-0.14207529906197194</v>
      </c>
      <c r="E72" s="5">
        <f>EnergyLJ($A72,$C$2,$C$3,shape_factors!E$2,$C$4,shape_factors!E$3)</f>
        <v>-5.6037338398495028E-2</v>
      </c>
      <c r="F72" s="5">
        <f>EnergyLJ($A72,$C$2,$C$3,shape_factors!F$2,$C$4,shape_factors!F$3)</f>
        <v>-3.2143529651726441E-2</v>
      </c>
      <c r="G72" s="5">
        <f>EnergyLJ($A72,$C$2,$C$3,shape_factors!G$2,$C$4,shape_factors!G$3)</f>
        <v>-3.9761569621829598E-2</v>
      </c>
      <c r="H72" s="5">
        <f>EnergyLJ($A72,$C$2,$C$3,shape_factors!H$2,$C$4,shape_factors!H$3)</f>
        <v>-0.53823747670301003</v>
      </c>
      <c r="I72" s="5">
        <f>EnergyLJ($A72,$C$2,$C$3,shape_factors!I$2,$C$4,shape_factors!I$3)</f>
        <v>-6.7562124178793315E-2</v>
      </c>
      <c r="J72" s="5">
        <f>EnergyLJ($A72,$C$2,$C$3,shape_factors!J$2,$C$4,shape_factors!J$3)</f>
        <v>-2.0356035182710553E-2</v>
      </c>
      <c r="K72" s="5">
        <f>EnergyLJ($A72,$C$2,$C$3,shape_factors!K$2,$C$4,shape_factors!K$3)</f>
        <v>-2.3175802115320276E-2</v>
      </c>
      <c r="L72" s="5">
        <f>EnergyLJ($A72,$C$2,$C$3,shape_factors!L$2,$C$4,shape_factors!L$3)</f>
        <v>-2.8958055991104951E-2</v>
      </c>
      <c r="M72" s="5">
        <f>EnergyLJ($A72,$C$2,$C$3,shape_factors!M$2,$C$4,shape_factors!M$3)</f>
        <v>-2.0963527168259569E-2</v>
      </c>
      <c r="N72" s="5">
        <f>EnergyLJ($A72,$C$2,$C$3,shape_factors!N$2,$C$4,shape_factors!N$3)</f>
        <v>-1.5588989925556676E-2</v>
      </c>
      <c r="O72" s="5">
        <f>EnergyLJ($A72,$C$2,$C$3,shape_factors!O$2,$C$4,shape_factors!O$3)</f>
        <v>-1.4528244338251624E-2</v>
      </c>
      <c r="P72" s="5">
        <f>EnergyLJ($A72,$C$2,$C$3,shape_factors!P$2,$C$4,shape_factors!P$3)</f>
        <v>-1.592232224387766E-2</v>
      </c>
      <c r="Q72" s="5">
        <f>EnergyLJ($A72,$C$2,$C$3,shape_factors!Q$2,$C$4,shape_factors!Q$3)</f>
        <v>-1.6378816987893004E-2</v>
      </c>
      <c r="R72" s="5">
        <f>EnergyLJ($A72,$C$2,$C$3,shape_factors!R$2,$C$4,shape_factors!R$3)</f>
        <v>-3.2792275078892839E-2</v>
      </c>
      <c r="S72" s="5">
        <f>EnergyLJ($A72,$C$2,$C$3,shape_factors!S$2,$C$4,shape_factors!S$3)</f>
        <v>-1.8247467924851411E-2</v>
      </c>
      <c r="T72" s="5">
        <f>EnergyLJ($A72,$C$2,$C$3,shape_factors!T$2,$C$4,shape_factors!T$3)</f>
        <v>-1.3888580555210406E-2</v>
      </c>
      <c r="U72" s="5">
        <f>EnergyLJ($A72,$C$2,$C$3,shape_factors!U$2,$C$4,shape_factors!U$3)</f>
        <v>-3.2428932109667796E-2</v>
      </c>
    </row>
    <row r="73" spans="1:21" x14ac:dyDescent="0.25">
      <c r="A73">
        <v>15.2</v>
      </c>
      <c r="B73" s="5">
        <f>EnergyLJ($A73,$C$2,$C$3,shape_factors!B$2,$C$4,shape_factors!B$3)</f>
        <v>-9.9795468392798056E-2</v>
      </c>
      <c r="C73" s="5">
        <f>EnergyLJ($A73,$C$2,$C$3,shape_factors!C$2,$C$4,shape_factors!C$3)</f>
        <v>-3.299542812684815E-2</v>
      </c>
      <c r="D73" s="5">
        <f>EnergyLJ($A73,$C$2,$C$3,shape_factors!D$2,$C$4,shape_factors!D$3)</f>
        <v>-0.13158557980920088</v>
      </c>
      <c r="E73" s="5">
        <f>EnergyLJ($A73,$C$2,$C$3,shape_factors!E$2,$C$4,shape_factors!E$3)</f>
        <v>-5.1810547324977335E-2</v>
      </c>
      <c r="F73" s="5">
        <f>EnergyLJ($A73,$C$2,$C$3,shape_factors!F$2,$C$4,shape_factors!F$3)</f>
        <v>-2.9705536269627318E-2</v>
      </c>
      <c r="G73" s="5">
        <f>EnergyLJ($A73,$C$2,$C$3,shape_factors!G$2,$C$4,shape_factors!G$3)</f>
        <v>-3.6751038826562922E-2</v>
      </c>
      <c r="H73" s="5">
        <f>EnergyLJ($A73,$C$2,$C$3,shape_factors!H$2,$C$4,shape_factors!H$3)</f>
        <v>-0.50386953778000454</v>
      </c>
      <c r="I73" s="5">
        <f>EnergyLJ($A73,$C$2,$C$3,shape_factors!I$2,$C$4,shape_factors!I$3)</f>
        <v>-6.2479936184332417E-2</v>
      </c>
      <c r="J73" s="5">
        <f>EnergyLJ($A73,$C$2,$C$3,shape_factors!J$2,$C$4,shape_factors!J$3)</f>
        <v>-1.8807954728577079E-2</v>
      </c>
      <c r="K73" s="5">
        <f>EnergyLJ($A73,$C$2,$C$3,shape_factors!K$2,$C$4,shape_factors!K$3)</f>
        <v>-2.1414398919262573E-2</v>
      </c>
      <c r="L73" s="5">
        <f>EnergyLJ($A73,$C$2,$C$3,shape_factors!L$2,$C$4,shape_factors!L$3)</f>
        <v>-2.6760075478560963E-2</v>
      </c>
      <c r="M73" s="5">
        <f>EnergyLJ($A73,$C$2,$C$3,shape_factors!M$2,$C$4,shape_factors!M$3)</f>
        <v>-1.9369465067322476E-2</v>
      </c>
      <c r="N73" s="5">
        <f>EnergyLJ($A73,$C$2,$C$3,shape_factors!N$2,$C$4,shape_factors!N$3)</f>
        <v>-1.4402174022751365E-2</v>
      </c>
      <c r="O73" s="5">
        <f>EnergyLJ($A73,$C$2,$C$3,shape_factors!O$2,$C$4,shape_factors!O$3)</f>
        <v>-1.3421922111125386E-2</v>
      </c>
      <c r="P73" s="5">
        <f>EnergyLJ($A73,$C$2,$C$3,shape_factors!P$2,$C$4,shape_factors!P$3)</f>
        <v>-1.4710219714413483E-2</v>
      </c>
      <c r="Q73" s="5">
        <f>EnergyLJ($A73,$C$2,$C$3,shape_factors!Q$2,$C$4,shape_factors!Q$3)</f>
        <v>-1.5132090914503099E-2</v>
      </c>
      <c r="R73" s="5">
        <f>EnergyLJ($A73,$C$2,$C$3,shape_factors!R$2,$C$4,shape_factors!R$3)</f>
        <v>-3.0305445017998027E-2</v>
      </c>
      <c r="S73" s="5">
        <f>EnergyLJ($A73,$C$2,$C$3,shape_factors!S$2,$C$4,shape_factors!S$3)</f>
        <v>-1.6859085941702819E-2</v>
      </c>
      <c r="T73" s="5">
        <f>EnergyLJ($A73,$C$2,$C$3,shape_factors!T$2,$C$4,shape_factors!T$3)</f>
        <v>-1.2830817272008242E-2</v>
      </c>
      <c r="U73" s="5">
        <f>EnergyLJ($A73,$C$2,$C$3,shape_factors!U$2,$C$4,shape_factors!U$3)</f>
        <v>-2.9969452190202427E-2</v>
      </c>
    </row>
    <row r="74" spans="1:21" x14ac:dyDescent="0.25">
      <c r="A74">
        <v>15.4</v>
      </c>
      <c r="B74" s="5">
        <f>EnergyLJ($A74,$C$2,$C$3,shape_factors!B$2,$C$4,shape_factors!B$3)</f>
        <v>-9.2441085338185305E-2</v>
      </c>
      <c r="C74" s="5">
        <f>EnergyLJ($A74,$C$2,$C$3,shape_factors!C$2,$C$4,shape_factors!C$3)</f>
        <v>-3.052476934248826E-2</v>
      </c>
      <c r="D74" s="5">
        <f>EnergyLJ($A74,$C$2,$C$3,shape_factors!D$2,$C$4,shape_factors!D$3)</f>
        <v>-0.12196644508758635</v>
      </c>
      <c r="E74" s="5">
        <f>EnergyLJ($A74,$C$2,$C$3,shape_factors!E$2,$C$4,shape_factors!E$3)</f>
        <v>-4.7947902326910263E-2</v>
      </c>
      <c r="F74" s="5">
        <f>EnergyLJ($A74,$C$2,$C$3,shape_factors!F$2,$C$4,shape_factors!F$3)</f>
        <v>-2.7479547993370736E-2</v>
      </c>
      <c r="G74" s="5">
        <f>EnergyLJ($A74,$C$2,$C$3,shape_factors!G$2,$C$4,shape_factors!G$3)</f>
        <v>-3.4001534906303386E-2</v>
      </c>
      <c r="H74" s="5">
        <f>EnergyLJ($A74,$C$2,$C$3,shape_factors!H$2,$C$4,shape_factors!H$3)</f>
        <v>-0.47155232423652754</v>
      </c>
      <c r="I74" s="5">
        <f>EnergyLJ($A74,$C$2,$C$3,shape_factors!I$2,$C$4,shape_factors!I$3)</f>
        <v>-5.7833558372000535E-2</v>
      </c>
      <c r="J74" s="5">
        <f>EnergyLJ($A74,$C$2,$C$3,shape_factors!J$2,$C$4,shape_factors!J$3)</f>
        <v>-1.7395094185801915E-2</v>
      </c>
      <c r="K74" s="5">
        <f>EnergyLJ($A74,$C$2,$C$3,shape_factors!K$2,$C$4,shape_factors!K$3)</f>
        <v>-1.9806686267460811E-2</v>
      </c>
      <c r="L74" s="5">
        <f>EnergyLJ($A74,$C$2,$C$3,shape_factors!L$2,$C$4,shape_factors!L$3)</f>
        <v>-2.4753460696263132E-2</v>
      </c>
      <c r="M74" s="5">
        <f>EnergyLJ($A74,$C$2,$C$3,shape_factors!M$2,$C$4,shape_factors!M$3)</f>
        <v>-1.791460760868405E-2</v>
      </c>
      <c r="N74" s="5">
        <f>EnergyLJ($A74,$C$2,$C$3,shape_factors!N$2,$C$4,shape_factors!N$3)</f>
        <v>-1.3319206752138659E-2</v>
      </c>
      <c r="O74" s="5">
        <f>EnergyLJ($A74,$C$2,$C$3,shape_factors!O$2,$C$4,shape_factors!O$3)</f>
        <v>-1.2412443183292786E-2</v>
      </c>
      <c r="P74" s="5">
        <f>EnergyLJ($A74,$C$2,$C$3,shape_factors!P$2,$C$4,shape_factors!P$3)</f>
        <v>-1.3604165343414796E-2</v>
      </c>
      <c r="Q74" s="5">
        <f>EnergyLJ($A74,$C$2,$C$3,shape_factors!Q$2,$C$4,shape_factors!Q$3)</f>
        <v>-1.3994423785907895E-2</v>
      </c>
      <c r="R74" s="5">
        <f>EnergyLJ($A74,$C$2,$C$3,shape_factors!R$2,$C$4,shape_factors!R$3)</f>
        <v>-2.8034813270069892E-2</v>
      </c>
      <c r="S74" s="5">
        <f>EnergyLJ($A74,$C$2,$C$3,shape_factors!S$2,$C$4,shape_factors!S$3)</f>
        <v>-1.5592070121331356E-2</v>
      </c>
      <c r="T74" s="5">
        <f>EnergyLJ($A74,$C$2,$C$3,shape_factors!T$2,$C$4,shape_factors!T$3)</f>
        <v>-1.1865668512415401E-2</v>
      </c>
      <c r="U74" s="5">
        <f>EnergyLJ($A74,$C$2,$C$3,shape_factors!U$2,$C$4,shape_factors!U$3)</f>
        <v>-2.7723822517519127E-2</v>
      </c>
    </row>
    <row r="75" spans="1:21" x14ac:dyDescent="0.25">
      <c r="A75">
        <v>15.6</v>
      </c>
      <c r="B75" s="5">
        <f>EnergyLJ($A75,$C$2,$C$3,shape_factors!B$2,$C$4,shape_factors!B$3)</f>
        <v>-8.5701107960277953E-2</v>
      </c>
      <c r="C75" s="5">
        <f>EnergyLJ($A75,$C$2,$C$3,shape_factors!C$2,$C$4,shape_factors!C$3)</f>
        <v>-2.8266217010817423E-2</v>
      </c>
      <c r="D75" s="5">
        <f>EnergyLJ($A75,$C$2,$C$3,shape_factors!D$2,$C$4,shape_factors!D$3)</f>
        <v>-0.11313953926102112</v>
      </c>
      <c r="E75" s="5">
        <f>EnergyLJ($A75,$C$2,$C$3,shape_factors!E$2,$C$4,shape_factors!E$3)</f>
        <v>-4.4414444090043949E-2</v>
      </c>
      <c r="F75" s="5">
        <f>EnergyLJ($A75,$C$2,$C$3,shape_factors!F$2,$C$4,shape_factors!F$3)</f>
        <v>-2.5444901342313246E-2</v>
      </c>
      <c r="G75" s="5">
        <f>EnergyLJ($A75,$C$2,$C$3,shape_factors!G$2,$C$4,shape_factors!G$3)</f>
        <v>-3.1487735963636972E-2</v>
      </c>
      <c r="H75" s="5">
        <f>EnergyLJ($A75,$C$2,$C$3,shape_factors!H$2,$C$4,shape_factors!H$3)</f>
        <v>-0.44123248242040103</v>
      </c>
      <c r="I75" s="5">
        <f>EnergyLJ($A75,$C$2,$C$3,shape_factors!I$2,$C$4,shape_factors!I$3)</f>
        <v>-5.3581471532028996E-2</v>
      </c>
      <c r="J75" s="5">
        <f>EnergyLJ($A75,$C$2,$C$3,shape_factors!J$2,$C$4,shape_factors!J$3)</f>
        <v>-1.6104180254668664E-2</v>
      </c>
      <c r="K75" s="5">
        <f>EnergyLJ($A75,$C$2,$C$3,shape_factors!K$2,$C$4,shape_factors!K$3)</f>
        <v>-1.8337603031411718E-2</v>
      </c>
      <c r="L75" s="5">
        <f>EnergyLJ($A75,$C$2,$C$3,shape_factors!L$2,$C$4,shape_factors!L$3)</f>
        <v>-2.2919523594658032E-2</v>
      </c>
      <c r="M75" s="5">
        <f>EnergyLJ($A75,$C$2,$C$3,shape_factors!M$2,$C$4,shape_factors!M$3)</f>
        <v>-1.6585295266154227E-2</v>
      </c>
      <c r="N75" s="5">
        <f>EnergyLJ($A75,$C$2,$C$3,shape_factors!N$2,$C$4,shape_factors!N$3)</f>
        <v>-1.2329865621286757E-2</v>
      </c>
      <c r="O75" s="5">
        <f>EnergyLJ($A75,$C$2,$C$3,shape_factors!O$2,$C$4,shape_factors!O$3)</f>
        <v>-1.1490268740184105E-2</v>
      </c>
      <c r="P75" s="5">
        <f>EnergyLJ($A75,$C$2,$C$3,shape_factors!P$2,$C$4,shape_factors!P$3)</f>
        <v>-1.2593722158976747E-2</v>
      </c>
      <c r="Q75" s="5">
        <f>EnergyLJ($A75,$C$2,$C$3,shape_factors!Q$2,$C$4,shape_factors!Q$3)</f>
        <v>-1.2955085184017898E-2</v>
      </c>
      <c r="R75" s="5">
        <f>EnergyLJ($A75,$C$2,$C$3,shape_factors!R$2,$C$4,shape_factors!R$3)</f>
        <v>-2.595931602552419E-2</v>
      </c>
      <c r="S75" s="5">
        <f>EnergyLJ($A75,$C$2,$C$3,shape_factors!S$2,$C$4,shape_factors!S$3)</f>
        <v>-1.4434492220494458E-2</v>
      </c>
      <c r="T75" s="5">
        <f>EnergyLJ($A75,$C$2,$C$3,shape_factors!T$2,$C$4,shape_factors!T$3)</f>
        <v>-1.0984008587663607E-2</v>
      </c>
      <c r="U75" s="5">
        <f>EnergyLJ($A75,$C$2,$C$3,shape_factors!U$2,$C$4,shape_factors!U$3)</f>
        <v>-2.5671203411554575E-2</v>
      </c>
    </row>
    <row r="76" spans="1:21" x14ac:dyDescent="0.25">
      <c r="A76">
        <v>15.8</v>
      </c>
      <c r="B76" s="5">
        <f>EnergyLJ($A76,$C$2,$C$3,shape_factors!B$2,$C$4,shape_factors!B$3)</f>
        <v>-7.9519040305814484E-2</v>
      </c>
      <c r="C76" s="5">
        <f>EnergyLJ($A76,$C$2,$C$3,shape_factors!C$2,$C$4,shape_factors!C$3)</f>
        <v>-2.6199362651047171E-2</v>
      </c>
      <c r="D76" s="5">
        <f>EnergyLJ($A76,$C$2,$C$3,shape_factors!D$2,$C$4,shape_factors!D$3)</f>
        <v>-0.10503382145946129</v>
      </c>
      <c r="E76" s="5">
        <f>EnergyLJ($A76,$C$2,$C$3,shape_factors!E$2,$C$4,shape_factors!E$3)</f>
        <v>-4.1178872968321234E-2</v>
      </c>
      <c r="F76" s="5">
        <f>EnergyLJ($A76,$C$2,$C$3,shape_factors!F$2,$C$4,shape_factors!F$3)</f>
        <v>-2.3583148691727129E-2</v>
      </c>
      <c r="G76" s="5">
        <f>EnergyLJ($A76,$C$2,$C$3,shape_factors!G$2,$C$4,shape_factors!G$3)</f>
        <v>-2.9187015485119646E-2</v>
      </c>
      <c r="H76" s="5">
        <f>EnergyLJ($A76,$C$2,$C$3,shape_factors!H$2,$C$4,shape_factors!H$3)</f>
        <v>-0.41283785100169346</v>
      </c>
      <c r="I76" s="5">
        <f>EnergyLJ($A76,$C$2,$C$3,shape_factors!I$2,$C$4,shape_factors!I$3)</f>
        <v>-4.9686448430823482E-2</v>
      </c>
      <c r="J76" s="5">
        <f>EnergyLJ($A76,$C$2,$C$3,shape_factors!J$2,$C$4,shape_factors!J$3)</f>
        <v>-1.4923378711025044E-2</v>
      </c>
      <c r="K76" s="5">
        <f>EnergyLJ($A76,$C$2,$C$3,shape_factors!K$2,$C$4,shape_factors!K$3)</f>
        <v>-1.6993716793018254E-2</v>
      </c>
      <c r="L76" s="5">
        <f>EnergyLJ($A76,$C$2,$C$3,shape_factors!L$2,$C$4,shape_factors!L$3)</f>
        <v>-2.124158620830632E-2</v>
      </c>
      <c r="M76" s="5">
        <f>EnergyLJ($A76,$C$2,$C$3,shape_factors!M$2,$C$4,shape_factors!M$3)</f>
        <v>-1.5369348645834998E-2</v>
      </c>
      <c r="N76" s="5">
        <f>EnergyLJ($A76,$C$2,$C$3,shape_factors!N$2,$C$4,shape_factors!N$3)</f>
        <v>-1.1425041206306464E-2</v>
      </c>
      <c r="O76" s="5">
        <f>EnergyLJ($A76,$C$2,$C$3,shape_factors!O$2,$C$4,shape_factors!O$3)</f>
        <v>-1.0646899572372427E-2</v>
      </c>
      <c r="P76" s="5">
        <f>EnergyLJ($A76,$C$2,$C$3,shape_factors!P$2,$C$4,shape_factors!P$3)</f>
        <v>-1.1669589274005427E-2</v>
      </c>
      <c r="Q76" s="5">
        <f>EnergyLJ($A76,$C$2,$C$3,shape_factors!Q$2,$C$4,shape_factors!Q$3)</f>
        <v>-1.2004512242387987E-2</v>
      </c>
      <c r="R76" s="5">
        <f>EnergyLJ($A76,$C$2,$C$3,shape_factors!R$2,$C$4,shape_factors!R$3)</f>
        <v>-2.4060146858928374E-2</v>
      </c>
      <c r="S76" s="5">
        <f>EnergyLJ($A76,$C$2,$C$3,shape_factors!S$2,$C$4,shape_factors!S$3)</f>
        <v>-1.3375719708666108E-2</v>
      </c>
      <c r="T76" s="5">
        <f>EnergyLJ($A76,$C$2,$C$3,shape_factors!T$2,$C$4,shape_factors!T$3)</f>
        <v>-1.0177706951697047E-2</v>
      </c>
      <c r="U76" s="5">
        <f>EnergyLJ($A76,$C$2,$C$3,shape_factors!U$2,$C$4,shape_factors!U$3)</f>
        <v>-2.3792989333486083E-2</v>
      </c>
    </row>
    <row r="77" spans="1:21" x14ac:dyDescent="0.25">
      <c r="A77">
        <v>16</v>
      </c>
      <c r="B77" s="5">
        <f>EnergyLJ($A77,$C$2,$C$3,shape_factors!B$2,$C$4,shape_factors!B$3)</f>
        <v>-7.3843932132998336E-2</v>
      </c>
      <c r="C77" s="5">
        <f>EnergyLJ($A77,$C$2,$C$3,shape_factors!C$2,$C$4,shape_factors!C$3)</f>
        <v>-2.4305957859672416E-2</v>
      </c>
      <c r="D77" s="5">
        <f>EnergyLJ($A77,$C$2,$C$3,shape_factors!D$2,$C$4,shape_factors!D$3)</f>
        <v>-9.7584911336425967E-2</v>
      </c>
      <c r="E77" s="5">
        <f>EnergyLJ($A77,$C$2,$C$3,shape_factors!E$2,$C$4,shape_factors!E$3)</f>
        <v>-3.8213140203228108E-2</v>
      </c>
      <c r="F77" s="5">
        <f>EnergyLJ($A77,$C$2,$C$3,shape_factors!F$2,$C$4,shape_factors!F$3)</f>
        <v>-2.1877801094753034E-2</v>
      </c>
      <c r="G77" s="5">
        <f>EnergyLJ($A77,$C$2,$C$3,shape_factors!G$2,$C$4,shape_factors!G$3)</f>
        <v>-2.7079133091801297E-2</v>
      </c>
      <c r="H77" s="5">
        <f>EnergyLJ($A77,$C$2,$C$3,shape_factors!H$2,$C$4,shape_factors!H$3)</f>
        <v>-0.38628403510697557</v>
      </c>
      <c r="I77" s="5">
        <f>EnergyLJ($A77,$C$2,$C$3,shape_factors!I$2,$C$4,shape_factors!I$3)</f>
        <v>-4.6115084379542197E-2</v>
      </c>
      <c r="J77" s="5">
        <f>EnergyLJ($A77,$C$2,$C$3,shape_factors!J$2,$C$4,shape_factors!J$3)</f>
        <v>-1.3842124571235495E-2</v>
      </c>
      <c r="K77" s="5">
        <f>EnergyLJ($A77,$C$2,$C$3,shape_factors!K$2,$C$4,shape_factors!K$3)</f>
        <v>-1.576303237304319E-2</v>
      </c>
      <c r="L77" s="5">
        <f>EnergyLJ($A77,$C$2,$C$3,shape_factors!L$2,$C$4,shape_factors!L$3)</f>
        <v>-1.970474627460618E-2</v>
      </c>
      <c r="M77" s="5">
        <f>EnergyLJ($A77,$C$2,$C$3,shape_factors!M$2,$C$4,shape_factors!M$3)</f>
        <v>-1.4255893950443105E-2</v>
      </c>
      <c r="N77" s="5">
        <f>EnergyLJ($A77,$C$2,$C$3,shape_factors!N$2,$C$4,shape_factors!N$3)</f>
        <v>-1.0596604948619973E-2</v>
      </c>
      <c r="O77" s="5">
        <f>EnergyLJ($A77,$C$2,$C$3,shape_factors!O$2,$C$4,shape_factors!O$3)</f>
        <v>-9.8747524253632538E-3</v>
      </c>
      <c r="P77" s="5">
        <f>EnergyLJ($A77,$C$2,$C$3,shape_factors!P$2,$C$4,shape_factors!P$3)</f>
        <v>-1.0823467008707252E-2</v>
      </c>
      <c r="Q77" s="5">
        <f>EnergyLJ($A77,$C$2,$C$3,shape_factors!Q$2,$C$4,shape_factors!Q$3)</f>
        <v>-1.1134171116758261E-2</v>
      </c>
      <c r="R77" s="5">
        <f>EnergyLJ($A77,$C$2,$C$3,shape_factors!R$2,$C$4,shape_factors!R$3)</f>
        <v>-2.2320494981922477E-2</v>
      </c>
      <c r="S77" s="5">
        <f>EnergyLJ($A77,$C$2,$C$3,shape_factors!S$2,$C$4,shape_factors!S$3)</f>
        <v>-1.2406262415452509E-2</v>
      </c>
      <c r="T77" s="5">
        <f>EnergyLJ($A77,$C$2,$C$3,shape_factors!T$2,$C$4,shape_factors!T$3)</f>
        <v>-9.4395097401633477E-3</v>
      </c>
      <c r="U77" s="5">
        <f>EnergyLJ($A77,$C$2,$C$3,shape_factors!U$2,$C$4,shape_factors!U$3)</f>
        <v>-2.2072549694553172E-2</v>
      </c>
    </row>
    <row r="78" spans="1:21" x14ac:dyDescent="0.25">
      <c r="A78">
        <v>16.2</v>
      </c>
      <c r="B78" s="5">
        <f>EnergyLJ($A78,$C$2,$C$3,shape_factors!B$2,$C$4,shape_factors!B$3)</f>
        <v>-6.8629820722277843E-2</v>
      </c>
      <c r="C78" s="5">
        <f>EnergyLJ($A78,$C$2,$C$3,shape_factors!C$2,$C$4,shape_factors!C$3)</f>
        <v>-2.2569666953735378E-2</v>
      </c>
      <c r="D78" s="5">
        <f>EnergyLJ($A78,$C$2,$C$3,shape_factors!D$2,$C$4,shape_factors!D$3)</f>
        <v>-9.0734478440484975E-2</v>
      </c>
      <c r="E78" s="5">
        <f>EnergyLJ($A78,$C$2,$C$3,shape_factors!E$2,$C$4,shape_factors!E$3)</f>
        <v>-3.5492086625900997E-2</v>
      </c>
      <c r="F78" s="5">
        <f>EnergyLJ($A78,$C$2,$C$3,shape_factors!F$2,$C$4,shape_factors!F$3)</f>
        <v>-2.0314102900569165E-2</v>
      </c>
      <c r="G78" s="5">
        <f>EnergyLJ($A78,$C$2,$C$3,shape_factors!G$2,$C$4,shape_factors!G$3)</f>
        <v>-2.514596283782701E-2</v>
      </c>
      <c r="H78" s="5">
        <f>EnergyLJ($A78,$C$2,$C$3,shape_factors!H$2,$C$4,shape_factors!H$3)</f>
        <v>-0.36147932712046937</v>
      </c>
      <c r="I78" s="5">
        <f>EnergyLJ($A78,$C$2,$C$3,shape_factors!I$2,$C$4,shape_factors!I$3)</f>
        <v>-4.2837380346066316E-2</v>
      </c>
      <c r="J78" s="5">
        <f>EnergyLJ($A78,$C$2,$C$3,shape_factors!J$2,$C$4,shape_factors!J$3)</f>
        <v>-1.2850973792976842E-2</v>
      </c>
      <c r="K78" s="5">
        <f>EnergyLJ($A78,$C$2,$C$3,shape_factors!K$2,$C$4,shape_factors!K$3)</f>
        <v>-1.4634824499034938E-2</v>
      </c>
      <c r="L78" s="5">
        <f>EnergyLJ($A78,$C$2,$C$3,shape_factors!L$2,$C$4,shape_factors!L$3)</f>
        <v>-1.8295672038058815E-2</v>
      </c>
      <c r="M78" s="5">
        <f>EnergyLJ($A78,$C$2,$C$3,shape_factors!M$2,$C$4,shape_factors!M$3)</f>
        <v>-1.3235210548288063E-2</v>
      </c>
      <c r="N78" s="5">
        <f>EnergyLJ($A78,$C$2,$C$3,shape_factors!N$2,$C$4,shape_factors!N$3)</f>
        <v>-9.8372938742802649E-3</v>
      </c>
      <c r="O78" s="5">
        <f>EnergyLJ($A78,$C$2,$C$3,shape_factors!O$2,$C$4,shape_factors!O$3)</f>
        <v>-9.1670522093777289E-3</v>
      </c>
      <c r="P78" s="5">
        <f>EnergyLJ($A78,$C$2,$C$3,shape_factors!P$2,$C$4,shape_factors!P$3)</f>
        <v>-1.0047939266828461E-2</v>
      </c>
      <c r="Q78" s="5">
        <f>EnergyLJ($A78,$C$2,$C$3,shape_factors!Q$2,$C$4,shape_factors!Q$3)</f>
        <v>-1.0336436160820374E-2</v>
      </c>
      <c r="R78" s="5">
        <f>EnergyLJ($A78,$C$2,$C$3,shape_factors!R$2,$C$4,shape_factors!R$3)</f>
        <v>-2.0725315809234205E-2</v>
      </c>
      <c r="S78" s="5">
        <f>EnergyLJ($A78,$C$2,$C$3,shape_factors!S$2,$C$4,shape_factors!S$3)</f>
        <v>-1.1517638706016858E-2</v>
      </c>
      <c r="T78" s="5">
        <f>EnergyLJ($A78,$C$2,$C$3,shape_factors!T$2,$C$4,shape_factors!T$3)</f>
        <v>-8.7629365223229616E-3</v>
      </c>
      <c r="U78" s="5">
        <f>EnergyLJ($A78,$C$2,$C$3,shape_factors!U$2,$C$4,shape_factors!U$3)</f>
        <v>-2.0495001689103828E-2</v>
      </c>
    </row>
    <row r="79" spans="1:21" x14ac:dyDescent="0.25">
      <c r="A79">
        <v>16.399999999999999</v>
      </c>
      <c r="B79" s="5">
        <f>EnergyLJ($A79,$C$2,$C$3,shape_factors!B$2,$C$4,shape_factors!B$3)</f>
        <v>-6.3835226164506015E-2</v>
      </c>
      <c r="C79" s="5">
        <f>EnergyLJ($A79,$C$2,$C$3,shape_factors!C$2,$C$4,shape_factors!C$3)</f>
        <v>-2.0975849767549862E-2</v>
      </c>
      <c r="D79" s="5">
        <f>EnergyLJ($A79,$C$2,$C$3,shape_factors!D$2,$C$4,shape_factors!D$3)</f>
        <v>-8.4429677201013104E-2</v>
      </c>
      <c r="E79" s="5">
        <f>EnergyLJ($A79,$C$2,$C$3,shape_factors!E$2,$C$4,shape_factors!E$3)</f>
        <v>-3.2993123323307824E-2</v>
      </c>
      <c r="F79" s="5">
        <f>EnergyLJ($A79,$C$2,$C$3,shape_factors!F$2,$C$4,shape_factors!F$3)</f>
        <v>-1.8878834053399698E-2</v>
      </c>
      <c r="G79" s="5">
        <f>EnergyLJ($A79,$C$2,$C$3,shape_factors!G$2,$C$4,shape_factors!G$3)</f>
        <v>-2.3371254337982497E-2</v>
      </c>
      <c r="H79" s="5">
        <f>EnergyLJ($A79,$C$2,$C$3,shape_factors!H$2,$C$4,shape_factors!H$3)</f>
        <v>-0.3383283605479786</v>
      </c>
      <c r="I79" s="5">
        <f>EnergyLJ($A79,$C$2,$C$3,shape_factors!I$2,$C$4,shape_factors!I$3)</f>
        <v>-3.9826372936731594E-2</v>
      </c>
      <c r="J79" s="5">
        <f>EnergyLJ($A79,$C$2,$C$3,shape_factors!J$2,$C$4,shape_factors!J$3)</f>
        <v>-1.194147361408928E-2</v>
      </c>
      <c r="K79" s="5">
        <f>EnergyLJ($A79,$C$2,$C$3,shape_factors!K$2,$C$4,shape_factors!K$3)</f>
        <v>-1.3599491392595997E-2</v>
      </c>
      <c r="L79" s="5">
        <f>EnergyLJ($A79,$C$2,$C$3,shape_factors!L$2,$C$4,shape_factors!L$3)</f>
        <v>-1.7002422419974326E-2</v>
      </c>
      <c r="M79" s="5">
        <f>EnergyLJ($A79,$C$2,$C$3,shape_factors!M$2,$C$4,shape_factors!M$3)</f>
        <v>-1.229859767802988E-2</v>
      </c>
      <c r="N79" s="5">
        <f>EnergyLJ($A79,$C$2,$C$3,shape_factors!N$2,$C$4,shape_factors!N$3)</f>
        <v>-9.1406099270863409E-3</v>
      </c>
      <c r="O79" s="5">
        <f>EnergyLJ($A79,$C$2,$C$3,shape_factors!O$2,$C$4,shape_factors!O$3)</f>
        <v>-8.5177378989477626E-3</v>
      </c>
      <c r="P79" s="5">
        <f>EnergyLJ($A79,$C$2,$C$3,shape_factors!P$2,$C$4,shape_factors!P$3)</f>
        <v>-9.3363708139069992E-3</v>
      </c>
      <c r="Q79" s="5">
        <f>EnergyLJ($A79,$C$2,$C$3,shape_factors!Q$2,$C$4,shape_factors!Q$3)</f>
        <v>-9.6044843970440781E-3</v>
      </c>
      <c r="R79" s="5">
        <f>EnergyLJ($A79,$C$2,$C$3,shape_factors!R$2,$C$4,shape_factors!R$3)</f>
        <v>-1.9261129665360453E-2</v>
      </c>
      <c r="S79" s="5">
        <f>EnergyLJ($A79,$C$2,$C$3,shape_factors!S$2,$C$4,shape_factors!S$3)</f>
        <v>-1.0702258540450765E-2</v>
      </c>
      <c r="T79" s="5">
        <f>EnergyLJ($A79,$C$2,$C$3,shape_factors!T$2,$C$4,shape_factors!T$3)</f>
        <v>-8.1421901805762299E-3</v>
      </c>
      <c r="U79" s="5">
        <f>EnergyLJ($A79,$C$2,$C$3,shape_factors!U$2,$C$4,shape_factors!U$3)</f>
        <v>-1.9047011011261317E-2</v>
      </c>
    </row>
    <row r="80" spans="1:21" x14ac:dyDescent="0.25">
      <c r="A80">
        <v>16.600000000000001</v>
      </c>
      <c r="B80" s="5">
        <f>EnergyLJ($A80,$C$2,$C$3,shape_factors!B$2,$C$4,shape_factors!B$3)</f>
        <v>-5.942269627138104E-2</v>
      </c>
      <c r="C80" s="5">
        <f>EnergyLJ($A80,$C$2,$C$3,shape_factors!C$2,$C$4,shape_factors!C$3)</f>
        <v>-1.9511370759508609E-2</v>
      </c>
      <c r="D80" s="5">
        <f>EnergyLJ($A80,$C$2,$C$3,shape_factors!D$2,$C$4,shape_factors!D$3)</f>
        <v>-7.8622627573127116E-2</v>
      </c>
      <c r="E80" s="5">
        <f>EnergyLJ($A80,$C$2,$C$3,shape_factors!E$2,$C$4,shape_factors!E$3)</f>
        <v>-3.0695949342367357E-2</v>
      </c>
      <c r="F80" s="5">
        <f>EnergyLJ($A80,$C$2,$C$3,shape_factors!F$2,$C$4,shape_factors!F$3)</f>
        <v>-1.7560136502236319E-2</v>
      </c>
      <c r="G80" s="5">
        <f>EnergyLJ($A80,$C$2,$C$3,shape_factors!G$2,$C$4,shape_factors!G$3)</f>
        <v>-2.1740422599183105E-2</v>
      </c>
      <c r="H80" s="5">
        <f>EnergyLJ($A80,$C$2,$C$3,shape_factors!H$2,$C$4,shape_factors!H$3)</f>
        <v>-0.31673479402703736</v>
      </c>
      <c r="I80" s="5">
        <f>EnergyLJ($A80,$C$2,$C$3,shape_factors!I$2,$C$4,shape_factors!I$3)</f>
        <v>-3.7057806076707792E-2</v>
      </c>
      <c r="J80" s="5">
        <f>EnergyLJ($A80,$C$2,$C$3,shape_factors!J$2,$C$4,shape_factors!J$3)</f>
        <v>-1.1106049040037201E-2</v>
      </c>
      <c r="K80" s="5">
        <f>EnergyLJ($A80,$C$2,$C$3,shape_factors!K$2,$C$4,shape_factors!K$3)</f>
        <v>-1.2648426503675694E-2</v>
      </c>
      <c r="L80" s="5">
        <f>EnergyLJ($A80,$C$2,$C$3,shape_factors!L$2,$C$4,shape_factors!L$3)</f>
        <v>-1.5814289249069736E-2</v>
      </c>
      <c r="M80" s="5">
        <f>EnergyLJ($A80,$C$2,$C$3,shape_factors!M$2,$C$4,shape_factors!M$3)</f>
        <v>-1.1438257737541186E-2</v>
      </c>
      <c r="N80" s="5">
        <f>EnergyLJ($A80,$C$2,$C$3,shape_factors!N$2,$C$4,shape_factors!N$3)</f>
        <v>-8.5007319388228225E-3</v>
      </c>
      <c r="O80" s="5">
        <f>EnergyLJ($A80,$C$2,$C$3,shape_factors!O$2,$C$4,shape_factors!O$3)</f>
        <v>-7.921380265634043E-3</v>
      </c>
      <c r="P80" s="5">
        <f>EnergyLJ($A80,$C$2,$C$3,shape_factors!P$2,$C$4,shape_factors!P$3)</f>
        <v>-8.6828174436027819E-3</v>
      </c>
      <c r="Q80" s="5">
        <f>EnergyLJ($A80,$C$2,$C$3,shape_factors!Q$2,$C$4,shape_factors!Q$3)</f>
        <v>-8.9322032179421171E-3</v>
      </c>
      <c r="R80" s="5">
        <f>EnergyLJ($A80,$C$2,$C$3,shape_factors!R$2,$C$4,shape_factors!R$3)</f>
        <v>-1.7915845010118864E-2</v>
      </c>
      <c r="S80" s="5">
        <f>EnergyLJ($A80,$C$2,$C$3,shape_factors!S$2,$C$4,shape_factors!S$3)</f>
        <v>-9.9533211491147286E-3</v>
      </c>
      <c r="T80" s="5">
        <f>EnergyLJ($A80,$C$2,$C$3,shape_factors!T$2,$C$4,shape_factors!T$3)</f>
        <v>-7.5720781343035929E-3</v>
      </c>
      <c r="U80" s="5">
        <f>EnergyLJ($A80,$C$2,$C$3,shape_factors!U$2,$C$4,shape_factors!U$3)</f>
        <v>-1.7716616862252892E-2</v>
      </c>
    </row>
    <row r="81" spans="1:21" x14ac:dyDescent="0.25">
      <c r="A81">
        <v>16.8</v>
      </c>
      <c r="B81" s="5">
        <f>EnergyLJ($A81,$C$2,$C$3,shape_factors!B$2,$C$4,shape_factors!B$3)</f>
        <v>-5.5358397105078637E-2</v>
      </c>
      <c r="C81" s="5">
        <f>EnergyLJ($A81,$C$2,$C$3,shape_factors!C$2,$C$4,shape_factors!C$3)</f>
        <v>-1.8164431085877824E-2</v>
      </c>
      <c r="D81" s="5">
        <f>EnergyLJ($A81,$C$2,$C$3,shape_factors!D$2,$C$4,shape_factors!D$3)</f>
        <v>-7.3269940095187266E-2</v>
      </c>
      <c r="E81" s="5">
        <f>EnergyLJ($A81,$C$2,$C$3,shape_factors!E$2,$C$4,shape_factors!E$3)</f>
        <v>-2.8582302054350608E-2</v>
      </c>
      <c r="F81" s="5">
        <f>EnergyLJ($A81,$C$2,$C$3,shape_factors!F$2,$C$4,shape_factors!F$3)</f>
        <v>-1.6347361625056307E-2</v>
      </c>
      <c r="G81" s="5">
        <f>EnergyLJ($A81,$C$2,$C$3,shape_factors!G$2,$C$4,shape_factors!G$3)</f>
        <v>-2.0240362954812088E-2</v>
      </c>
      <c r="H81" s="5">
        <f>EnergyLJ($A81,$C$2,$C$3,shape_factors!H$2,$C$4,shape_factors!H$3)</f>
        <v>-0.29660325414031397</v>
      </c>
      <c r="I81" s="5">
        <f>EnergyLJ($A81,$C$2,$C$3,shape_factors!I$2,$C$4,shape_factors!I$3)</f>
        <v>-3.4509839714825401E-2</v>
      </c>
      <c r="J81" s="5">
        <f>EnergyLJ($A81,$C$2,$C$3,shape_factors!J$2,$C$4,shape_factors!J$3)</f>
        <v>-1.0337903339556927E-2</v>
      </c>
      <c r="K81" s="5">
        <f>EnergyLJ($A81,$C$2,$C$3,shape_factors!K$2,$C$4,shape_factors!K$3)</f>
        <v>-1.1773906003678494E-2</v>
      </c>
      <c r="L81" s="5">
        <f>EnergyLJ($A81,$C$2,$C$3,shape_factors!L$2,$C$4,shape_factors!L$3)</f>
        <v>-1.4721658694234608E-2</v>
      </c>
      <c r="M81" s="5">
        <f>EnergyLJ($A81,$C$2,$C$3,shape_factors!M$2,$C$4,shape_factors!M$3)</f>
        <v>-1.0647193962055969E-2</v>
      </c>
      <c r="N81" s="5">
        <f>EnergyLJ($A81,$C$2,$C$3,shape_factors!N$2,$C$4,shape_factors!N$3)</f>
        <v>-7.9124385422638336E-3</v>
      </c>
      <c r="O81" s="5">
        <f>EnergyLJ($A81,$C$2,$C$3,shape_factors!O$2,$C$4,shape_factors!O$3)</f>
        <v>-7.373109853386314E-3</v>
      </c>
      <c r="P81" s="5">
        <f>EnergyLJ($A81,$C$2,$C$3,shape_factors!P$2,$C$4,shape_factors!P$3)</f>
        <v>-8.0819473054497513E-3</v>
      </c>
      <c r="Q81" s="5">
        <f>EnergyLJ($A81,$C$2,$C$3,shape_factors!Q$2,$C$4,shape_factors!Q$3)</f>
        <v>-8.3141095471563325E-3</v>
      </c>
      <c r="R81" s="5">
        <f>EnergyLJ($A81,$C$2,$C$3,shape_factors!R$2,$C$4,shape_factors!R$3)</f>
        <v>-1.6678603040386309E-2</v>
      </c>
      <c r="S81" s="5">
        <f>EnergyLJ($A81,$C$2,$C$3,shape_factors!S$2,$C$4,shape_factors!S$3)</f>
        <v>-9.2647253766284608E-3</v>
      </c>
      <c r="T81" s="5">
        <f>EnergyLJ($A81,$C$2,$C$3,shape_factors!T$2,$C$4,shape_factors!T$3)</f>
        <v>-7.0479433809919282E-3</v>
      </c>
      <c r="U81" s="5">
        <f>EnergyLJ($A81,$C$2,$C$3,shape_factors!U$2,$C$4,shape_factors!U$3)</f>
        <v>-1.6493078131662731E-2</v>
      </c>
    </row>
    <row r="82" spans="1:21" x14ac:dyDescent="0.25">
      <c r="A82">
        <v>17</v>
      </c>
      <c r="B82" s="5">
        <f>EnergyLJ($A82,$C$2,$C$3,shape_factors!B$2,$C$4,shape_factors!B$3)</f>
        <v>-5.1611745150985225E-2</v>
      </c>
      <c r="C82" s="5">
        <f>EnergyLJ($A82,$C$2,$C$3,shape_factors!C$2,$C$4,shape_factors!C$3)</f>
        <v>-1.692442073478953E-2</v>
      </c>
      <c r="D82" s="5">
        <f>EnergyLJ($A82,$C$2,$C$3,shape_factors!D$2,$C$4,shape_factors!D$3)</f>
        <v>-6.833228329465918E-2</v>
      </c>
      <c r="E82" s="5">
        <f>EnergyLJ($A82,$C$2,$C$3,shape_factors!E$2,$C$4,shape_factors!E$3)</f>
        <v>-2.6635736302522826E-2</v>
      </c>
      <c r="F82" s="5">
        <f>EnergyLJ($A82,$C$2,$C$3,shape_factors!F$2,$C$4,shape_factors!F$3)</f>
        <v>-1.523093598241956E-2</v>
      </c>
      <c r="G82" s="5">
        <f>EnergyLJ($A82,$C$2,$C$3,shape_factors!G$2,$C$4,shape_factors!G$3)</f>
        <v>-1.8859287960853434E-2</v>
      </c>
      <c r="H82" s="5">
        <f>EnergyLJ($A82,$C$2,$C$3,shape_factors!H$2,$C$4,shape_factors!H$3)</f>
        <v>-0.27784071315979142</v>
      </c>
      <c r="I82" s="5">
        <f>EnergyLJ($A82,$C$2,$C$3,shape_factors!I$2,$C$4,shape_factors!I$3)</f>
        <v>-3.2162791354335994E-2</v>
      </c>
      <c r="J82" s="5">
        <f>EnergyLJ($A82,$C$2,$C$3,shape_factors!J$2,$C$4,shape_factors!J$3)</f>
        <v>-9.6309307064591839E-3</v>
      </c>
      <c r="K82" s="5">
        <f>EnergyLJ($A82,$C$2,$C$3,shape_factors!K$2,$C$4,shape_factors!K$3)</f>
        <v>-1.0968989978586471E-2</v>
      </c>
      <c r="L82" s="5">
        <f>EnergyLJ($A82,$C$2,$C$3,shape_factors!L$2,$C$4,shape_factors!L$3)</f>
        <v>-1.3715889425786327E-2</v>
      </c>
      <c r="M82" s="5">
        <f>EnergyLJ($A82,$C$2,$C$3,shape_factors!M$2,$C$4,shape_factors!M$3)</f>
        <v>-9.9191206020742204E-3</v>
      </c>
      <c r="N82" s="5">
        <f>EnergyLJ($A82,$C$2,$C$3,shape_factors!N$2,$C$4,shape_factors!N$3)</f>
        <v>-7.3710405727836171E-3</v>
      </c>
      <c r="O82" s="5">
        <f>EnergyLJ($A82,$C$2,$C$3,shape_factors!O$2,$C$4,shape_factors!O$3)</f>
        <v>-6.8685538323403359E-3</v>
      </c>
      <c r="P82" s="5">
        <f>EnergyLJ($A82,$C$2,$C$3,shape_factors!P$2,$C$4,shape_factors!P$3)</f>
        <v>-7.5289719118784779E-3</v>
      </c>
      <c r="Q82" s="5">
        <f>EnergyLJ($A82,$C$2,$C$3,shape_factors!Q$2,$C$4,shape_factors!Q$3)</f>
        <v>-7.7452789400890391E-3</v>
      </c>
      <c r="R82" s="5">
        <f>EnergyLJ($A82,$C$2,$C$3,shape_factors!R$2,$C$4,shape_factors!R$3)</f>
        <v>-1.5539640941342765E-2</v>
      </c>
      <c r="S82" s="5">
        <f>EnergyLJ($A82,$C$2,$C$3,shape_factors!S$2,$C$4,shape_factors!S$3)</f>
        <v>-8.6309910207339087E-3</v>
      </c>
      <c r="T82" s="5">
        <f>EnergyLJ($A82,$C$2,$C$3,shape_factors!T$2,$C$4,shape_factors!T$3)</f>
        <v>-6.5656040453247102E-3</v>
      </c>
      <c r="U82" s="5">
        <f>EnergyLJ($A82,$C$2,$C$3,shape_factors!U$2,$C$4,shape_factors!U$3)</f>
        <v>-1.5366738049143604E-2</v>
      </c>
    </row>
    <row r="83" spans="1:21" x14ac:dyDescent="0.25">
      <c r="A83">
        <v>17.2</v>
      </c>
      <c r="B83" s="5">
        <f>EnergyLJ($A83,$C$2,$C$3,shape_factors!B$2,$C$4,shape_factors!B$3)</f>
        <v>-4.8155077297004502E-2</v>
      </c>
      <c r="C83" s="5">
        <f>EnergyLJ($A83,$C$2,$C$3,shape_factors!C$2,$C$4,shape_factors!C$3)</f>
        <v>-1.5781788193341029E-2</v>
      </c>
      <c r="D83" s="5">
        <f>EnergyLJ($A83,$C$2,$C$3,shape_factors!D$2,$C$4,shape_factors!D$3)</f>
        <v>-6.3773990896272156E-2</v>
      </c>
      <c r="E83" s="5">
        <f>EnergyLJ($A83,$C$2,$C$3,shape_factors!E$2,$C$4,shape_factors!E$3)</f>
        <v>-2.4841428908213559E-2</v>
      </c>
      <c r="F83" s="5">
        <f>EnergyLJ($A83,$C$2,$C$3,shape_factors!F$2,$C$4,shape_factors!F$3)</f>
        <v>-1.4202243071445337E-2</v>
      </c>
      <c r="G83" s="5">
        <f>EnergyLJ($A83,$C$2,$C$3,shape_factors!G$2,$C$4,shape_factors!G$3)</f>
        <v>-1.7586583515446164E-2</v>
      </c>
      <c r="H83" s="5">
        <f>EnergyLJ($A83,$C$2,$C$3,shape_factors!H$2,$C$4,shape_factors!H$3)</f>
        <v>-0.26035743744999079</v>
      </c>
      <c r="I83" s="5">
        <f>EnergyLJ($A83,$C$2,$C$3,shape_factors!I$2,$C$4,shape_factors!I$3)</f>
        <v>-2.9998906656534156E-2</v>
      </c>
      <c r="J83" s="5">
        <f>EnergyLJ($A83,$C$2,$C$3,shape_factors!J$2,$C$4,shape_factors!J$3)</f>
        <v>-8.9796395007698468E-3</v>
      </c>
      <c r="K83" s="5">
        <f>EnergyLJ($A83,$C$2,$C$3,shape_factors!K$2,$C$4,shape_factors!K$3)</f>
        <v>-1.0227435545811774E-2</v>
      </c>
      <c r="L83" s="5">
        <f>EnergyLJ($A83,$C$2,$C$3,shape_factors!L$2,$C$4,shape_factors!L$3)</f>
        <v>-1.2789205363825943E-2</v>
      </c>
      <c r="M83" s="5">
        <f>EnergyLJ($A83,$C$2,$C$3,shape_factors!M$2,$C$4,shape_factors!M$3)</f>
        <v>-9.248383972756612E-3</v>
      </c>
      <c r="N83" s="5">
        <f>EnergyLJ($A83,$C$2,$C$3,shape_factors!N$2,$C$4,shape_factors!N$3)</f>
        <v>-6.8723217089858568E-3</v>
      </c>
      <c r="O83" s="5">
        <f>EnergyLJ($A83,$C$2,$C$3,shape_factors!O$2,$C$4,shape_factors!O$3)</f>
        <v>-6.403780559382421E-3</v>
      </c>
      <c r="P83" s="5">
        <f>EnergyLJ($A83,$C$2,$C$3,shape_factors!P$2,$C$4,shape_factors!P$3)</f>
        <v>-7.0195855506519321E-3</v>
      </c>
      <c r="Q83" s="5">
        <f>EnergyLJ($A83,$C$2,$C$3,shape_factors!Q$2,$C$4,shape_factors!Q$3)</f>
        <v>-7.2212833171534756E-3</v>
      </c>
      <c r="R83" s="5">
        <f>EnergyLJ($A83,$C$2,$C$3,shape_factors!R$2,$C$4,shape_factors!R$3)</f>
        <v>-1.4490171421196749E-2</v>
      </c>
      <c r="S83" s="5">
        <f>EnergyLJ($A83,$C$2,$C$3,shape_factors!S$2,$C$4,shape_factors!S$3)</f>
        <v>-8.0471897257620786E-3</v>
      </c>
      <c r="T83" s="5">
        <f>EnergyLJ($A83,$C$2,$C$3,shape_factors!T$2,$C$4,shape_factors!T$3)</f>
        <v>-6.1213003120593858E-3</v>
      </c>
      <c r="U83" s="5">
        <f>EnergyLJ($A83,$C$2,$C$3,shape_factors!U$2,$C$4,shape_factors!U$3)</f>
        <v>-1.4328904961250447E-2</v>
      </c>
    </row>
    <row r="84" spans="1:21" x14ac:dyDescent="0.25">
      <c r="A84">
        <v>17.399999999999999</v>
      </c>
      <c r="B84" s="5">
        <f>EnergyLJ($A84,$C$2,$C$3,shape_factors!B$2,$C$4,shape_factors!B$3)</f>
        <v>-4.4963354991123576E-2</v>
      </c>
      <c r="C84" s="5">
        <f>EnergyLJ($A84,$C$2,$C$3,shape_factors!C$2,$C$4,shape_factors!C$3)</f>
        <v>-1.4727925450628941E-2</v>
      </c>
      <c r="D84" s="5">
        <f>EnergyLJ($A84,$C$2,$C$3,shape_factors!D$2,$C$4,shape_factors!D$3)</f>
        <v>-5.9562706039758384E-2</v>
      </c>
      <c r="E84" s="5">
        <f>EnergyLJ($A84,$C$2,$C$3,shape_factors!E$2,$C$4,shape_factors!E$3)</f>
        <v>-2.3186005515851548E-2</v>
      </c>
      <c r="F84" s="5">
        <f>EnergyLJ($A84,$C$2,$C$3,shape_factors!F$2,$C$4,shape_factors!F$3)</f>
        <v>-1.3253519059368408E-2</v>
      </c>
      <c r="G84" s="5">
        <f>EnergyLJ($A84,$C$2,$C$3,shape_factors!G$2,$C$4,shape_factors!G$3)</f>
        <v>-1.641268181511794E-2</v>
      </c>
      <c r="H84" s="5">
        <f>EnergyLJ($A84,$C$2,$C$3,shape_factors!H$2,$C$4,shape_factors!H$3)</f>
        <v>-0.24406761113748326</v>
      </c>
      <c r="I84" s="5">
        <f>EnergyLJ($A84,$C$2,$C$3,shape_factors!I$2,$C$4,shape_factors!I$3)</f>
        <v>-2.8002155774787062E-2</v>
      </c>
      <c r="J84" s="5">
        <f>EnergyLJ($A84,$C$2,$C$3,shape_factors!J$2,$C$4,shape_factors!J$3)</f>
        <v>-8.3790847008047443E-3</v>
      </c>
      <c r="K84" s="5">
        <f>EnergyLJ($A84,$C$2,$C$3,shape_factors!K$2,$C$4,shape_factors!K$3)</f>
        <v>-9.5436203608621709E-3</v>
      </c>
      <c r="L84" s="5">
        <f>EnergyLJ($A84,$C$2,$C$3,shape_factors!L$2,$C$4,shape_factors!L$3)</f>
        <v>-1.1934601158931203E-2</v>
      </c>
      <c r="M84" s="5">
        <f>EnergyLJ($A84,$C$2,$C$3,shape_factors!M$2,$C$4,shape_factors!M$3)</f>
        <v>-8.6298929702475439E-3</v>
      </c>
      <c r="N84" s="5">
        <f>EnergyLJ($A84,$C$2,$C$3,shape_factors!N$2,$C$4,shape_factors!N$3)</f>
        <v>-6.4124862771663144E-3</v>
      </c>
      <c r="O84" s="5">
        <f>EnergyLJ($A84,$C$2,$C$3,shape_factors!O$2,$C$4,shape_factors!O$3)</f>
        <v>-5.9752508378237198E-3</v>
      </c>
      <c r="P84" s="5">
        <f>EnergyLJ($A84,$C$2,$C$3,shape_factors!P$2,$C$4,shape_factors!P$3)</f>
        <v>-6.5499120064800645E-3</v>
      </c>
      <c r="Q84" s="5">
        <f>EnergyLJ($A84,$C$2,$C$3,shape_factors!Q$2,$C$4,shape_factors!Q$3)</f>
        <v>-6.7381362047154473E-3</v>
      </c>
      <c r="R84" s="5">
        <f>EnergyLJ($A84,$C$2,$C$3,shape_factors!R$2,$C$4,shape_factors!R$3)</f>
        <v>-1.3522276475715123E-2</v>
      </c>
      <c r="S84" s="5">
        <f>EnergyLJ($A84,$C$2,$C$3,shape_factors!S$2,$C$4,shape_factors!S$3)</f>
        <v>-7.5088841899236085E-3</v>
      </c>
      <c r="T84" s="5">
        <f>EnergyLJ($A84,$C$2,$C$3,shape_factors!T$2,$C$4,shape_factors!T$3)</f>
        <v>-5.7116477761557684E-3</v>
      </c>
      <c r="U84" s="5">
        <f>EnergyLJ($A84,$C$2,$C$3,shape_factors!U$2,$C$4,shape_factors!U$3)</f>
        <v>-1.3371747198092821E-2</v>
      </c>
    </row>
    <row r="85" spans="1:21" x14ac:dyDescent="0.25">
      <c r="A85">
        <v>17.600000000000001</v>
      </c>
      <c r="B85" s="5">
        <f>EnergyLJ($A85,$C$2,$C$3,shape_factors!B$2,$C$4,shape_factors!B$3)</f>
        <v>-4.2013899195236834E-2</v>
      </c>
      <c r="C85" s="5">
        <f>EnergyLJ($A85,$C$2,$C$3,shape_factors!C$2,$C$4,shape_factors!C$3)</f>
        <v>-1.3755066425899834E-2</v>
      </c>
      <c r="D85" s="5">
        <f>EnergyLJ($A85,$C$2,$C$3,shape_factors!D$2,$C$4,shape_factors!D$3)</f>
        <v>-5.566905963015735E-2</v>
      </c>
      <c r="E85" s="5">
        <f>EnergyLJ($A85,$C$2,$C$3,shape_factors!E$2,$C$4,shape_factors!E$3)</f>
        <v>-2.1657387118687772E-2</v>
      </c>
      <c r="F85" s="5">
        <f>EnergyLJ($A85,$C$2,$C$3,shape_factors!F$2,$C$4,shape_factors!F$3)</f>
        <v>-1.2377760742449059E-2</v>
      </c>
      <c r="G85" s="5">
        <f>EnergyLJ($A85,$C$2,$C$3,shape_factors!G$2,$C$4,shape_factors!G$3)</f>
        <v>-1.5328949067472789E-2</v>
      </c>
      <c r="H85" s="5">
        <f>EnergyLJ($A85,$C$2,$C$3,shape_factors!H$2,$C$4,shape_factors!H$3)</f>
        <v>-0.22888971564579191</v>
      </c>
      <c r="I85" s="5">
        <f>EnergyLJ($A85,$C$2,$C$3,shape_factors!I$2,$C$4,shape_factors!I$3)</f>
        <v>-2.6158052450702608E-2</v>
      </c>
      <c r="J85" s="5">
        <f>EnergyLJ($A85,$C$2,$C$3,shape_factors!J$2,$C$4,shape_factors!J$3)</f>
        <v>-7.8248083848260434E-3</v>
      </c>
      <c r="K85" s="5">
        <f>EnergyLJ($A85,$C$2,$C$3,shape_factors!K$2,$C$4,shape_factors!K$3)</f>
        <v>-8.9124751879206786E-3</v>
      </c>
      <c r="L85" s="5">
        <f>EnergyLJ($A85,$C$2,$C$3,shape_factors!L$2,$C$4,shape_factors!L$3)</f>
        <v>-1.114575879761915E-2</v>
      </c>
      <c r="M85" s="5">
        <f>EnergyLJ($A85,$C$2,$C$3,shape_factors!M$2,$C$4,shape_factors!M$3)</f>
        <v>-8.0590578420360777E-3</v>
      </c>
      <c r="N85" s="5">
        <f>EnergyLJ($A85,$C$2,$C$3,shape_factors!N$2,$C$4,shape_factors!N$3)</f>
        <v>-5.9881132932722847E-3</v>
      </c>
      <c r="O85" s="5">
        <f>EnergyLJ($A85,$C$2,$C$3,shape_factors!O$2,$C$4,shape_factors!O$3)</f>
        <v>-5.5797750084055249E-3</v>
      </c>
      <c r="P85" s="5">
        <f>EnergyLJ($A85,$C$2,$C$3,shape_factors!P$2,$C$4,shape_factors!P$3)</f>
        <v>-6.116457647211174E-3</v>
      </c>
      <c r="Q85" s="5">
        <f>EnergyLJ($A85,$C$2,$C$3,shape_factors!Q$2,$C$4,shape_factors!Q$3)</f>
        <v>-6.2922445142154955E-3</v>
      </c>
      <c r="R85" s="5">
        <f>EnergyLJ($A85,$C$2,$C$3,shape_factors!R$2,$C$4,shape_factors!R$3)</f>
        <v>-1.2628813599208602E-2</v>
      </c>
      <c r="S85" s="5">
        <f>EnergyLJ($A85,$C$2,$C$3,shape_factors!S$2,$C$4,shape_factors!S$3)</f>
        <v>-7.0120746162231559E-3</v>
      </c>
      <c r="T85" s="5">
        <f>EnergyLJ($A85,$C$2,$C$3,shape_factors!T$2,$C$4,shape_factors!T$3)</f>
        <v>-5.3335963780068675E-3</v>
      </c>
      <c r="U85" s="5">
        <f>EnergyLJ($A85,$C$2,$C$3,shape_factors!U$2,$C$4,shape_factors!U$3)</f>
        <v>-1.2488200262737495E-2</v>
      </c>
    </row>
    <row r="86" spans="1:21" x14ac:dyDescent="0.25">
      <c r="A86">
        <v>17.8</v>
      </c>
      <c r="B86" s="5">
        <f>EnergyLJ($A86,$C$2,$C$3,shape_factors!B$2,$C$4,shape_factors!B$3)</f>
        <v>-3.9286153016634087E-2</v>
      </c>
      <c r="C86" s="5">
        <f>EnergyLJ($A86,$C$2,$C$3,shape_factors!C$2,$C$4,shape_factors!C$3)</f>
        <v>-1.28561971593638E-2</v>
      </c>
      <c r="D86" s="5">
        <f>EnergyLJ($A86,$C$2,$C$3,shape_factors!D$2,$C$4,shape_factors!D$3)</f>
        <v>-5.2066379969031698E-2</v>
      </c>
      <c r="E86" s="5">
        <f>EnergyLJ($A86,$C$2,$C$3,shape_factors!E$2,$C$4,shape_factors!E$3)</f>
        <v>-2.0244653927302951E-2</v>
      </c>
      <c r="F86" s="5">
        <f>EnergyLJ($A86,$C$2,$C$3,shape_factors!F$2,$C$4,shape_factors!F$3)</f>
        <v>-1.1568644206515972E-2</v>
      </c>
      <c r="G86" s="5">
        <f>EnergyLJ($A86,$C$2,$C$3,shape_factors!G$2,$C$4,shape_factors!G$3)</f>
        <v>-1.4327586146957175E-2</v>
      </c>
      <c r="H86" s="5">
        <f>EnergyLJ($A86,$C$2,$C$3,shape_factors!H$2,$C$4,shape_factors!H$3)</f>
        <v>-0.21474672715103102</v>
      </c>
      <c r="I86" s="5">
        <f>EnergyLJ($A86,$C$2,$C$3,shape_factors!I$2,$C$4,shape_factors!I$3)</f>
        <v>-2.4453493242204794E-2</v>
      </c>
      <c r="J86" s="5">
        <f>EnergyLJ($A86,$C$2,$C$3,shape_factors!J$2,$C$4,shape_factors!J$3)</f>
        <v>-7.3127872212498599E-3</v>
      </c>
      <c r="K86" s="5">
        <f>EnergyLJ($A86,$C$2,$C$3,shape_factors!K$2,$C$4,shape_factors!K$3)</f>
        <v>-8.3294243870803905E-3</v>
      </c>
      <c r="L86" s="5">
        <f>EnergyLJ($A86,$C$2,$C$3,shape_factors!L$2,$C$4,shape_factors!L$3)</f>
        <v>-1.0416973938210762E-2</v>
      </c>
      <c r="M86" s="5">
        <f>EnergyLJ($A86,$C$2,$C$3,shape_factors!M$2,$C$4,shape_factors!M$3)</f>
        <v>-7.5317361628137493E-3</v>
      </c>
      <c r="N86" s="5">
        <f>EnergyLJ($A86,$C$2,$C$3,shape_factors!N$2,$C$4,shape_factors!N$3)</f>
        <v>-5.5961159432075776E-3</v>
      </c>
      <c r="O86" s="5">
        <f>EnergyLJ($A86,$C$2,$C$3,shape_factors!O$2,$C$4,shape_factors!O$3)</f>
        <v>-5.2144751232993435E-3</v>
      </c>
      <c r="P86" s="5">
        <f>EnergyLJ($A86,$C$2,$C$3,shape_factors!P$2,$C$4,shape_factors!P$3)</f>
        <v>-5.7160700595888844E-3</v>
      </c>
      <c r="Q86" s="5">
        <f>EnergyLJ($A86,$C$2,$C$3,shape_factors!Q$2,$C$4,shape_factors!Q$3)</f>
        <v>-5.8803660228243073E-3</v>
      </c>
      <c r="R86" s="5">
        <f>EnergyLJ($A86,$C$2,$C$3,shape_factors!R$2,$C$4,shape_factors!R$3)</f>
        <v>-1.1803332892501467E-2</v>
      </c>
      <c r="S86" s="5">
        <f>EnergyLJ($A86,$C$2,$C$3,shape_factors!S$2,$C$4,shape_factors!S$3)</f>
        <v>-6.5531514827980994E-3</v>
      </c>
      <c r="T86" s="5">
        <f>EnergyLJ($A86,$C$2,$C$3,shape_factors!T$2,$C$4,shape_factors!T$3)</f>
        <v>-4.9843942063321021E-3</v>
      </c>
      <c r="U86" s="5">
        <f>EnergyLJ($A86,$C$2,$C$3,shape_factors!U$2,$C$4,shape_factors!U$3)</f>
        <v>-1.1671884808286979E-2</v>
      </c>
    </row>
    <row r="87" spans="1:21" x14ac:dyDescent="0.25">
      <c r="A87">
        <v>18</v>
      </c>
      <c r="B87" s="5">
        <f>EnergyLJ($A87,$C$2,$C$3,shape_factors!B$2,$C$4,shape_factors!B$3)</f>
        <v>-3.6761469164916877E-2</v>
      </c>
      <c r="C87" s="5">
        <f>EnergyLJ($A87,$C$2,$C$3,shape_factors!C$2,$C$4,shape_factors!C$3)</f>
        <v>-1.202497631854477E-2</v>
      </c>
      <c r="D87" s="5">
        <f>EnergyLJ($A87,$C$2,$C$3,shape_factors!D$2,$C$4,shape_factors!D$3)</f>
        <v>-4.8730430912095904E-2</v>
      </c>
      <c r="E87" s="5">
        <f>EnergyLJ($A87,$C$2,$C$3,shape_factors!E$2,$C$4,shape_factors!E$3)</f>
        <v>-1.8937924526174568E-2</v>
      </c>
      <c r="F87" s="5">
        <f>EnergyLJ($A87,$C$2,$C$3,shape_factors!F$2,$C$4,shape_factors!F$3)</f>
        <v>-1.0820452864726026E-2</v>
      </c>
      <c r="G87" s="5">
        <f>EnergyLJ($A87,$C$2,$C$3,shape_factors!G$2,$C$4,shape_factors!G$3)</f>
        <v>-1.3401540612444685E-2</v>
      </c>
      <c r="H87" s="5">
        <f>EnergyLJ($A87,$C$2,$C$3,shape_factors!H$2,$C$4,shape_factors!H$3)</f>
        <v>-0.2015661796761401</v>
      </c>
      <c r="I87" s="5">
        <f>EnergyLJ($A87,$C$2,$C$3,shape_factors!I$2,$C$4,shape_factors!I$3)</f>
        <v>-2.2876614556658886E-2</v>
      </c>
      <c r="J87" s="5">
        <f>EnergyLJ($A87,$C$2,$C$3,shape_factors!J$2,$C$4,shape_factors!J$3)</f>
        <v>-6.839386083910882E-3</v>
      </c>
      <c r="K87" s="5">
        <f>EnergyLJ($A87,$C$2,$C$3,shape_factors!K$2,$C$4,shape_factors!K$3)</f>
        <v>-7.7903333244940956E-3</v>
      </c>
      <c r="L87" s="5">
        <f>EnergyLJ($A87,$C$2,$C$3,shape_factors!L$2,$C$4,shape_factors!L$3)</f>
        <v>-9.7430907666533825E-3</v>
      </c>
      <c r="M87" s="5">
        <f>EnergyLJ($A87,$C$2,$C$3,shape_factors!M$2,$C$4,shape_factors!M$3)</f>
        <v>-7.0441851083315084E-3</v>
      </c>
      <c r="N87" s="5">
        <f>EnergyLJ($A87,$C$2,$C$3,shape_factors!N$2,$C$4,shape_factors!N$3)</f>
        <v>-5.2337058111368087E-3</v>
      </c>
      <c r="O87" s="5">
        <f>EnergyLJ($A87,$C$2,$C$3,shape_factors!O$2,$C$4,shape_factors!O$3)</f>
        <v>-4.876751556886042E-3</v>
      </c>
      <c r="P87" s="5">
        <f>EnergyLJ($A87,$C$2,$C$3,shape_factors!P$2,$C$4,shape_factors!P$3)</f>
        <v>-5.3459015304470683E-3</v>
      </c>
      <c r="Q87" s="5">
        <f>EnergyLJ($A87,$C$2,$C$3,shape_factors!Q$2,$C$4,shape_factors!Q$3)</f>
        <v>-5.4995718326975151E-3</v>
      </c>
      <c r="R87" s="5">
        <f>EnergyLJ($A87,$C$2,$C$3,shape_factors!R$2,$C$4,shape_factors!R$3)</f>
        <v>-1.1040003720731618E-2</v>
      </c>
      <c r="S87" s="5">
        <f>EnergyLJ($A87,$C$2,$C$3,shape_factors!S$2,$C$4,shape_factors!S$3)</f>
        <v>-6.1288538335744075E-3</v>
      </c>
      <c r="T87" s="5">
        <f>EnergyLJ($A87,$C$2,$C$3,shape_factors!T$2,$C$4,shape_factors!T$3)</f>
        <v>-4.6615555493314201E-3</v>
      </c>
      <c r="U87" s="5">
        <f>EnergyLJ($A87,$C$2,$C$3,shape_factors!U$2,$C$4,shape_factors!U$3)</f>
        <v>-1.0917034068195192E-2</v>
      </c>
    </row>
    <row r="88" spans="1:21" x14ac:dyDescent="0.25">
      <c r="A88">
        <v>18.2</v>
      </c>
      <c r="B88" s="5">
        <f>EnergyLJ($A88,$C$2,$C$3,shape_factors!B$2,$C$4,shape_factors!B$3)</f>
        <v>-3.4422919642148164E-2</v>
      </c>
      <c r="C88" s="5">
        <f>EnergyLJ($A88,$C$2,$C$3,shape_factors!C$2,$C$4,shape_factors!C$3)</f>
        <v>-1.1255664759697871E-2</v>
      </c>
      <c r="D88" s="5">
        <f>EnergyLJ($A88,$C$2,$C$3,shape_factors!D$2,$C$4,shape_factors!D$3)</f>
        <v>-4.5639175940646787E-2</v>
      </c>
      <c r="E88" s="5">
        <f>EnergyLJ($A88,$C$2,$C$3,shape_factors!E$2,$C$4,shape_factors!E$3)</f>
        <v>-1.7728248513212627E-2</v>
      </c>
      <c r="F88" s="5">
        <f>EnergyLJ($A88,$C$2,$C$3,shape_factors!F$2,$C$4,shape_factors!F$3)</f>
        <v>-1.0128013720480621E-2</v>
      </c>
      <c r="G88" s="5">
        <f>EnergyLJ($A88,$C$2,$C$3,shape_factors!G$2,$C$4,shape_factors!G$3)</f>
        <v>-1.2544428707173911E-2</v>
      </c>
      <c r="H88" s="5">
        <f>EnergyLJ($A88,$C$2,$C$3,shape_factors!H$2,$C$4,shape_factors!H$3)</f>
        <v>-0.18928013044783018</v>
      </c>
      <c r="I88" s="5">
        <f>EnergyLJ($A88,$C$2,$C$3,shape_factors!I$2,$C$4,shape_factors!I$3)</f>
        <v>-2.1416665433072336E-2</v>
      </c>
      <c r="J88" s="5">
        <f>EnergyLJ($A88,$C$2,$C$3,shape_factors!J$2,$C$4,shape_factors!J$3)</f>
        <v>-6.4013170269926808E-3</v>
      </c>
      <c r="K88" s="5">
        <f>EnergyLJ($A88,$C$2,$C$3,shape_factors!K$2,$C$4,shape_factors!K$3)</f>
        <v>-7.2914618437334971E-3</v>
      </c>
      <c r="L88" s="5">
        <f>EnergyLJ($A88,$C$2,$C$3,shape_factors!L$2,$C$4,shape_factors!L$3)</f>
        <v>-9.1194443205876632E-3</v>
      </c>
      <c r="M88" s="5">
        <f>EnergyLJ($A88,$C$2,$C$3,shape_factors!M$2,$C$4,shape_factors!M$3)</f>
        <v>-6.5930192409126998E-3</v>
      </c>
      <c r="N88" s="5">
        <f>EnergyLJ($A88,$C$2,$C$3,shape_factors!N$2,$C$4,shape_factors!N$3)</f>
        <v>-4.8983612586383308E-3</v>
      </c>
      <c r="O88" s="5">
        <f>EnergyLJ($A88,$C$2,$C$3,shape_factors!O$2,$C$4,shape_factors!O$3)</f>
        <v>-4.5642534945212303E-3</v>
      </c>
      <c r="P88" s="5">
        <f>EnergyLJ($A88,$C$2,$C$3,shape_factors!P$2,$C$4,shape_factors!P$3)</f>
        <v>-5.0033767642075361E-3</v>
      </c>
      <c r="Q88" s="5">
        <f>EnergyLJ($A88,$C$2,$C$3,shape_factors!Q$2,$C$4,shape_factors!Q$3)</f>
        <v>-5.1472131833356022E-3</v>
      </c>
      <c r="R88" s="5">
        <f>EnergyLJ($A88,$C$2,$C$3,shape_factors!R$2,$C$4,shape_factors!R$3)</f>
        <v>-1.0333549748863073E-2</v>
      </c>
      <c r="S88" s="5">
        <f>EnergyLJ($A88,$C$2,$C$3,shape_factors!S$2,$C$4,shape_factors!S$3)</f>
        <v>-5.736232397427648E-3</v>
      </c>
      <c r="T88" s="5">
        <f>EnergyLJ($A88,$C$2,$C$3,shape_factors!T$2,$C$4,shape_factors!T$3)</f>
        <v>-4.3628326586001515E-3</v>
      </c>
      <c r="U88" s="5">
        <f>EnergyLJ($A88,$C$2,$C$3,shape_factors!U$2,$C$4,shape_factors!U$3)</f>
        <v>-1.0218429578920128E-2</v>
      </c>
    </row>
    <row r="89" spans="1:21" x14ac:dyDescent="0.25">
      <c r="A89">
        <v>18.399999999999999</v>
      </c>
      <c r="B89" s="5">
        <f>EnergyLJ($A89,$C$2,$C$3,shape_factors!B$2,$C$4,shape_factors!B$3)</f>
        <v>-3.2255125321931429E-2</v>
      </c>
      <c r="C89" s="5">
        <f>EnergyLJ($A89,$C$2,$C$3,shape_factors!C$2,$C$4,shape_factors!C$3)</f>
        <v>-1.0543063045633447E-2</v>
      </c>
      <c r="D89" s="5">
        <f>EnergyLJ($A89,$C$2,$C$3,shape_factors!D$2,$C$4,shape_factors!D$3)</f>
        <v>-4.2772565701640883E-2</v>
      </c>
      <c r="E89" s="5">
        <f>EnergyLJ($A89,$C$2,$C$3,shape_factors!E$2,$C$4,shape_factors!E$3)</f>
        <v>-1.6607511036783363E-2</v>
      </c>
      <c r="F89" s="5">
        <f>EnergyLJ($A89,$C$2,$C$3,shape_factors!F$2,$C$4,shape_factors!F$3)</f>
        <v>-9.4866408525320495E-3</v>
      </c>
      <c r="G89" s="5">
        <f>EnergyLJ($A89,$C$2,$C$3,shape_factors!G$2,$C$4,shape_factors!G$3)</f>
        <v>-1.175046613695676E-2</v>
      </c>
      <c r="H89" s="5">
        <f>EnergyLJ($A89,$C$2,$C$3,shape_factors!H$2,$C$4,shape_factors!H$3)</f>
        <v>-0.17782505555223416</v>
      </c>
      <c r="I89" s="5">
        <f>EnergyLJ($A89,$C$2,$C$3,shape_factors!I$2,$C$4,shape_factors!I$3)</f>
        <v>-2.0063894258312901E-2</v>
      </c>
      <c r="J89" s="5">
        <f>EnergyLJ($A89,$C$2,$C$3,shape_factors!J$2,$C$4,shape_factors!J$3)</f>
        <v>-5.995602955750007E-3</v>
      </c>
      <c r="K89" s="5">
        <f>EnergyLJ($A89,$C$2,$C$3,shape_factors!K$2,$C$4,shape_factors!K$3)</f>
        <v>-6.8294230503079499E-3</v>
      </c>
      <c r="L89" s="5">
        <f>EnergyLJ($A89,$C$2,$C$3,shape_factors!L$2,$C$4,shape_factors!L$3)</f>
        <v>-8.5418093670047573E-3</v>
      </c>
      <c r="M89" s="5">
        <f>EnergyLJ($A89,$C$2,$C$3,shape_factors!M$2,$C$4,shape_factors!M$3)</f>
        <v>-6.1751731244517553E-3</v>
      </c>
      <c r="N89" s="5">
        <f>EnergyLJ($A89,$C$2,$C$3,shape_factors!N$2,$C$4,shape_factors!N$3)</f>
        <v>-4.5877994374799629E-3</v>
      </c>
      <c r="O89" s="5">
        <f>EnergyLJ($A89,$C$2,$C$3,shape_factors!O$2,$C$4,shape_factors!O$3)</f>
        <v>-4.2748528154315079E-3</v>
      </c>
      <c r="P89" s="5">
        <f>EnergyLJ($A89,$C$2,$C$3,shape_factors!P$2,$C$4,shape_factors!P$3)</f>
        <v>-4.686164309023637E-3</v>
      </c>
      <c r="Q89" s="5">
        <f>EnergyLJ($A89,$C$2,$C$3,shape_factors!Q$2,$C$4,shape_factors!Q$3)</f>
        <v>-4.8208920751499308E-3</v>
      </c>
      <c r="R89" s="5">
        <f>EnergyLJ($A89,$C$2,$C$3,shape_factors!R$2,$C$4,shape_factors!R$3)</f>
        <v>-9.6791913342623975E-3</v>
      </c>
      <c r="S89" s="5">
        <f>EnergyLJ($A89,$C$2,$C$3,shape_factors!S$2,$C$4,shape_factors!S$3)</f>
        <v>-5.3726169361697652E-3</v>
      </c>
      <c r="T89" s="5">
        <f>EnergyLJ($A89,$C$2,$C$3,shape_factors!T$2,$C$4,shape_factors!T$3)</f>
        <v>-4.0861907622022665E-3</v>
      </c>
      <c r="U89" s="5">
        <f>EnergyLJ($A89,$C$2,$C$3,shape_factors!U$2,$C$4,shape_factors!U$3)</f>
        <v>-9.5713441841555752E-3</v>
      </c>
    </row>
    <row r="90" spans="1:21" x14ac:dyDescent="0.25">
      <c r="A90">
        <v>18.600000000000001</v>
      </c>
      <c r="B90" s="5">
        <f>EnergyLJ($A90,$C$2,$C$3,shape_factors!B$2,$C$4,shape_factors!B$3)</f>
        <v>-3.0244103305462487E-2</v>
      </c>
      <c r="C90" s="5">
        <f>EnergyLJ($A90,$C$2,$C$3,shape_factors!C$2,$C$4,shape_factors!C$3)</f>
        <v>-9.8824559615901236E-3</v>
      </c>
      <c r="D90" s="5">
        <f>EnergyLJ($A90,$C$2,$C$3,shape_factors!D$2,$C$4,shape_factors!D$3)</f>
        <v>-4.0112346750894728E-2</v>
      </c>
      <c r="E90" s="5">
        <f>EnergyLJ($A90,$C$2,$C$3,shape_factors!E$2,$C$4,shape_factors!E$3)</f>
        <v>-1.5568347837644509E-2</v>
      </c>
      <c r="F90" s="5">
        <f>EnergyLJ($A90,$C$2,$C$3,shape_factors!F$2,$C$4,shape_factors!F$3)</f>
        <v>-8.8920852483440754E-3</v>
      </c>
      <c r="G90" s="5">
        <f>EnergyLJ($A90,$C$2,$C$3,shape_factors!G$2,$C$4,shape_factors!G$3)</f>
        <v>-1.1014406574995346E-2</v>
      </c>
      <c r="H90" s="5">
        <f>EnergyLJ($A90,$C$2,$C$3,shape_factors!H$2,$C$4,shape_factors!H$3)</f>
        <v>-0.16714169727555114</v>
      </c>
      <c r="I90" s="5">
        <f>EnergyLJ($A90,$C$2,$C$3,shape_factors!I$2,$C$4,shape_factors!I$3)</f>
        <v>-1.8809447815899608E-2</v>
      </c>
      <c r="J90" s="5">
        <f>EnergyLJ($A90,$C$2,$C$3,shape_factors!J$2,$C$4,shape_factors!J$3)</f>
        <v>-5.6195454165048385E-3</v>
      </c>
      <c r="K90" s="5">
        <f>EnergyLJ($A90,$C$2,$C$3,shape_factors!K$2,$C$4,shape_factors!K$3)</f>
        <v>-6.4011467592189515E-3</v>
      </c>
      <c r="L90" s="5">
        <f>EnergyLJ($A90,$C$2,$C$3,shape_factors!L$2,$C$4,shape_factors!L$3)</f>
        <v>-8.0063550372611869E-3</v>
      </c>
      <c r="M90" s="5">
        <f>EnergyLJ($A90,$C$2,$C$3,shape_factors!M$2,$C$4,shape_factors!M$3)</f>
        <v>-5.7878681763927561E-3</v>
      </c>
      <c r="N90" s="5">
        <f>EnergyLJ($A90,$C$2,$C$3,shape_factors!N$2,$C$4,shape_factors!N$3)</f>
        <v>-4.2999514874233697E-3</v>
      </c>
      <c r="O90" s="5">
        <f>EnergyLJ($A90,$C$2,$C$3,shape_factors!O$2,$C$4,shape_factors!O$3)</f>
        <v>-4.0066209502062581E-3</v>
      </c>
      <c r="P90" s="5">
        <f>EnergyLJ($A90,$C$2,$C$3,shape_factors!P$2,$C$4,shape_factors!P$3)</f>
        <v>-4.3921512338885478E-3</v>
      </c>
      <c r="Q90" s="5">
        <f>EnergyLJ($A90,$C$2,$C$3,shape_factors!Q$2,$C$4,shape_factors!Q$3)</f>
        <v>-4.5184352341437299E-3</v>
      </c>
      <c r="R90" s="5">
        <f>EnergyLJ($A90,$C$2,$C$3,shape_factors!R$2,$C$4,shape_factors!R$3)</f>
        <v>-9.0725943868227073E-3</v>
      </c>
      <c r="S90" s="5">
        <f>EnergyLJ($A90,$C$2,$C$3,shape_factors!S$2,$C$4,shape_factors!S$3)</f>
        <v>-5.0355873008876935E-3</v>
      </c>
      <c r="T90" s="5">
        <f>EnergyLJ($A90,$C$2,$C$3,shape_factors!T$2,$C$4,shape_factors!T$3)</f>
        <v>-3.829785924994244E-3</v>
      </c>
      <c r="U90" s="5">
        <f>EnergyLJ($A90,$C$2,$C$3,shape_factors!U$2,$C$4,shape_factors!U$3)</f>
        <v>-8.9714914398414738E-3</v>
      </c>
    </row>
    <row r="91" spans="1:21" x14ac:dyDescent="0.25">
      <c r="A91">
        <v>18.8</v>
      </c>
      <c r="B91" s="5">
        <f>EnergyLJ($A91,$C$2,$C$3,shape_factors!B$2,$C$4,shape_factors!B$3)</f>
        <v>-2.8377130157665378E-2</v>
      </c>
      <c r="C91" s="5">
        <f>EnergyLJ($A91,$C$2,$C$3,shape_factors!C$2,$C$4,shape_factors!C$3)</f>
        <v>-9.2695631924957361E-3</v>
      </c>
      <c r="D91" s="5">
        <f>EnergyLJ($A91,$C$2,$C$3,shape_factors!D$2,$C$4,shape_factors!D$3)</f>
        <v>-3.7641889416472965E-2</v>
      </c>
      <c r="E91" s="5">
        <f>EnergyLJ($A91,$C$2,$C$3,shape_factors!E$2,$C$4,shape_factors!E$3)</f>
        <v>-1.4604069572470563E-2</v>
      </c>
      <c r="F91" s="5">
        <f>EnergyLJ($A91,$C$2,$C$3,shape_factors!F$2,$C$4,shape_factors!F$3)</f>
        <v>-8.3404902234993569E-3</v>
      </c>
      <c r="G91" s="5">
        <f>EnergyLJ($A91,$C$2,$C$3,shape_factors!G$2,$C$4,shape_factors!G$3)</f>
        <v>-1.0331486974125009E-2</v>
      </c>
      <c r="H91" s="5">
        <f>EnergyLJ($A91,$C$2,$C$3,shape_factors!H$2,$C$4,shape_factors!H$3)</f>
        <v>-0.15717487936786345</v>
      </c>
      <c r="I91" s="5">
        <f>EnergyLJ($A91,$C$2,$C$3,shape_factors!I$2,$C$4,shape_factors!I$3)</f>
        <v>-1.7645281254877819E-2</v>
      </c>
      <c r="J91" s="5">
        <f>EnergyLJ($A91,$C$2,$C$3,shape_factors!J$2,$C$4,shape_factors!J$3)</f>
        <v>-5.2706960046487537E-3</v>
      </c>
      <c r="K91" s="5">
        <f>EnergyLJ($A91,$C$2,$C$3,shape_factors!K$2,$C$4,shape_factors!K$3)</f>
        <v>-6.0038470398823375E-3</v>
      </c>
      <c r="L91" s="5">
        <f>EnergyLJ($A91,$C$2,$C$3,shape_factors!L$2,$C$4,shape_factors!L$3)</f>
        <v>-7.5096045256098842E-3</v>
      </c>
      <c r="M91" s="5">
        <f>EnergyLJ($A91,$C$2,$C$3,shape_factors!M$2,$C$4,shape_factors!M$3)</f>
        <v>-5.428583241441352E-3</v>
      </c>
      <c r="N91" s="5">
        <f>EnergyLJ($A91,$C$2,$C$3,shape_factors!N$2,$C$4,shape_factors!N$3)</f>
        <v>-4.0329405294721983E-3</v>
      </c>
      <c r="O91" s="5">
        <f>EnergyLJ($A91,$C$2,$C$3,shape_factors!O$2,$C$4,shape_factors!O$3)</f>
        <v>-3.7578083486292692E-3</v>
      </c>
      <c r="P91" s="5">
        <f>EnergyLJ($A91,$C$2,$C$3,shape_factors!P$2,$C$4,shape_factors!P$3)</f>
        <v>-4.1194206591997446E-3</v>
      </c>
      <c r="Q91" s="5">
        <f>EnergyLJ($A91,$C$2,$C$3,shape_factors!Q$2,$C$4,shape_factors!Q$3)</f>
        <v>-4.2378710093759712E-3</v>
      </c>
      <c r="R91" s="5">
        <f>EnergyLJ($A91,$C$2,$C$3,shape_factors!R$2,$C$4,shape_factors!R$3)</f>
        <v>-8.5098249207007735E-3</v>
      </c>
      <c r="S91" s="5">
        <f>EnergyLJ($A91,$C$2,$C$3,shape_factors!S$2,$C$4,shape_factors!S$3)</f>
        <v>-4.7229477443317836E-3</v>
      </c>
      <c r="T91" s="5">
        <f>EnergyLJ($A91,$C$2,$C$3,shape_factors!T$2,$C$4,shape_factors!T$3)</f>
        <v>-3.5919454073020381E-3</v>
      </c>
      <c r="U91" s="5">
        <f>EnergyLJ($A91,$C$2,$C$3,shape_factors!U$2,$C$4,shape_factors!U$3)</f>
        <v>-8.4149806516983679E-3</v>
      </c>
    </row>
    <row r="92" spans="1:21" x14ac:dyDescent="0.25">
      <c r="A92">
        <v>19</v>
      </c>
      <c r="B92" s="5">
        <f>EnergyLJ($A92,$C$2,$C$3,shape_factors!B$2,$C$4,shape_factors!B$3)</f>
        <v>-2.6642619323731121E-2</v>
      </c>
      <c r="C92" s="5">
        <f>EnergyLJ($A92,$C$2,$C$3,shape_factors!C$2,$C$4,shape_factors!C$3)</f>
        <v>-8.7004954305640227E-3</v>
      </c>
      <c r="D92" s="5">
        <f>EnergyLJ($A92,$C$2,$C$3,shape_factors!D$2,$C$4,shape_factors!D$3)</f>
        <v>-3.534603287869293E-2</v>
      </c>
      <c r="E92" s="5">
        <f>EnergyLJ($A92,$C$2,$C$3,shape_factors!E$2,$C$4,shape_factors!E$3)</f>
        <v>-1.3708594344034496E-2</v>
      </c>
      <c r="F92" s="5">
        <f>EnergyLJ($A92,$C$2,$C$3,shape_factors!F$2,$C$4,shape_factors!F$3)</f>
        <v>-7.828351761754641E-3</v>
      </c>
      <c r="G92" s="5">
        <f>EnergyLJ($A92,$C$2,$C$3,shape_factors!G$2,$C$4,shape_factors!G$3)</f>
        <v>-9.6973788824792663E-3</v>
      </c>
      <c r="H92" s="5">
        <f>EnergyLJ($A92,$C$2,$C$3,shape_factors!H$2,$C$4,shape_factors!H$3)</f>
        <v>-0.14787330248475233</v>
      </c>
      <c r="I92" s="5">
        <f>EnergyLJ($A92,$C$2,$C$3,shape_factors!I$2,$C$4,shape_factors!I$3)</f>
        <v>-1.6564077733132225E-2</v>
      </c>
      <c r="J92" s="5">
        <f>EnergyLJ($A92,$C$2,$C$3,shape_factors!J$2,$C$4,shape_factors!J$3)</f>
        <v>-4.9468309542809175E-3</v>
      </c>
      <c r="K92" s="5">
        <f>EnergyLJ($A92,$C$2,$C$3,shape_factors!K$2,$C$4,shape_factors!K$3)</f>
        <v>-5.6349933656632857E-3</v>
      </c>
      <c r="L92" s="5">
        <f>EnergyLJ($A92,$C$2,$C$3,shape_factors!L$2,$C$4,shape_factors!L$3)</f>
        <v>-7.0483992460063137E-3</v>
      </c>
      <c r="M92" s="5">
        <f>EnergyLJ($A92,$C$2,$C$3,shape_factors!M$2,$C$4,shape_factors!M$3)</f>
        <v>-5.0950284384074342E-3</v>
      </c>
      <c r="N92" s="5">
        <f>EnergyLJ($A92,$C$2,$C$3,shape_factors!N$2,$C$4,shape_factors!N$3)</f>
        <v>-3.7850621157808008E-3</v>
      </c>
      <c r="O92" s="5">
        <f>EnergyLJ($A92,$C$2,$C$3,shape_factors!O$2,$C$4,shape_factors!O$3)</f>
        <v>-3.5268262411674439E-3</v>
      </c>
      <c r="P92" s="5">
        <f>EnergyLJ($A92,$C$2,$C$3,shape_factors!P$2,$C$4,shape_factors!P$3)</f>
        <v>-3.8662317950804519E-3</v>
      </c>
      <c r="Q92" s="5">
        <f>EnergyLJ($A92,$C$2,$C$3,shape_factors!Q$2,$C$4,shape_factors!Q$3)</f>
        <v>-3.9774088480600042E-3</v>
      </c>
      <c r="R92" s="5">
        <f>EnergyLJ($A92,$C$2,$C$3,shape_factors!R$2,$C$4,shape_factors!R$3)</f>
        <v>-7.9873086201752048E-3</v>
      </c>
      <c r="S92" s="5">
        <f>EnergyLJ($A92,$C$2,$C$3,shape_factors!S$2,$C$4,shape_factors!S$3)</f>
        <v>-4.4327040957980726E-3</v>
      </c>
      <c r="T92" s="5">
        <f>EnergyLJ($A92,$C$2,$C$3,shape_factors!T$2,$C$4,shape_factors!T$3)</f>
        <v>-3.3711502186632553E-3</v>
      </c>
      <c r="U92" s="5">
        <f>EnergyLJ($A92,$C$2,$C$3,shape_factors!U$2,$C$4,shape_factors!U$3)</f>
        <v>-7.8982768745602758E-3</v>
      </c>
    </row>
    <row r="93" spans="1:21" x14ac:dyDescent="0.25">
      <c r="A93">
        <v>19.2</v>
      </c>
      <c r="B93" s="5">
        <f>EnergyLJ($A93,$C$2,$C$3,shape_factors!B$2,$C$4,shape_factors!B$3)</f>
        <v>-2.5030011205898841E-2</v>
      </c>
      <c r="C93" s="5">
        <f>EnergyLJ($A93,$C$2,$C$3,shape_factors!C$2,$C$4,shape_factors!C$3)</f>
        <v>-8.171715273875545E-3</v>
      </c>
      <c r="D93" s="5">
        <f>EnergyLJ($A93,$C$2,$C$3,shape_factors!D$2,$C$4,shape_factors!D$3)</f>
        <v>-3.3210945735311359E-2</v>
      </c>
      <c r="E93" s="5">
        <f>EnergyLJ($A93,$C$2,$C$3,shape_factors!E$2,$C$4,shape_factors!E$3)</f>
        <v>-1.2876387493141654E-2</v>
      </c>
      <c r="F93" s="5">
        <f>EnergyLJ($A93,$C$2,$C$3,shape_factors!F$2,$C$4,shape_factors!F$3)</f>
        <v>-7.3524831942869415E-3</v>
      </c>
      <c r="G93" s="5">
        <f>EnergyLJ($A93,$C$2,$C$3,shape_factors!G$2,$C$4,shape_factors!G$3)</f>
        <v>-9.1081450587483653E-3</v>
      </c>
      <c r="H93" s="5">
        <f>EnergyLJ($A93,$C$2,$C$3,shape_factors!H$2,$C$4,shape_factors!H$3)</f>
        <v>-0.13918932898183284</v>
      </c>
      <c r="I93" s="5">
        <f>EnergyLJ($A93,$C$2,$C$3,shape_factors!I$2,$C$4,shape_factors!I$3)</f>
        <v>-1.555917663660825E-2</v>
      </c>
      <c r="J93" s="5">
        <f>EnergyLJ($A93,$C$2,$C$3,shape_factors!J$2,$C$4,shape_factors!J$3)</f>
        <v>-4.6459285291424084E-3</v>
      </c>
      <c r="K93" s="5">
        <f>EnergyLJ($A93,$C$2,$C$3,shape_factors!K$2,$C$4,shape_factors!K$3)</f>
        <v>-5.2922849382834999E-3</v>
      </c>
      <c r="L93" s="5">
        <f>EnergyLJ($A93,$C$2,$C$3,shape_factors!L$2,$C$4,shape_factors!L$3)</f>
        <v>-6.6198669186805278E-3</v>
      </c>
      <c r="M93" s="5">
        <f>EnergyLJ($A93,$C$2,$C$3,shape_factors!M$2,$C$4,shape_factors!M$3)</f>
        <v>-4.7851218891280679E-3</v>
      </c>
      <c r="N93" s="5">
        <f>EnergyLJ($A93,$C$2,$C$3,shape_factors!N$2,$C$4,shape_factors!N$3)</f>
        <v>-3.5547668412325801E-3</v>
      </c>
      <c r="O93" s="5">
        <f>EnergyLJ($A93,$C$2,$C$3,shape_factors!O$2,$C$4,shape_factors!O$3)</f>
        <v>-3.3122304184287393E-3</v>
      </c>
      <c r="P93" s="5">
        <f>EnergyLJ($A93,$C$2,$C$3,shape_factors!P$2,$C$4,shape_factors!P$3)</f>
        <v>-3.63100218642464E-3</v>
      </c>
      <c r="Q93" s="5">
        <f>EnergyLJ($A93,$C$2,$C$3,shape_factors!Q$2,$C$4,shape_factors!Q$3)</f>
        <v>-3.735421039006607E-3</v>
      </c>
      <c r="R93" s="5">
        <f>EnergyLJ($A93,$C$2,$C$3,shape_factors!R$2,$C$4,shape_factors!R$3)</f>
        <v>-7.5017948275138274E-3</v>
      </c>
      <c r="S93" s="5">
        <f>EnergyLJ($A93,$C$2,$C$3,shape_factors!S$2,$C$4,shape_factors!S$3)</f>
        <v>-4.1630434556334528E-3</v>
      </c>
      <c r="T93" s="5">
        <f>EnergyLJ($A93,$C$2,$C$3,shape_factors!T$2,$C$4,shape_factors!T$3)</f>
        <v>-3.1660196026417568E-3</v>
      </c>
      <c r="U93" s="5">
        <f>EnergyLJ($A93,$C$2,$C$3,shape_factors!U$2,$C$4,shape_factors!U$3)</f>
        <v>-7.4181652873563072E-3</v>
      </c>
    </row>
    <row r="94" spans="1:21" x14ac:dyDescent="0.25">
      <c r="A94">
        <v>19.399999999999999</v>
      </c>
      <c r="B94" s="5">
        <f>EnergyLJ($A94,$C$2,$C$3,shape_factors!B$2,$C$4,shape_factors!B$3)</f>
        <v>-2.3529674542817305E-2</v>
      </c>
      <c r="C94" s="5">
        <f>EnergyLJ($A94,$C$2,$C$3,shape_factors!C$2,$C$4,shape_factors!C$3)</f>
        <v>-7.6800023562667973E-3</v>
      </c>
      <c r="D94" s="5">
        <f>EnergyLJ($A94,$C$2,$C$3,shape_factors!D$2,$C$4,shape_factors!D$3)</f>
        <v>-3.1224000482918724E-2</v>
      </c>
      <c r="E94" s="5">
        <f>EnergyLJ($A94,$C$2,$C$3,shape_factors!E$2,$C$4,shape_factors!E$3)</f>
        <v>-1.2102407821319014E-2</v>
      </c>
      <c r="F94" s="5">
        <f>EnergyLJ($A94,$C$2,$C$3,shape_factors!F$2,$C$4,shape_factors!F$3)</f>
        <v>-6.9099837095158044E-3</v>
      </c>
      <c r="G94" s="5">
        <f>EnergyLJ($A94,$C$2,$C$3,shape_factors!G$2,$C$4,shape_factors!G$3)</f>
        <v>-8.5602007703732743E-3</v>
      </c>
      <c r="H94" s="5">
        <f>EnergyLJ($A94,$C$2,$C$3,shape_factors!H$2,$C$4,shape_factors!H$3)</f>
        <v>-0.13107876386013606</v>
      </c>
      <c r="I94" s="5">
        <f>EnergyLJ($A94,$C$2,$C$3,shape_factors!I$2,$C$4,shape_factors!I$3)</f>
        <v>-1.4624509405504664E-2</v>
      </c>
      <c r="J94" s="5">
        <f>EnergyLJ($A94,$C$2,$C$3,shape_factors!J$2,$C$4,shape_factors!J$3)</f>
        <v>-4.3661488829410339E-3</v>
      </c>
      <c r="K94" s="5">
        <f>EnergyLJ($A94,$C$2,$C$3,shape_factors!K$2,$C$4,shape_factors!K$3)</f>
        <v>-4.9736278118776654E-3</v>
      </c>
      <c r="L94" s="5">
        <f>EnergyLJ($A94,$C$2,$C$3,shape_factors!L$2,$C$4,shape_factors!L$3)</f>
        <v>-6.2213931244787246E-3</v>
      </c>
      <c r="M94" s="5">
        <f>EnergyLJ($A94,$C$2,$C$3,shape_factors!M$2,$C$4,shape_factors!M$3)</f>
        <v>-4.4969689881773009E-3</v>
      </c>
      <c r="N94" s="5">
        <f>EnergyLJ($A94,$C$2,$C$3,shape_factors!N$2,$C$4,shape_factors!N$3)</f>
        <v>-3.3406448594958198E-3</v>
      </c>
      <c r="O94" s="5">
        <f>EnergyLJ($A94,$C$2,$C$3,shape_factors!O$2,$C$4,shape_factors!O$3)</f>
        <v>-3.1127067882745973E-3</v>
      </c>
      <c r="P94" s="5">
        <f>EnergyLJ($A94,$C$2,$C$3,shape_factors!P$2,$C$4,shape_factors!P$3)</f>
        <v>-3.412291902188746E-3</v>
      </c>
      <c r="Q94" s="5">
        <f>EnergyLJ($A94,$C$2,$C$3,shape_factors!Q$2,$C$4,shape_factors!Q$3)</f>
        <v>-3.5104264547119613E-3</v>
      </c>
      <c r="R94" s="5">
        <f>EnergyLJ($A94,$C$2,$C$3,shape_factors!R$2,$C$4,shape_factors!R$3)</f>
        <v>-7.0503244348448227E-3</v>
      </c>
      <c r="S94" s="5">
        <f>EnergyLJ($A94,$C$2,$C$3,shape_factors!S$2,$C$4,shape_factors!S$3)</f>
        <v>-3.9123161102760278E-3</v>
      </c>
      <c r="T94" s="5">
        <f>EnergyLJ($A94,$C$2,$C$3,shape_factors!T$2,$C$4,shape_factors!T$3)</f>
        <v>-2.9752972226218741E-3</v>
      </c>
      <c r="U94" s="5">
        <f>EnergyLJ($A94,$C$2,$C$3,shape_factors!U$2,$C$4,shape_factors!U$3)</f>
        <v>-6.9717194309905899E-3</v>
      </c>
    </row>
    <row r="95" spans="1:21" x14ac:dyDescent="0.25">
      <c r="A95">
        <v>19.600000000000001</v>
      </c>
      <c r="B95" s="5">
        <f>EnergyLJ($A95,$C$2,$C$3,shape_factors!B$2,$C$4,shape_factors!B$3)</f>
        <v>-2.2132817880262806E-2</v>
      </c>
      <c r="C95" s="5">
        <f>EnergyLJ($A95,$C$2,$C$3,shape_factors!C$2,$C$4,shape_factors!C$3)</f>
        <v>-7.2224222181291511E-3</v>
      </c>
      <c r="D95" s="5">
        <f>EnergyLJ($A95,$C$2,$C$3,shape_factors!D$2,$C$4,shape_factors!D$3)</f>
        <v>-2.9373660497009211E-2</v>
      </c>
      <c r="E95" s="5">
        <f>EnergyLJ($A95,$C$2,$C$3,shape_factors!E$2,$C$4,shape_factors!E$3)</f>
        <v>-1.1382059513040303E-2</v>
      </c>
      <c r="F95" s="5">
        <f>EnergyLJ($A95,$C$2,$C$3,shape_factors!F$2,$C$4,shape_factors!F$3)</f>
        <v>-6.4982102481499953E-3</v>
      </c>
      <c r="G95" s="5">
        <f>EnergyLJ($A95,$C$2,$C$3,shape_factors!G$2,$C$4,shape_factors!G$3)</f>
        <v>-8.050279233914227E-3</v>
      </c>
      <c r="H95" s="5">
        <f>EnergyLJ($A95,$C$2,$C$3,shape_factors!H$2,$C$4,shape_factors!H$3)</f>
        <v>-0.12350063682897901</v>
      </c>
      <c r="I95" s="5">
        <f>EnergyLJ($A95,$C$2,$C$3,shape_factors!I$2,$C$4,shape_factors!I$3)</f>
        <v>-1.3754542112575714E-2</v>
      </c>
      <c r="J95" s="5">
        <f>EnergyLJ($A95,$C$2,$C$3,shape_factors!J$2,$C$4,shape_factors!J$3)</f>
        <v>-4.1058160990754492E-3</v>
      </c>
      <c r="K95" s="5">
        <f>EnergyLJ($A95,$C$2,$C$3,shape_factors!K$2,$C$4,shape_factors!K$3)</f>
        <v>-4.6771144886953225E-3</v>
      </c>
      <c r="L95" s="5">
        <f>EnergyLJ($A95,$C$2,$C$3,shape_factors!L$2,$C$4,shape_factors!L$3)</f>
        <v>-5.8505959226860119E-3</v>
      </c>
      <c r="M95" s="5">
        <f>EnergyLJ($A95,$C$2,$C$3,shape_factors!M$2,$C$4,shape_factors!M$3)</f>
        <v>-4.2288439151373768E-3</v>
      </c>
      <c r="N95" s="5">
        <f>EnergyLJ($A95,$C$2,$C$3,shape_factors!N$2,$C$4,shape_factors!N$3)</f>
        <v>-3.1414120790325384E-3</v>
      </c>
      <c r="O95" s="5">
        <f>EnergyLJ($A95,$C$2,$C$3,shape_factors!O$2,$C$4,shape_factors!O$3)</f>
        <v>-2.9270585008346031E-3</v>
      </c>
      <c r="P95" s="5">
        <f>EnergyLJ($A95,$C$2,$C$3,shape_factors!P$2,$C$4,shape_factors!P$3)</f>
        <v>-3.2087894397789312E-3</v>
      </c>
      <c r="Q95" s="5">
        <f>EnergyLJ($A95,$C$2,$C$3,shape_factors!Q$2,$C$4,shape_factors!Q$3)</f>
        <v>-3.3010760566151271E-3</v>
      </c>
      <c r="R95" s="5">
        <f>EnergyLJ($A95,$C$2,$C$3,shape_factors!R$2,$C$4,shape_factors!R$3)</f>
        <v>-6.6302012264013053E-3</v>
      </c>
      <c r="S95" s="5">
        <f>EnergyLJ($A95,$C$2,$C$3,shape_factors!S$2,$C$4,shape_factors!S$3)</f>
        <v>-3.6790194066108417E-3</v>
      </c>
      <c r="T95" s="5">
        <f>EnergyLJ($A95,$C$2,$C$3,shape_factors!T$2,$C$4,shape_factors!T$3)</f>
        <v>-2.7978388477739443E-3</v>
      </c>
      <c r="U95" s="5">
        <f>EnergyLJ($A95,$C$2,$C$3,shape_factors!U$2,$C$4,shape_factors!U$3)</f>
        <v>-6.5562728601233529E-3</v>
      </c>
    </row>
    <row r="96" spans="1:21" x14ac:dyDescent="0.25">
      <c r="A96">
        <v>19.8</v>
      </c>
      <c r="B96" s="5">
        <f>EnergyLJ($A96,$C$2,$C$3,shape_factors!B$2,$C$4,shape_factors!B$3)</f>
        <v>-2.0831410053492226E-2</v>
      </c>
      <c r="C96" s="5">
        <f>EnergyLJ($A96,$C$2,$C$3,shape_factors!C$2,$C$4,shape_factors!C$3)</f>
        <v>-6.7962984880027026E-3</v>
      </c>
      <c r="D96" s="5">
        <f>EnergyLJ($A96,$C$2,$C$3,shape_factors!D$2,$C$4,shape_factors!D$3)</f>
        <v>-2.764937823303985E-2</v>
      </c>
      <c r="E96" s="5">
        <f>EnergyLJ($A96,$C$2,$C$3,shape_factors!E$2,$C$4,shape_factors!E$3)</f>
        <v>-1.0711149113672434E-2</v>
      </c>
      <c r="F96" s="5">
        <f>EnergyLJ($A96,$C$2,$C$3,shape_factors!F$2,$C$4,shape_factors!F$3)</f>
        <v>-6.114752393098985E-3</v>
      </c>
      <c r="G96" s="5">
        <f>EnergyLJ($A96,$C$2,$C$3,shape_factors!G$2,$C$4,shape_factors!G$3)</f>
        <v>-7.5754007229588442E-3</v>
      </c>
      <c r="H96" s="5">
        <f>EnergyLJ($A96,$C$2,$C$3,shape_factors!H$2,$C$4,shape_factors!H$3)</f>
        <v>-0.11641698904609442</v>
      </c>
      <c r="I96" s="5">
        <f>EnergyLJ($A96,$C$2,$C$3,shape_factors!I$2,$C$4,shape_factors!I$3)</f>
        <v>-1.2944224039051634E-2</v>
      </c>
      <c r="J96" s="5">
        <f>EnergyLJ($A96,$C$2,$C$3,shape_factors!J$2,$C$4,shape_factors!J$3)</f>
        <v>-3.8634021560838396E-3</v>
      </c>
      <c r="K96" s="5">
        <f>EnergyLJ($A96,$C$2,$C$3,shape_factors!K$2,$C$4,shape_factors!K$3)</f>
        <v>-4.401005699386955E-3</v>
      </c>
      <c r="L96" s="5">
        <f>EnergyLJ($A96,$C$2,$C$3,shape_factors!L$2,$C$4,shape_factors!L$3)</f>
        <v>-5.5053031781600341E-3</v>
      </c>
      <c r="M96" s="5">
        <f>EnergyLJ($A96,$C$2,$C$3,shape_factors!M$2,$C$4,shape_factors!M$3)</f>
        <v>-3.9791731285274221E-3</v>
      </c>
      <c r="N96" s="5">
        <f>EnergyLJ($A96,$C$2,$C$3,shape_factors!N$2,$C$4,shape_factors!N$3)</f>
        <v>-2.9558978428056129E-3</v>
      </c>
      <c r="O96" s="5">
        <f>EnergyLJ($A96,$C$2,$C$3,shape_factors!O$2,$C$4,shape_factors!O$3)</f>
        <v>-2.7541944581118984E-3</v>
      </c>
      <c r="P96" s="5">
        <f>EnergyLJ($A96,$C$2,$C$3,shape_factors!P$2,$C$4,shape_factors!P$3)</f>
        <v>-3.019299144224291E-3</v>
      </c>
      <c r="Q96" s="5">
        <f>EnergyLJ($A96,$C$2,$C$3,shape_factors!Q$2,$C$4,shape_factors!Q$3)</f>
        <v>-3.1061399576719877E-3</v>
      </c>
      <c r="R96" s="5">
        <f>EnergyLJ($A96,$C$2,$C$3,shape_factors!R$2,$C$4,shape_factors!R$3)</f>
        <v>-6.2389662734778951E-3</v>
      </c>
      <c r="S96" s="5">
        <f>EnergyLJ($A96,$C$2,$C$3,shape_factors!S$2,$C$4,shape_factors!S$3)</f>
        <v>-3.4617833572131817E-3</v>
      </c>
      <c r="T96" s="5">
        <f>EnergyLJ($A96,$C$2,$C$3,shape_factors!T$2,$C$4,shape_factors!T$3)</f>
        <v>-2.6326013637141513E-3</v>
      </c>
      <c r="U96" s="5">
        <f>EnergyLJ($A96,$C$2,$C$3,shape_factors!U$2,$C$4,shape_factors!U$3)</f>
        <v>-6.169393815278386E-3</v>
      </c>
    </row>
    <row r="97" spans="1:21" x14ac:dyDescent="0.25">
      <c r="A97">
        <v>20</v>
      </c>
      <c r="B97" s="5">
        <f>EnergyLJ($A97,$C$2,$C$3,shape_factors!B$2,$C$4,shape_factors!B$3)</f>
        <v>-1.9618108719271901E-2</v>
      </c>
      <c r="C97" s="5">
        <f>EnergyLJ($A97,$C$2,$C$3,shape_factors!C$2,$C$4,shape_factors!C$3)</f>
        <v>-6.3991879973497078E-3</v>
      </c>
      <c r="D97" s="5">
        <f>EnergyLJ($A97,$C$2,$C$3,shape_factors!D$2,$C$4,shape_factors!D$3)</f>
        <v>-2.6041503498989784E-2</v>
      </c>
      <c r="E97" s="5">
        <f>EnergyLJ($A97,$C$2,$C$3,shape_factors!E$2,$C$4,shape_factors!E$3)</f>
        <v>-1.0085846995910273E-2</v>
      </c>
      <c r="F97" s="5">
        <f>EnergyLJ($A97,$C$2,$C$3,shape_factors!F$2,$C$4,shape_factors!F$3)</f>
        <v>-5.7574099117353016E-3</v>
      </c>
      <c r="G97" s="5">
        <f>EnergyLJ($A97,$C$2,$C$3,shape_factors!G$2,$C$4,shape_factors!G$3)</f>
        <v>-7.1328449265867259E-3</v>
      </c>
      <c r="H97" s="5">
        <f>EnergyLJ($A97,$C$2,$C$3,shape_factors!H$2,$C$4,shape_factors!H$3)</f>
        <v>-0.10979266701789434</v>
      </c>
      <c r="I97" s="5">
        <f>EnergyLJ($A97,$C$2,$C$3,shape_factors!I$2,$C$4,shape_factors!I$3)</f>
        <v>-1.218894158197536E-2</v>
      </c>
      <c r="J97" s="5">
        <f>EnergyLJ($A97,$C$2,$C$3,shape_factors!J$2,$C$4,shape_factors!J$3)</f>
        <v>-3.637512596645083E-3</v>
      </c>
      <c r="K97" s="5">
        <f>EnergyLJ($A97,$C$2,$C$3,shape_factors!K$2,$C$4,shape_factors!K$3)</f>
        <v>-4.1437141163535854E-3</v>
      </c>
      <c r="L97" s="5">
        <f>EnergyLJ($A97,$C$2,$C$3,shape_factors!L$2,$C$4,shape_factors!L$3)</f>
        <v>-5.1835322871733262E-3</v>
      </c>
      <c r="M97" s="5">
        <f>EnergyLJ($A97,$C$2,$C$3,shape_factors!M$2,$C$4,shape_factors!M$3)</f>
        <v>-3.7465206128649438E-3</v>
      </c>
      <c r="N97" s="5">
        <f>EnergyLJ($A97,$C$2,$C$3,shape_factors!N$2,$C$4,shape_factors!N$3)</f>
        <v>-2.7830339199241415E-3</v>
      </c>
      <c r="O97" s="5">
        <f>EnergyLJ($A97,$C$2,$C$3,shape_factors!O$2,$C$4,shape_factors!O$3)</f>
        <v>-2.5931190477722944E-3</v>
      </c>
      <c r="P97" s="5">
        <f>EnergyLJ($A97,$C$2,$C$3,shape_factors!P$2,$C$4,shape_factors!P$3)</f>
        <v>-2.8427299668185389E-3</v>
      </c>
      <c r="Q97" s="5">
        <f>EnergyLJ($A97,$C$2,$C$3,shape_factors!Q$2,$C$4,shape_factors!Q$3)</f>
        <v>-2.9244958620642755E-3</v>
      </c>
      <c r="R97" s="5">
        <f>EnergyLJ($A97,$C$2,$C$3,shape_factors!R$2,$C$4,shape_factors!R$3)</f>
        <v>-5.8743750331419408E-3</v>
      </c>
      <c r="S97" s="5">
        <f>EnergyLJ($A97,$C$2,$C$3,shape_factors!S$2,$C$4,shape_factors!S$3)</f>
        <v>-3.2593577764826352E-3</v>
      </c>
      <c r="T97" s="5">
        <f>EnergyLJ($A97,$C$2,$C$3,shape_factors!T$2,$C$4,shape_factors!T$3)</f>
        <v>-2.4786329543215269E-3</v>
      </c>
      <c r="U97" s="5">
        <f>EnergyLJ($A97,$C$2,$C$3,shape_factors!U$2,$C$4,shape_factors!U$3)</f>
        <v>-5.8088625699259534E-3</v>
      </c>
    </row>
    <row r="98" spans="1:21" x14ac:dyDescent="0.25">
      <c r="A98">
        <v>20.2</v>
      </c>
      <c r="B98" s="5">
        <f>EnergyLJ($A98,$C$2,$C$3,shape_factors!B$2,$C$4,shape_factors!B$3)</f>
        <v>-1.8486196080851655E-2</v>
      </c>
      <c r="C98" s="5">
        <f>EnergyLJ($A98,$C$2,$C$3,shape_factors!C$2,$C$4,shape_factors!C$3)</f>
        <v>-6.0288584966533181E-3</v>
      </c>
      <c r="D98" s="5">
        <f>EnergyLJ($A98,$C$2,$C$3,shape_factors!D$2,$C$4,shape_factors!D$3)</f>
        <v>-2.4541200766781918E-2</v>
      </c>
      <c r="E98" s="5">
        <f>EnergyLJ($A98,$C$2,$C$3,shape_factors!E$2,$C$4,shape_factors!E$3)</f>
        <v>-9.5026528145869815E-3</v>
      </c>
      <c r="F98" s="5">
        <f>EnergyLJ($A98,$C$2,$C$3,shape_factors!F$2,$C$4,shape_factors!F$3)</f>
        <v>-5.4241726496617017E-3</v>
      </c>
      <c r="G98" s="5">
        <f>EnergyLJ($A98,$C$2,$C$3,shape_factors!G$2,$C$4,shape_factors!G$3)</f>
        <v>-6.7201261917119856E-3</v>
      </c>
      <c r="H98" s="5">
        <f>EnergyLJ($A98,$C$2,$C$3,shape_factors!H$2,$C$4,shape_factors!H$3)</f>
        <v>-0.10359512532230608</v>
      </c>
      <c r="I98" s="5">
        <f>EnergyLJ($A98,$C$2,$C$3,shape_factors!I$2,$C$4,shape_factors!I$3)</f>
        <v>-1.1484476904410049E-2</v>
      </c>
      <c r="J98" s="5">
        <f>EnergyLJ($A98,$C$2,$C$3,shape_factors!J$2,$C$4,shape_factors!J$3)</f>
        <v>-3.4268737053201478E-3</v>
      </c>
      <c r="K98" s="5">
        <f>EnergyLJ($A98,$C$2,$C$3,shape_factors!K$2,$C$4,shape_factors!K$3)</f>
        <v>-3.9037897795252702E-3</v>
      </c>
      <c r="L98" s="5">
        <f>EnergyLJ($A98,$C$2,$C$3,shape_factors!L$2,$C$4,shape_factors!L$3)</f>
        <v>-4.8834720292762566E-3</v>
      </c>
      <c r="M98" s="5">
        <f>EnergyLJ($A98,$C$2,$C$3,shape_factors!M$2,$C$4,shape_factors!M$3)</f>
        <v>-3.5295746784606082E-3</v>
      </c>
      <c r="N98" s="5">
        <f>EnergyLJ($A98,$C$2,$C$3,shape_factors!N$2,$C$4,shape_factors!N$3)</f>
        <v>-2.6218446587184382E-3</v>
      </c>
      <c r="O98" s="5">
        <f>EnergyLJ($A98,$C$2,$C$3,shape_factors!O$2,$C$4,shape_factors!O$3)</f>
        <v>-2.4429229605771319E-3</v>
      </c>
      <c r="P98" s="5">
        <f>EnergyLJ($A98,$C$2,$C$3,shape_factors!P$2,$C$4,shape_factors!P$3)</f>
        <v>-2.6780854095972352E-3</v>
      </c>
      <c r="Q98" s="5">
        <f>EnergyLJ($A98,$C$2,$C$3,shape_factors!Q$2,$C$4,shape_factors!Q$3)</f>
        <v>-2.7551187241384081E-3</v>
      </c>
      <c r="R98" s="5">
        <f>EnergyLJ($A98,$C$2,$C$3,shape_factors!R$2,$C$4,shape_factors!R$3)</f>
        <v>-5.5343768441640951E-3</v>
      </c>
      <c r="S98" s="5">
        <f>EnergyLJ($A98,$C$2,$C$3,shape_factors!S$2,$C$4,shape_factors!S$3)</f>
        <v>-3.0706007723518658E-3</v>
      </c>
      <c r="T98" s="5">
        <f>EnergyLJ($A98,$C$2,$C$3,shape_factors!T$2,$C$4,shape_factors!T$3)</f>
        <v>-2.3350643202030203E-3</v>
      </c>
      <c r="U98" s="5">
        <f>EnergyLJ($A98,$C$2,$C$3,shape_factors!U$2,$C$4,shape_factors!U$3)</f>
        <v>-5.4726511491903313E-3</v>
      </c>
    </row>
    <row r="99" spans="1:21" x14ac:dyDescent="0.25">
      <c r="A99">
        <v>20.399999999999999</v>
      </c>
      <c r="B99" s="5">
        <f>EnergyLJ($A99,$C$2,$C$3,shape_factors!B$2,$C$4,shape_factors!B$3)</f>
        <v>-1.742952104301675E-2</v>
      </c>
      <c r="C99" s="5">
        <f>EnergyLJ($A99,$C$2,$C$3,shape_factors!C$2,$C$4,shape_factors!C$3)</f>
        <v>-5.6832686809089906E-3</v>
      </c>
      <c r="D99" s="5">
        <f>EnergyLJ($A99,$C$2,$C$3,shape_factors!D$2,$C$4,shape_factors!D$3)</f>
        <v>-2.3140374595951477E-2</v>
      </c>
      <c r="E99" s="5">
        <f>EnergyLJ($A99,$C$2,$C$3,shape_factors!E$2,$C$4,shape_factors!E$3)</f>
        <v>-8.9583645085972424E-3</v>
      </c>
      <c r="F99" s="5">
        <f>EnergyLJ($A99,$C$2,$C$3,shape_factors!F$2,$C$4,shape_factors!F$3)</f>
        <v>-5.1132025114586479E-3</v>
      </c>
      <c r="G99" s="5">
        <f>EnergyLJ($A99,$C$2,$C$3,shape_factors!G$2,$C$4,shape_factors!G$3)</f>
        <v>-6.3349713265514812E-3</v>
      </c>
      <c r="H99" s="5">
        <f>EnergyLJ($A99,$C$2,$C$3,shape_factors!H$2,$C$4,shape_factors!H$3)</f>
        <v>-9.7794239195346327E-2</v>
      </c>
      <c r="I99" s="5">
        <f>EnergyLJ($A99,$C$2,$C$3,shape_factors!I$2,$C$4,shape_factors!I$3)</f>
        <v>-1.0826970808278803E-2</v>
      </c>
      <c r="J99" s="5">
        <f>EnergyLJ($A99,$C$2,$C$3,shape_factors!J$2,$C$4,shape_factors!J$3)</f>
        <v>-3.2303210240109043E-3</v>
      </c>
      <c r="K99" s="5">
        <f>EnergyLJ($A99,$C$2,$C$3,shape_factors!K$2,$C$4,shape_factors!K$3)</f>
        <v>-3.6799070408051293E-3</v>
      </c>
      <c r="L99" s="5">
        <f>EnergyLJ($A99,$C$2,$C$3,shape_factors!L$2,$C$4,shape_factors!L$3)</f>
        <v>-4.6034663055183776E-3</v>
      </c>
      <c r="M99" s="5">
        <f>EnergyLJ($A99,$C$2,$C$3,shape_factors!M$2,$C$4,shape_factors!M$3)</f>
        <v>-3.3271361380044391E-3</v>
      </c>
      <c r="N99" s="5">
        <f>EnergyLJ($A99,$C$2,$C$3,shape_factors!N$2,$C$4,shape_factors!N$3)</f>
        <v>-2.4714381691961192E-3</v>
      </c>
      <c r="O99" s="5">
        <f>EnergyLJ($A99,$C$2,$C$3,shape_factors!O$2,$C$4,shape_factors!O$3)</f>
        <v>-2.3027749681740115E-3</v>
      </c>
      <c r="P99" s="5">
        <f>EnergyLJ($A99,$C$2,$C$3,shape_factors!P$2,$C$4,shape_factors!P$3)</f>
        <v>-2.5244545208552233E-3</v>
      </c>
      <c r="Q99" s="5">
        <f>EnergyLJ($A99,$C$2,$C$3,shape_factors!Q$2,$C$4,shape_factors!Q$3)</f>
        <v>-2.5970714880223528E-3</v>
      </c>
      <c r="R99" s="5">
        <f>EnergyLJ($A99,$C$2,$C$3,shape_factors!R$2,$C$4,shape_factors!R$3)</f>
        <v>-5.2170965506175239E-3</v>
      </c>
      <c r="S99" s="5">
        <f>EnergyLJ($A99,$C$2,$C$3,shape_factors!S$2,$C$4,shape_factors!S$3)</f>
        <v>-2.8944684397044741E-3</v>
      </c>
      <c r="T99" s="5">
        <f>EnergyLJ($A99,$C$2,$C$3,shape_factors!T$2,$C$4,shape_factors!T$3)</f>
        <v>-2.2011008158206585E-3</v>
      </c>
      <c r="U99" s="5">
        <f>EnergyLJ($A99,$C$2,$C$3,shape_factors!U$2,$C$4,shape_factors!U$3)</f>
        <v>-5.1589051534448038E-3</v>
      </c>
    </row>
    <row r="100" spans="1:21" x14ac:dyDescent="0.25">
      <c r="A100">
        <v>20.6</v>
      </c>
      <c r="B100" s="5">
        <f>EnergyLJ($A100,$C$2,$C$3,shape_factors!B$2,$C$4,shape_factors!B$3)</f>
        <v>-1.644244711796989E-2</v>
      </c>
      <c r="C100" s="5">
        <f>EnergyLJ($A100,$C$2,$C$3,shape_factors!C$2,$C$4,shape_factors!C$3)</f>
        <v>-5.3605502674365152E-3</v>
      </c>
      <c r="D100" s="5">
        <f>EnergyLJ($A100,$C$2,$C$3,shape_factors!D$2,$C$4,shape_factors!D$3)</f>
        <v>-2.1831602338801159E-2</v>
      </c>
      <c r="E100" s="5">
        <f>EnergyLJ($A100,$C$2,$C$3,shape_factors!E$2,$C$4,shape_factors!E$3)</f>
        <v>-8.4500504602959513E-3</v>
      </c>
      <c r="F100" s="5">
        <f>EnergyLJ($A100,$C$2,$C$3,shape_factors!F$2,$C$4,shape_factors!F$3)</f>
        <v>-4.8228172955812262E-3</v>
      </c>
      <c r="G100" s="5">
        <f>EnergyLJ($A100,$C$2,$C$3,shape_factors!G$2,$C$4,shape_factors!G$3)</f>
        <v>-5.9752996808572984E-3</v>
      </c>
      <c r="H100" s="5">
        <f>EnergyLJ($A100,$C$2,$C$3,shape_factors!H$2,$C$4,shape_factors!H$3)</f>
        <v>-9.2362127555856516E-2</v>
      </c>
      <c r="I100" s="5">
        <f>EnergyLJ($A100,$C$2,$C$3,shape_factors!I$2,$C$4,shape_factors!I$3)</f>
        <v>-1.0212889369693426E-2</v>
      </c>
      <c r="J100" s="5">
        <f>EnergyLJ($A100,$C$2,$C$3,shape_factors!J$2,$C$4,shape_factors!J$3)</f>
        <v>-3.0467890548231966E-3</v>
      </c>
      <c r="K100" s="5">
        <f>EnergyLJ($A100,$C$2,$C$3,shape_factors!K$2,$C$4,shape_factors!K$3)</f>
        <v>-3.4708528568208612E-3</v>
      </c>
      <c r="L100" s="5">
        <f>EnergyLJ($A100,$C$2,$C$3,shape_factors!L$2,$C$4,shape_factors!L$3)</f>
        <v>-4.3419995521652693E-3</v>
      </c>
      <c r="M100" s="5">
        <f>EnergyLJ($A100,$C$2,$C$3,shape_factors!M$2,$C$4,shape_factors!M$3)</f>
        <v>-3.1381077052957157E-3</v>
      </c>
      <c r="N100" s="5">
        <f>EnergyLJ($A100,$C$2,$C$3,shape_factors!N$2,$C$4,shape_factors!N$3)</f>
        <v>-2.330998418886988E-3</v>
      </c>
      <c r="O100" s="5">
        <f>EnergyLJ($A100,$C$2,$C$3,shape_factors!O$2,$C$4,shape_factors!O$3)</f>
        <v>-2.1719145529636844E-3</v>
      </c>
      <c r="P100" s="5">
        <f>EnergyLJ($A100,$C$2,$C$3,shape_factors!P$2,$C$4,shape_factors!P$3)</f>
        <v>-2.3810038232944387E-3</v>
      </c>
      <c r="Q100" s="5">
        <f>EnergyLJ($A100,$C$2,$C$3,shape_factors!Q$2,$C$4,shape_factors!Q$3)</f>
        <v>-2.4494967862042122E-3</v>
      </c>
      <c r="R100" s="5">
        <f>EnergyLJ($A100,$C$2,$C$3,shape_factors!R$2,$C$4,shape_factors!R$3)</f>
        <v>-4.92081801587108E-3</v>
      </c>
      <c r="S100" s="5">
        <f>EnergyLJ($A100,$C$2,$C$3,shape_factors!S$2,$C$4,shape_factors!S$3)</f>
        <v>-2.7300056203027295E-3</v>
      </c>
      <c r="T100" s="5">
        <f>EnergyLJ($A100,$C$2,$C$3,shape_factors!T$2,$C$4,shape_factors!T$3)</f>
        <v>-2.076015401661818E-3</v>
      </c>
      <c r="U100" s="5">
        <f>EnergyLJ($A100,$C$2,$C$3,shape_factors!U$2,$C$4,shape_factors!U$3)</f>
        <v>-4.8659274520069283E-3</v>
      </c>
    </row>
    <row r="101" spans="1:21" x14ac:dyDescent="0.25">
      <c r="A101">
        <v>20.8</v>
      </c>
      <c r="B101" s="5">
        <f>EnergyLJ($A101,$C$2,$C$3,shape_factors!B$2,$C$4,shape_factors!B$3)</f>
        <v>-1.5519805477207885E-2</v>
      </c>
      <c r="C101" s="5">
        <f>EnergyLJ($A101,$C$2,$C$3,shape_factors!C$2,$C$4,shape_factors!C$3)</f>
        <v>-5.0589918994091501E-3</v>
      </c>
      <c r="D101" s="5">
        <f>EnergyLJ($A101,$C$2,$C$3,shape_factors!D$2,$C$4,shape_factors!D$3)</f>
        <v>-2.0608073382690762E-2</v>
      </c>
      <c r="E101" s="5">
        <f>EnergyLJ($A101,$C$2,$C$3,shape_factors!E$2,$C$4,shape_factors!E$3)</f>
        <v>-7.9750244680457192E-3</v>
      </c>
      <c r="F101" s="5">
        <f>EnergyLJ($A101,$C$2,$C$3,shape_factors!F$2,$C$4,shape_factors!F$3)</f>
        <v>-4.5514761782561759E-3</v>
      </c>
      <c r="G101" s="5">
        <f>EnergyLJ($A101,$C$2,$C$3,shape_factors!G$2,$C$4,shape_factors!G$3)</f>
        <v>-5.6392052521329148E-3</v>
      </c>
      <c r="H101" s="5">
        <f>EnergyLJ($A101,$C$2,$C$3,shape_factors!H$2,$C$4,shape_factors!H$3)</f>
        <v>-8.7272986695754715E-2</v>
      </c>
      <c r="I101" s="5">
        <f>EnergyLJ($A101,$C$2,$C$3,shape_factors!I$2,$C$4,shape_factors!I$3)</f>
        <v>-9.6389939295142921E-3</v>
      </c>
      <c r="J101" s="5">
        <f>EnergyLJ($A101,$C$2,$C$3,shape_factors!J$2,$C$4,shape_factors!J$3)</f>
        <v>-2.8753020180706758E-3</v>
      </c>
      <c r="K101" s="5">
        <f>EnergyLJ($A101,$C$2,$C$3,shape_factors!K$2,$C$4,shape_factors!K$3)</f>
        <v>-3.2755162800347641E-3</v>
      </c>
      <c r="L101" s="5">
        <f>EnergyLJ($A101,$C$2,$C$3,shape_factors!L$2,$C$4,shape_factors!L$3)</f>
        <v>-4.0976836441867556E-3</v>
      </c>
      <c r="M101" s="5">
        <f>EnergyLJ($A101,$C$2,$C$3,shape_factors!M$2,$C$4,shape_factors!M$3)</f>
        <v>-2.9614844800296496E-3</v>
      </c>
      <c r="N101" s="5">
        <f>EnergyLJ($A101,$C$2,$C$3,shape_factors!N$2,$C$4,shape_factors!N$3)</f>
        <v>-2.1997781400664362E-3</v>
      </c>
      <c r="O101" s="5">
        <f>EnergyLJ($A101,$C$2,$C$3,shape_factors!O$2,$C$4,shape_factors!O$3)</f>
        <v>-2.049645294825098E-3</v>
      </c>
      <c r="P101" s="5">
        <f>EnergyLJ($A101,$C$2,$C$3,shape_factors!P$2,$C$4,shape_factors!P$3)</f>
        <v>-2.2469700706619833E-3</v>
      </c>
      <c r="Q101" s="5">
        <f>EnergyLJ($A101,$C$2,$C$3,shape_factors!Q$2,$C$4,shape_factors!Q$3)</f>
        <v>-2.3116094900191334E-3</v>
      </c>
      <c r="R101" s="5">
        <f>EnergyLJ($A101,$C$2,$C$3,shape_factors!R$2,$C$4,shape_factors!R$3)</f>
        <v>-4.643969317895986E-3</v>
      </c>
      <c r="S101" s="5">
        <f>EnergyLJ($A101,$C$2,$C$3,shape_factors!S$2,$C$4,shape_factors!S$3)</f>
        <v>-2.5763376102884792E-3</v>
      </c>
      <c r="T101" s="5">
        <f>EnergyLJ($A101,$C$2,$C$3,shape_factors!T$2,$C$4,shape_factors!T$3)</f>
        <v>-1.9591423203411218E-3</v>
      </c>
      <c r="U101" s="5">
        <f>EnergyLJ($A101,$C$2,$C$3,shape_factors!U$2,$C$4,shape_factors!U$3)</f>
        <v>-4.5921635400543673E-3</v>
      </c>
    </row>
    <row r="102" spans="1:21" x14ac:dyDescent="0.25">
      <c r="A102">
        <v>21</v>
      </c>
      <c r="B102" s="5">
        <f>EnergyLJ($A102,$C$2,$C$3,shape_factors!B$2,$C$4,shape_factors!B$3)</f>
        <v>-1.4656852610730679E-2</v>
      </c>
      <c r="C102" s="5">
        <f>EnergyLJ($A102,$C$2,$C$3,shape_factors!C$2,$C$4,shape_factors!C$3)</f>
        <v>-4.7770246751520969E-3</v>
      </c>
      <c r="D102" s="5">
        <f>EnergyLJ($A102,$C$2,$C$3,shape_factors!D$2,$C$4,shape_factors!D$3)</f>
        <v>-1.9463534262825051E-2</v>
      </c>
      <c r="E102" s="5">
        <f>EnergyLJ($A102,$C$2,$C$3,shape_factors!E$2,$C$4,shape_factors!E$3)</f>
        <v>-7.53082322738023E-3</v>
      </c>
      <c r="F102" s="5">
        <f>EnergyLJ($A102,$C$2,$C$3,shape_factors!F$2,$C$4,shape_factors!F$3)</f>
        <v>-4.2977666654322793E-3</v>
      </c>
      <c r="G102" s="5">
        <f>EnergyLJ($A102,$C$2,$C$3,shape_factors!G$2,$C$4,shape_factors!G$3)</f>
        <v>-5.3249405964522741E-3</v>
      </c>
      <c r="H102" s="5">
        <f>EnergyLJ($A102,$C$2,$C$3,shape_factors!H$2,$C$4,shape_factors!H$3)</f>
        <v>-8.2502934608590497E-2</v>
      </c>
      <c r="I102" s="5">
        <f>EnergyLJ($A102,$C$2,$C$3,shape_factors!I$2,$C$4,shape_factors!I$3)</f>
        <v>-9.102314078440376E-3</v>
      </c>
      <c r="J102" s="5">
        <f>EnergyLJ($A102,$C$2,$C$3,shape_factors!J$2,$C$4,shape_factors!J$3)</f>
        <v>-2.7149655489054087E-3</v>
      </c>
      <c r="K102" s="5">
        <f>EnergyLJ($A102,$C$2,$C$3,shape_factors!K$2,$C$4,shape_factors!K$3)</f>
        <v>-3.092879016079921E-3</v>
      </c>
      <c r="L102" s="5">
        <f>EnergyLJ($A102,$C$2,$C$3,shape_factors!L$2,$C$4,shape_factors!L$3)</f>
        <v>-3.8692461247594474E-3</v>
      </c>
      <c r="M102" s="5">
        <f>EnergyLJ($A102,$C$2,$C$3,shape_factors!M$2,$C$4,shape_factors!M$3)</f>
        <v>-2.796345398751243E-3</v>
      </c>
      <c r="N102" s="5">
        <f>EnergyLJ($A102,$C$2,$C$3,shape_factors!N$2,$C$4,shape_factors!N$3)</f>
        <v>-2.0770924585383141E-3</v>
      </c>
      <c r="O102" s="5">
        <f>EnergyLJ($A102,$C$2,$C$3,shape_factors!O$2,$C$4,shape_factors!O$3)</f>
        <v>-1.9353289308690503E-3</v>
      </c>
      <c r="P102" s="5">
        <f>EnergyLJ($A102,$C$2,$C$3,shape_factors!P$2,$C$4,shape_factors!P$3)</f>
        <v>-2.1216537411809172E-3</v>
      </c>
      <c r="Q102" s="5">
        <f>EnergyLJ($A102,$C$2,$C$3,shape_factors!Q$2,$C$4,shape_factors!Q$3)</f>
        <v>-2.1826900177772958E-3</v>
      </c>
      <c r="R102" s="5">
        <f>EnergyLJ($A102,$C$2,$C$3,shape_factors!R$2,$C$4,shape_factors!R$3)</f>
        <v>-4.3851094414586967E-3</v>
      </c>
      <c r="S102" s="5">
        <f>EnergyLJ($A102,$C$2,$C$3,shape_factors!S$2,$C$4,shape_factors!S$3)</f>
        <v>-2.4326627105060181E-3</v>
      </c>
      <c r="T102" s="5">
        <f>EnergyLJ($A102,$C$2,$C$3,shape_factors!T$2,$C$4,shape_factors!T$3)</f>
        <v>-1.8498714164249584E-3</v>
      </c>
      <c r="U102" s="5">
        <f>EnergyLJ($A102,$C$2,$C$3,shape_factors!U$2,$C$4,shape_factors!U$3)</f>
        <v>-4.3361883762824092E-3</v>
      </c>
    </row>
    <row r="103" spans="1:21" x14ac:dyDescent="0.25">
      <c r="A103">
        <v>21.2</v>
      </c>
      <c r="B103" s="5">
        <f>EnergyLJ($A103,$C$2,$C$3,shape_factors!B$2,$C$4,shape_factors!B$3)</f>
        <v>-1.3849232113732783E-2</v>
      </c>
      <c r="C103" s="5">
        <f>EnergyLJ($A103,$C$2,$C$3,shape_factors!C$2,$C$4,shape_factors!C$3)</f>
        <v>-4.5132091266049165E-3</v>
      </c>
      <c r="D103" s="5">
        <f>EnergyLJ($A103,$C$2,$C$3,shape_factors!D$2,$C$4,shape_factors!D$3)</f>
        <v>-1.8392239048671412E-2</v>
      </c>
      <c r="E103" s="5">
        <f>EnergyLJ($A103,$C$2,$C$3,shape_factors!E$2,$C$4,shape_factors!E$3)</f>
        <v>-7.1151860512212945E-3</v>
      </c>
      <c r="F103" s="5">
        <f>EnergyLJ($A103,$C$2,$C$3,shape_factors!F$2,$C$4,shape_factors!F$3)</f>
        <v>-4.060392853019075E-3</v>
      </c>
      <c r="G103" s="5">
        <f>EnergyLJ($A103,$C$2,$C$3,shape_factors!G$2,$C$4,shape_factors!G$3)</f>
        <v>-5.0309023482638885E-3</v>
      </c>
      <c r="H103" s="5">
        <f>EnergyLJ($A103,$C$2,$C$3,shape_factors!H$2,$C$4,shape_factors!H$3)</f>
        <v>-7.8029865745901997E-2</v>
      </c>
      <c r="I103" s="5">
        <f>EnergyLJ($A103,$C$2,$C$3,shape_factors!I$2,$C$4,shape_factors!I$3)</f>
        <v>-8.6001233169337721E-3</v>
      </c>
      <c r="J103" s="5">
        <f>EnergyLJ($A103,$C$2,$C$3,shape_factors!J$2,$C$4,shape_factors!J$3)</f>
        <v>-2.5649592298199785E-3</v>
      </c>
      <c r="K103" s="5">
        <f>EnergyLJ($A103,$C$2,$C$3,shape_factors!K$2,$C$4,shape_factors!K$3)</f>
        <v>-2.9220069307613855E-3</v>
      </c>
      <c r="L103" s="5">
        <f>EnergyLJ($A103,$C$2,$C$3,shape_factors!L$2,$C$4,shape_factors!L$3)</f>
        <v>-3.6555196162421852E-3</v>
      </c>
      <c r="M103" s="5">
        <f>EnergyLJ($A103,$C$2,$C$3,shape_factors!M$2,$C$4,shape_factors!M$3)</f>
        <v>-2.641845546237758E-3</v>
      </c>
      <c r="N103" s="5">
        <f>EnergyLJ($A103,$C$2,$C$3,shape_factors!N$2,$C$4,shape_factors!N$3)</f>
        <v>-1.9623131648005897E-3</v>
      </c>
      <c r="O103" s="5">
        <f>EnergyLJ($A103,$C$2,$C$3,shape_factors!O$2,$C$4,shape_factors!O$3)</f>
        <v>-1.8283800143310423E-3</v>
      </c>
      <c r="P103" s="5">
        <f>EnergyLJ($A103,$C$2,$C$3,shape_factors!P$2,$C$4,shape_factors!P$3)</f>
        <v>-2.004413186938666E-3</v>
      </c>
      <c r="Q103" s="5">
        <f>EnergyLJ($A103,$C$2,$C$3,shape_factors!Q$2,$C$4,shape_factors!Q$3)</f>
        <v>-2.0620783174290728E-3</v>
      </c>
      <c r="R103" s="5">
        <f>EnergyLJ($A103,$C$2,$C$3,shape_factors!R$2,$C$4,shape_factors!R$3)</f>
        <v>-4.1429163043512369E-3</v>
      </c>
      <c r="S103" s="5">
        <f>EnergyLJ($A103,$C$2,$C$3,shape_factors!S$2,$C$4,shape_factors!S$3)</f>
        <v>-2.2982455272840996E-3</v>
      </c>
      <c r="T103" s="5">
        <f>EnergyLJ($A103,$C$2,$C$3,shape_factors!T$2,$C$4,shape_factors!T$3)</f>
        <v>-1.7476430292847325E-3</v>
      </c>
      <c r="U103" s="5">
        <f>EnergyLJ($A103,$C$2,$C$3,shape_factors!U$2,$C$4,shape_factors!U$3)</f>
        <v>-4.0966945401809231E-3</v>
      </c>
    </row>
    <row r="104" spans="1:21" x14ac:dyDescent="0.25">
      <c r="A104">
        <v>21.4</v>
      </c>
      <c r="B104" s="5">
        <f>EnergyLJ($A104,$C$2,$C$3,shape_factors!B$2,$C$4,shape_factors!B$3)</f>
        <v>-1.3092940173180228E-2</v>
      </c>
      <c r="C104" s="5">
        <f>EnergyLJ($A104,$C$2,$C$3,shape_factors!C$2,$C$4,shape_factors!C$3)</f>
        <v>-4.2662234908029525E-3</v>
      </c>
      <c r="D104" s="5">
        <f>EnergyLJ($A104,$C$2,$C$3,shape_factors!D$2,$C$4,shape_factors!D$3)</f>
        <v>-1.7388904469680128E-2</v>
      </c>
      <c r="E104" s="5">
        <f>EnergyLJ($A104,$C$2,$C$3,shape_factors!E$2,$C$4,shape_factors!E$3)</f>
        <v>-6.7260365903404461E-3</v>
      </c>
      <c r="F104" s="5">
        <f>EnergyLJ($A104,$C$2,$C$3,shape_factors!F$2,$C$4,shape_factors!F$3)</f>
        <v>-3.8381648542055963E-3</v>
      </c>
      <c r="G104" s="5">
        <f>EnergyLJ($A104,$C$2,$C$3,shape_factors!G$2,$C$4,shape_factors!G$3)</f>
        <v>-4.7556181761582378E-3</v>
      </c>
      <c r="H104" s="5">
        <f>EnergyLJ($A104,$C$2,$C$3,shape_factors!H$2,$C$4,shape_factors!H$3)</f>
        <v>-7.3833315862319143E-2</v>
      </c>
      <c r="I104" s="5">
        <f>EnergyLJ($A104,$C$2,$C$3,shape_factors!I$2,$C$4,shape_factors!I$3)</f>
        <v>-8.1299171064152433E-3</v>
      </c>
      <c r="J104" s="5">
        <f>EnergyLJ($A104,$C$2,$C$3,shape_factors!J$2,$C$4,shape_factors!J$3)</f>
        <v>-2.4245298682987974E-3</v>
      </c>
      <c r="K104" s="5">
        <f>EnergyLJ($A104,$C$2,$C$3,shape_factors!K$2,$C$4,shape_factors!K$3)</f>
        <v>-2.7620424037847371E-3</v>
      </c>
      <c r="L104" s="5">
        <f>EnergyLJ($A104,$C$2,$C$3,shape_factors!L$2,$C$4,shape_factors!L$3)</f>
        <v>-3.4554322849093188E-3</v>
      </c>
      <c r="M104" s="5">
        <f>EnergyLJ($A104,$C$2,$C$3,shape_factors!M$2,$C$4,shape_factors!M$3)</f>
        <v>-2.4972092339485578E-3</v>
      </c>
      <c r="N104" s="5">
        <f>EnergyLJ($A104,$C$2,$C$3,shape_factors!N$2,$C$4,shape_factors!N$3)</f>
        <v>-1.8548635577186751E-3</v>
      </c>
      <c r="O104" s="5">
        <f>EnergyLJ($A104,$C$2,$C$3,shape_factors!O$2,$C$4,shape_factors!O$3)</f>
        <v>-1.7282611074004172E-3</v>
      </c>
      <c r="P104" s="5">
        <f>EnergyLJ($A104,$C$2,$C$3,shape_factors!P$2,$C$4,shape_factors!P$3)</f>
        <v>-1.8946593678922064E-3</v>
      </c>
      <c r="Q104" s="5">
        <f>EnergyLJ($A104,$C$2,$C$3,shape_factors!Q$2,$C$4,shape_factors!Q$3)</f>
        <v>-1.9491684504211913E-3</v>
      </c>
      <c r="R104" s="5">
        <f>EnergyLJ($A104,$C$2,$C$3,shape_factors!R$2,$C$4,shape_factors!R$3)</f>
        <v>-3.9161759737164443E-3</v>
      </c>
      <c r="S104" s="5">
        <f>EnergyLJ($A104,$C$2,$C$3,shape_factors!S$2,$C$4,shape_factors!S$3)</f>
        <v>-2.1724109421455912E-3</v>
      </c>
      <c r="T104" s="5">
        <f>EnergyLJ($A104,$C$2,$C$3,shape_factors!T$2,$C$4,shape_factors!T$3)</f>
        <v>-1.6519433965992935E-3</v>
      </c>
      <c r="U104" s="5">
        <f>EnergyLJ($A104,$C$2,$C$3,shape_factors!U$2,$C$4,shape_factors!U$3)</f>
        <v>-3.8724815665188987E-3</v>
      </c>
    </row>
    <row r="105" spans="1:21" x14ac:dyDescent="0.25">
      <c r="A105">
        <v>21.6</v>
      </c>
      <c r="B105" s="5">
        <f>EnergyLJ($A105,$C$2,$C$3,shape_factors!B$2,$C$4,shape_factors!B$3)</f>
        <v>-1.2384294373091888E-2</v>
      </c>
      <c r="C105" s="5">
        <f>EnergyLJ($A105,$C$2,$C$3,shape_factors!C$2,$C$4,shape_factors!C$3)</f>
        <v>-4.0348531361850204E-3</v>
      </c>
      <c r="D105" s="5">
        <f>EnergyLJ($A105,$C$2,$C$3,shape_factors!D$2,$C$4,shape_factors!D$3)</f>
        <v>-1.6448669301980696E-2</v>
      </c>
      <c r="E105" s="5">
        <f>EnergyLJ($A105,$C$2,$C$3,shape_factors!E$2,$C$4,shape_factors!E$3)</f>
        <v>-6.3614663423205188E-3</v>
      </c>
      <c r="F105" s="5">
        <f>EnergyLJ($A105,$C$2,$C$3,shape_factors!F$2,$C$4,shape_factors!F$3)</f>
        <v>-3.6299892689245859E-3</v>
      </c>
      <c r="G105" s="5">
        <f>EnergyLJ($A105,$C$2,$C$3,shape_factors!G$2,$C$4,shape_factors!G$3)</f>
        <v>-4.4977350214141865E-3</v>
      </c>
      <c r="H105" s="5">
        <f>EnergyLJ($A105,$C$2,$C$3,shape_factors!H$2,$C$4,shape_factors!H$3)</f>
        <v>-6.989433652362248E-2</v>
      </c>
      <c r="I105" s="5">
        <f>EnergyLJ($A105,$C$2,$C$3,shape_factors!I$2,$C$4,shape_factors!I$3)</f>
        <v>-7.6893930600246806E-3</v>
      </c>
      <c r="J105" s="5">
        <f>EnergyLJ($A105,$C$2,$C$3,shape_factors!J$2,$C$4,shape_factors!J$3)</f>
        <v>-2.2929854394323152E-3</v>
      </c>
      <c r="K105" s="5">
        <f>EnergyLJ($A105,$C$2,$C$3,shape_factors!K$2,$C$4,shape_factors!K$3)</f>
        <v>-2.6121974382074418E-3</v>
      </c>
      <c r="L105" s="5">
        <f>EnergyLJ($A105,$C$2,$C$3,shape_factors!L$2,$C$4,shape_factors!L$3)</f>
        <v>-3.2679992464765451E-3</v>
      </c>
      <c r="M105" s="5">
        <f>EnergyLJ($A105,$C$2,$C$3,shape_factors!M$2,$C$4,shape_factors!M$3)</f>
        <v>-2.361723763019304E-3</v>
      </c>
      <c r="N105" s="5">
        <f>EnergyLJ($A105,$C$2,$C$3,shape_factors!N$2,$C$4,shape_factors!N$3)</f>
        <v>-1.7542137989705866E-3</v>
      </c>
      <c r="O105" s="5">
        <f>EnergyLJ($A105,$C$2,$C$3,shape_factors!O$2,$C$4,shape_factors!O$3)</f>
        <v>-1.6344784503829434E-3</v>
      </c>
      <c r="P105" s="5">
        <f>EnergyLJ($A105,$C$2,$C$3,shape_factors!P$2,$C$4,shape_factors!P$3)</f>
        <v>-1.7918511074574985E-3</v>
      </c>
      <c r="Q105" s="5">
        <f>EnergyLJ($A105,$C$2,$C$3,shape_factors!Q$2,$C$4,shape_factors!Q$3)</f>
        <v>-1.8434037119371156E-3</v>
      </c>
      <c r="R105" s="5">
        <f>EnergyLJ($A105,$C$2,$C$3,shape_factors!R$2,$C$4,shape_factors!R$3)</f>
        <v>-3.7037729451072162E-3</v>
      </c>
      <c r="S105" s="5">
        <f>EnergyLJ($A105,$C$2,$C$3,shape_factors!S$2,$C$4,shape_factors!S$3)</f>
        <v>-2.0545386783945908E-3</v>
      </c>
      <c r="T105" s="5">
        <f>EnergyLJ($A105,$C$2,$C$3,shape_factors!T$2,$C$4,shape_factors!T$3)</f>
        <v>-1.5623005134008338E-3</v>
      </c>
      <c r="U105" s="5">
        <f>EnergyLJ($A105,$C$2,$C$3,shape_factors!U$2,$C$4,shape_factors!U$3)</f>
        <v>-3.6624463310342072E-3</v>
      </c>
    </row>
    <row r="106" spans="1:21" x14ac:dyDescent="0.25">
      <c r="A106">
        <v>21.8</v>
      </c>
      <c r="B106" s="5">
        <f>EnergyLJ($A106,$C$2,$C$3,shape_factors!B$2,$C$4,shape_factors!B$3)</f>
        <v>-1.1719905478572712E-2</v>
      </c>
      <c r="C106" s="5">
        <f>EnergyLJ($A106,$C$2,$C$3,shape_factors!C$2,$C$4,shape_factors!C$3)</f>
        <v>-3.8179810213013138E-3</v>
      </c>
      <c r="D106" s="5">
        <f>EnergyLJ($A106,$C$2,$C$3,shape_factors!D$2,$C$4,shape_factors!D$3)</f>
        <v>-1.5567057587826633E-2</v>
      </c>
      <c r="E106" s="5">
        <f>EnergyLJ($A106,$C$2,$C$3,shape_factors!E$2,$C$4,shape_factors!E$3)</f>
        <v>-6.019719761108152E-3</v>
      </c>
      <c r="F106" s="5">
        <f>EnergyLJ($A106,$C$2,$C$3,shape_factors!F$2,$C$4,shape_factors!F$3)</f>
        <v>-3.4348605848136958E-3</v>
      </c>
      <c r="G106" s="5">
        <f>EnergyLJ($A106,$C$2,$C$3,shape_factors!G$2,$C$4,shape_factors!G$3)</f>
        <v>-4.2560084835719146E-3</v>
      </c>
      <c r="H106" s="5">
        <f>EnergyLJ($A106,$C$2,$C$3,shape_factors!H$2,$C$4,shape_factors!H$3)</f>
        <v>-6.6195378796999951E-2</v>
      </c>
      <c r="I106" s="5">
        <f>EnergyLJ($A106,$C$2,$C$3,shape_factors!I$2,$C$4,shape_factors!I$3)</f>
        <v>-7.2764330493449263E-3</v>
      </c>
      <c r="J106" s="5">
        <f>EnergyLJ($A106,$C$2,$C$3,shape_factors!J$2,$C$4,shape_factors!J$3)</f>
        <v>-2.1696896225433986E-3</v>
      </c>
      <c r="K106" s="5">
        <f>EnergyLJ($A106,$C$2,$C$3,shape_factors!K$2,$C$4,shape_factors!K$3)</f>
        <v>-2.4717474450722736E-3</v>
      </c>
      <c r="L106" s="5">
        <f>EnergyLJ($A106,$C$2,$C$3,shape_factors!L$2,$C$4,shape_factors!L$3)</f>
        <v>-3.0923148123970113E-3</v>
      </c>
      <c r="M106" s="5">
        <f>EnergyLJ($A106,$C$2,$C$3,shape_factors!M$2,$C$4,shape_factors!M$3)</f>
        <v>-2.2347337987787433E-3</v>
      </c>
      <c r="N106" s="5">
        <f>EnergyLJ($A106,$C$2,$C$3,shape_factors!N$2,$C$4,shape_factors!N$3)</f>
        <v>-1.6598767236587406E-3</v>
      </c>
      <c r="O106" s="5">
        <f>EnergyLJ($A106,$C$2,$C$3,shape_factors!O$2,$C$4,shape_factors!O$3)</f>
        <v>-1.5465780562514153E-3</v>
      </c>
      <c r="P106" s="5">
        <f>EnergyLJ($A106,$C$2,$C$3,shape_factors!P$2,$C$4,shape_factors!P$3)</f>
        <v>-1.6954908139296028E-3</v>
      </c>
      <c r="Q106" s="5">
        <f>EnergyLJ($A106,$C$2,$C$3,shape_factors!Q$2,$C$4,shape_factors!Q$3)</f>
        <v>-1.7442722301967714E-3</v>
      </c>
      <c r="R106" s="5">
        <f>EnergyLJ($A106,$C$2,$C$3,shape_factors!R$2,$C$4,shape_factors!R$3)</f>
        <v>-3.5046813714764446E-3</v>
      </c>
      <c r="S106" s="5">
        <f>EnergyLJ($A106,$C$2,$C$3,shape_factors!S$2,$C$4,shape_factors!S$3)</f>
        <v>-1.9440584008397017E-3</v>
      </c>
      <c r="T106" s="5">
        <f>EnergyLJ($A106,$C$2,$C$3,shape_factors!T$2,$C$4,shape_factors!T$3)</f>
        <v>-1.4782803979297597E-3</v>
      </c>
      <c r="U106" s="5">
        <f>EnergyLJ($A106,$C$2,$C$3,shape_factors!U$2,$C$4,shape_factors!U$3)</f>
        <v>-3.4655743757316731E-3</v>
      </c>
    </row>
    <row r="107" spans="1:21" x14ac:dyDescent="0.25">
      <c r="A107">
        <v>22</v>
      </c>
      <c r="B107" s="5">
        <f>EnergyLJ($A107,$C$2,$C$3,shape_factors!B$2,$C$4,shape_factors!B$3)</f>
        <v>-1.1096651895268395E-2</v>
      </c>
      <c r="C107" s="5">
        <f>EnergyLJ($A107,$C$2,$C$3,shape_factors!C$2,$C$4,shape_factors!C$3)</f>
        <v>-3.6145790773561303E-3</v>
      </c>
      <c r="D107" s="5">
        <f>EnergyLJ($A107,$C$2,$C$3,shape_factors!D$2,$C$4,shape_factors!D$3)</f>
        <v>-1.4739945304351148E-2</v>
      </c>
      <c r="E107" s="5">
        <f>EnergyLJ($A107,$C$2,$C$3,shape_factors!E$2,$C$4,shape_factors!E$3)</f>
        <v>-5.6991808002562604E-3</v>
      </c>
      <c r="F107" s="5">
        <f>EnergyLJ($A107,$C$2,$C$3,shape_factors!F$2,$C$4,shape_factors!F$3)</f>
        <v>-3.2518534115788039E-3</v>
      </c>
      <c r="G107" s="5">
        <f>EnergyLJ($A107,$C$2,$C$3,shape_factors!G$2,$C$4,shape_factors!G$3)</f>
        <v>-4.0292932326118211E-3</v>
      </c>
      <c r="H107" s="5">
        <f>EnergyLJ($A107,$C$2,$C$3,shape_factors!H$2,$C$4,shape_factors!H$3)</f>
        <v>-6.2720185611711679E-2</v>
      </c>
      <c r="I107" s="5">
        <f>EnergyLJ($A107,$C$2,$C$3,shape_factors!I$2,$C$4,shape_factors!I$3)</f>
        <v>-6.889087028296605E-3</v>
      </c>
      <c r="J107" s="5">
        <f>EnergyLJ($A107,$C$2,$C$3,shape_factors!J$2,$C$4,shape_factors!J$3)</f>
        <v>-2.0540568689796398E-3</v>
      </c>
      <c r="K107" s="5">
        <f>EnergyLJ($A107,$C$2,$C$3,shape_factors!K$2,$C$4,shape_factors!K$3)</f>
        <v>-2.3400256318673405E-3</v>
      </c>
      <c r="L107" s="5">
        <f>EnergyLJ($A107,$C$2,$C$3,shape_factors!L$2,$C$4,shape_factors!L$3)</f>
        <v>-2.9275454882746674E-3</v>
      </c>
      <c r="M107" s="5">
        <f>EnergyLJ($A107,$C$2,$C$3,shape_factors!M$2,$C$4,shape_factors!M$3)</f>
        <v>-2.1156362921045412E-3</v>
      </c>
      <c r="N107" s="5">
        <f>EnergyLJ($A107,$C$2,$C$3,shape_factors!N$2,$C$4,shape_factors!N$3)</f>
        <v>-1.5714040587372102E-3</v>
      </c>
      <c r="O107" s="5">
        <f>EnergyLJ($A107,$C$2,$C$3,shape_factors!O$2,$C$4,shape_factors!O$3)</f>
        <v>-1.4641421854771138E-3</v>
      </c>
      <c r="P107" s="5">
        <f>EnergyLJ($A107,$C$2,$C$3,shape_factors!P$2,$C$4,shape_factors!P$3)</f>
        <v>-1.6051206183642867E-3</v>
      </c>
      <c r="Q107" s="5">
        <f>EnergyLJ($A107,$C$2,$C$3,shape_factors!Q$2,$C$4,shape_factors!Q$3)</f>
        <v>-1.6513029940533215E-3</v>
      </c>
      <c r="R107" s="5">
        <f>EnergyLJ($A107,$C$2,$C$3,shape_factors!R$2,$C$4,shape_factors!R$3)</f>
        <v>-3.3179571420875547E-3</v>
      </c>
      <c r="S107" s="5">
        <f>EnergyLJ($A107,$C$2,$C$3,shape_factors!S$2,$C$4,shape_factors!S$3)</f>
        <v>-1.8404452922017765E-3</v>
      </c>
      <c r="T107" s="5">
        <f>EnergyLJ($A107,$C$2,$C$3,shape_factors!T$2,$C$4,shape_factors!T$3)</f>
        <v>-1.3994837211508896E-3</v>
      </c>
      <c r="U107" s="5">
        <f>EnergyLJ($A107,$C$2,$C$3,shape_factors!U$2,$C$4,shape_factors!U$3)</f>
        <v>-3.2809320748517536E-3</v>
      </c>
    </row>
    <row r="108" spans="1:21" x14ac:dyDescent="0.25">
      <c r="A108">
        <v>22.2</v>
      </c>
      <c r="B108" s="5">
        <f>EnergyLJ($A108,$C$2,$C$3,shape_factors!B$2,$C$4,shape_factors!B$3)</f>
        <v>-1.0511656533447074E-2</v>
      </c>
      <c r="C108" s="5">
        <f>EnergyLJ($A108,$C$2,$C$3,shape_factors!C$2,$C$4,shape_factors!C$3)</f>
        <v>-3.4237004182174529E-3</v>
      </c>
      <c r="D108" s="5">
        <f>EnergyLJ($A108,$C$2,$C$3,shape_factors!D$2,$C$4,shape_factors!D$3)</f>
        <v>-1.3963530138222203E-2</v>
      </c>
      <c r="E108" s="5">
        <f>EnergyLJ($A108,$C$2,$C$3,shape_factors!E$2,$C$4,shape_factors!E$3)</f>
        <v>-5.3983607414867319E-3</v>
      </c>
      <c r="F108" s="5">
        <f>EnergyLJ($A108,$C$2,$C$3,shape_factors!F$2,$C$4,shape_factors!F$3)</f>
        <v>-3.0801154617075247E-3</v>
      </c>
      <c r="G108" s="5">
        <f>EnergyLJ($A108,$C$2,$C$3,shape_factors!G$2,$C$4,shape_factors!G$3)</f>
        <v>-3.8165343408173083E-3</v>
      </c>
      <c r="H108" s="5">
        <f>EnergyLJ($A108,$C$2,$C$3,shape_factors!H$2,$C$4,shape_factors!H$3)</f>
        <v>-5.9453692265204708E-2</v>
      </c>
      <c r="I108" s="5">
        <f>EnergyLJ($A108,$C$2,$C$3,shape_factors!I$2,$C$4,shape_factors!I$3)</f>
        <v>-6.5255583973278849E-3</v>
      </c>
      <c r="J108" s="5">
        <f>EnergyLJ($A108,$C$2,$C$3,shape_factors!J$2,$C$4,shape_factors!J$3)</f>
        <v>-1.9455479453455648E-3</v>
      </c>
      <c r="K108" s="5">
        <f>EnergyLJ($A108,$C$2,$C$3,shape_factors!K$2,$C$4,shape_factors!K$3)</f>
        <v>-2.2164179315293129E-3</v>
      </c>
      <c r="L108" s="5">
        <f>EnergyLJ($A108,$C$2,$C$3,shape_factors!L$2,$C$4,shape_factors!L$3)</f>
        <v>-2.7729236457392672E-3</v>
      </c>
      <c r="M108" s="5">
        <f>EnergyLJ($A108,$C$2,$C$3,shape_factors!M$2,$C$4,shape_factors!M$3)</f>
        <v>-2.0038758902606048E-3</v>
      </c>
      <c r="N108" s="5">
        <f>EnergyLJ($A108,$C$2,$C$3,shape_factors!N$2,$C$4,shape_factors!N$3)</f>
        <v>-1.4883830063950158E-3</v>
      </c>
      <c r="O108" s="5">
        <f>EnergyLJ($A108,$C$2,$C$3,shape_factors!O$2,$C$4,shape_factors!O$3)</f>
        <v>-1.3867861611611076E-3</v>
      </c>
      <c r="P108" s="5">
        <f>EnergyLJ($A108,$C$2,$C$3,shape_factors!P$2,$C$4,shape_factors!P$3)</f>
        <v>-1.5203188851583382E-3</v>
      </c>
      <c r="Q108" s="5">
        <f>EnergyLJ($A108,$C$2,$C$3,shape_factors!Q$2,$C$4,shape_factors!Q$3)</f>
        <v>-1.5640622638879607E-3</v>
      </c>
      <c r="R108" s="5">
        <f>EnergyLJ($A108,$C$2,$C$3,shape_factors!R$2,$C$4,shape_factors!R$3)</f>
        <v>-3.1427307225900428E-3</v>
      </c>
      <c r="S108" s="5">
        <f>EnergyLJ($A108,$C$2,$C$3,shape_factors!S$2,$C$4,shape_factors!S$3)</f>
        <v>-1.7432160561573189E-3</v>
      </c>
      <c r="T108" s="5">
        <f>EnergyLJ($A108,$C$2,$C$3,shape_factors!T$2,$C$4,shape_factors!T$3)</f>
        <v>-1.3255427616884357E-3</v>
      </c>
      <c r="U108" s="5">
        <f>EnergyLJ($A108,$C$2,$C$3,shape_factors!U$2,$C$4,shape_factors!U$3)</f>
        <v>-3.1076595537081015E-3</v>
      </c>
    </row>
    <row r="109" spans="1:21" x14ac:dyDescent="0.25">
      <c r="A109">
        <v>22.4</v>
      </c>
      <c r="B109" s="5">
        <f>EnergyLJ($A109,$C$2,$C$3,shape_factors!B$2,$C$4,shape_factors!B$3)</f>
        <v>-9.9622658348250317E-3</v>
      </c>
      <c r="C109" s="5">
        <f>EnergyLJ($A109,$C$2,$C$3,shape_factors!C$2,$C$4,shape_factors!C$3)</f>
        <v>-3.2444722922691273E-3</v>
      </c>
      <c r="D109" s="5">
        <f>EnergyLJ($A109,$C$2,$C$3,shape_factors!D$2,$C$4,shape_factors!D$3)</f>
        <v>-1.3234304058541202E-2</v>
      </c>
      <c r="E109" s="5">
        <f>EnergyLJ($A109,$C$2,$C$3,shape_factors!E$2,$C$4,shape_factors!E$3)</f>
        <v>-5.1158871765623268E-3</v>
      </c>
      <c r="F109" s="5">
        <f>EnergyLJ($A109,$C$2,$C$3,shape_factors!F$2,$C$4,shape_factors!F$3)</f>
        <v>-2.9188612002041493E-3</v>
      </c>
      <c r="G109" s="5">
        <f>EnergyLJ($A109,$C$2,$C$3,shape_factors!G$2,$C$4,shape_factors!G$3)</f>
        <v>-3.6167594392940237E-3</v>
      </c>
      <c r="H109" s="5">
        <f>EnergyLJ($A109,$C$2,$C$3,shape_factors!H$2,$C$4,shape_factors!H$3)</f>
        <v>-5.6381934549689483E-2</v>
      </c>
      <c r="I109" s="5">
        <f>EnergyLJ($A109,$C$2,$C$3,shape_factors!I$2,$C$4,shape_factors!I$3)</f>
        <v>-6.1841907503954159E-3</v>
      </c>
      <c r="J109" s="5">
        <f>EnergyLJ($A109,$C$2,$C$3,shape_factors!J$2,$C$4,shape_factors!J$3)</f>
        <v>-1.8436659027105068E-3</v>
      </c>
      <c r="K109" s="5">
        <f>EnergyLJ($A109,$C$2,$C$3,shape_factors!K$2,$C$4,shape_factors!K$3)</f>
        <v>-2.1003584158074498E-3</v>
      </c>
      <c r="L109" s="5">
        <f>EnergyLJ($A109,$C$2,$C$3,shape_factors!L$2,$C$4,shape_factors!L$3)</f>
        <v>-2.627741797927372E-3</v>
      </c>
      <c r="M109" s="5">
        <f>EnergyLJ($A109,$C$2,$C$3,shape_factors!M$2,$C$4,shape_factors!M$3)</f>
        <v>-1.89894078630152E-3</v>
      </c>
      <c r="N109" s="5">
        <f>EnergyLJ($A109,$C$2,$C$3,shape_factors!N$2,$C$4,shape_factors!N$3)</f>
        <v>-1.4104331543634517E-3</v>
      </c>
      <c r="O109" s="5">
        <f>EnergyLJ($A109,$C$2,$C$3,shape_factors!O$2,$C$4,shape_factors!O$3)</f>
        <v>-1.3141554889899384E-3</v>
      </c>
      <c r="P109" s="5">
        <f>EnergyLJ($A109,$C$2,$C$3,shape_factors!P$2,$C$4,shape_factors!P$3)</f>
        <v>-1.4406970564941495E-3</v>
      </c>
      <c r="Q109" s="5">
        <f>EnergyLJ($A109,$C$2,$C$3,shape_factors!Q$2,$C$4,shape_factors!Q$3)</f>
        <v>-1.4821503258701291E-3</v>
      </c>
      <c r="R109" s="5">
        <f>EnergyLJ($A109,$C$2,$C$3,shape_factors!R$2,$C$4,shape_factors!R$3)</f>
        <v>-2.9782006774145267E-3</v>
      </c>
      <c r="S109" s="5">
        <f>EnergyLJ($A109,$C$2,$C$3,shape_factors!S$2,$C$4,shape_factors!S$3)</f>
        <v>-1.6519253025985047E-3</v>
      </c>
      <c r="T109" s="5">
        <f>EnergyLJ($A109,$C$2,$C$3,shape_factors!T$2,$C$4,shape_factors!T$3)</f>
        <v>-1.2561186522482099E-3</v>
      </c>
      <c r="U109" s="5">
        <f>EnergyLJ($A109,$C$2,$C$3,shape_factors!U$2,$C$4,shape_factors!U$3)</f>
        <v>-2.9449642823978031E-3</v>
      </c>
    </row>
    <row r="110" spans="1:21" x14ac:dyDescent="0.25">
      <c r="A110">
        <v>22.6</v>
      </c>
      <c r="B110" s="5">
        <f>EnergyLJ($A110,$C$2,$C$3,shape_factors!B$2,$C$4,shape_factors!B$3)</f>
        <v>-9.4460307459524745E-3</v>
      </c>
      <c r="C110" s="5">
        <f>EnergyLJ($A110,$C$2,$C$3,shape_factors!C$2,$C$4,shape_factors!C$3)</f>
        <v>-3.0760896999543767E-3</v>
      </c>
      <c r="D110" s="5">
        <f>EnergyLJ($A110,$C$2,$C$3,shape_factors!D$2,$C$4,shape_factors!D$3)</f>
        <v>-1.2549028412266601E-2</v>
      </c>
      <c r="E110" s="5">
        <f>EnergyLJ($A110,$C$2,$C$3,shape_factors!E$2,$C$4,shape_factors!E$3)</f>
        <v>-4.850494024910207E-3</v>
      </c>
      <c r="F110" s="5">
        <f>EnergyLJ($A110,$C$2,$C$3,shape_factors!F$2,$C$4,shape_factors!F$3)</f>
        <v>-2.7673660945874991E-3</v>
      </c>
      <c r="G110" s="5">
        <f>EnergyLJ($A110,$C$2,$C$3,shape_factors!G$2,$C$4,shape_factors!G$3)</f>
        <v>-3.4290716146101749E-3</v>
      </c>
      <c r="H110" s="5">
        <f>EnergyLJ($A110,$C$2,$C$3,shape_factors!H$2,$C$4,shape_factors!H$3)</f>
        <v>-5.3491963983671099E-2</v>
      </c>
      <c r="I110" s="5">
        <f>EnergyLJ($A110,$C$2,$C$3,shape_factors!I$2,$C$4,shape_factors!I$3)</f>
        <v>-5.8634558643703679E-3</v>
      </c>
      <c r="J110" s="5">
        <f>EnergyLJ($A110,$C$2,$C$3,shape_factors!J$2,$C$4,shape_factors!J$3)</f>
        <v>-1.7479524278412057E-3</v>
      </c>
      <c r="K110" s="5">
        <f>EnergyLJ($A110,$C$2,$C$3,shape_factors!K$2,$C$4,shape_factors!K$3)</f>
        <v>-1.9913251430596578E-3</v>
      </c>
      <c r="L110" s="5">
        <f>EnergyLJ($A110,$C$2,$C$3,shape_factors!L$2,$C$4,shape_factors!L$3)</f>
        <v>-2.4913474164676833E-3</v>
      </c>
      <c r="M110" s="5">
        <f>EnergyLJ($A110,$C$2,$C$3,shape_factors!M$2,$C$4,shape_factors!M$3)</f>
        <v>-1.8003589618029836E-3</v>
      </c>
      <c r="N110" s="5">
        <f>EnergyLJ($A110,$C$2,$C$3,shape_factors!N$2,$C$4,shape_factors!N$3)</f>
        <v>-1.3372036793639721E-3</v>
      </c>
      <c r="O110" s="5">
        <f>EnergyLJ($A110,$C$2,$C$3,shape_factors!O$2,$C$4,shape_factors!O$3)</f>
        <v>-1.2459232505051237E-3</v>
      </c>
      <c r="P110" s="5">
        <f>EnergyLJ($A110,$C$2,$C$3,shape_factors!P$2,$C$4,shape_factors!P$3)</f>
        <v>-1.365896796151643E-3</v>
      </c>
      <c r="Q110" s="5">
        <f>EnergyLJ($A110,$C$2,$C$3,shape_factors!Q$2,$C$4,shape_factors!Q$3)</f>
        <v>-1.4051985541097354E-3</v>
      </c>
      <c r="R110" s="5">
        <f>EnergyLJ($A110,$C$2,$C$3,shape_factors!R$2,$C$4,shape_factors!R$3)</f>
        <v>-2.8236278043773642E-3</v>
      </c>
      <c r="S110" s="5">
        <f>EnergyLJ($A110,$C$2,$C$3,shape_factors!S$2,$C$4,shape_factors!S$3)</f>
        <v>-1.5661622756466436E-3</v>
      </c>
      <c r="T110" s="5">
        <f>EnergyLJ($A110,$C$2,$C$3,shape_factors!T$2,$C$4,shape_factors!T$3)</f>
        <v>-1.1908988873889719E-3</v>
      </c>
      <c r="U110" s="5">
        <f>EnergyLJ($A110,$C$2,$C$3,shape_factors!U$2,$C$4,shape_factors!U$3)</f>
        <v>-2.7921152750310487E-3</v>
      </c>
    </row>
    <row r="111" spans="1:21" x14ac:dyDescent="0.25">
      <c r="A111">
        <v>22.8</v>
      </c>
      <c r="B111" s="5">
        <f>EnergyLJ($A111,$C$2,$C$3,shape_factors!B$2,$C$4,shape_factors!B$3)</f>
        <v>-8.9606894448267943E-3</v>
      </c>
      <c r="C111" s="5">
        <f>EnergyLJ($A111,$C$2,$C$3,shape_factors!C$2,$C$4,shape_factors!C$3)</f>
        <v>-2.9178096092197163E-3</v>
      </c>
      <c r="D111" s="5">
        <f>EnergyLJ($A111,$C$2,$C$3,shape_factors!D$2,$C$4,shape_factors!D$3)</f>
        <v>-1.1904711294967835E-2</v>
      </c>
      <c r="E111" s="5">
        <f>EnergyLJ($A111,$C$2,$C$3,shape_factors!E$2,$C$4,shape_factors!E$3)</f>
        <v>-4.6010124822197431E-3</v>
      </c>
      <c r="F111" s="5">
        <f>EnergyLJ($A111,$C$2,$C$3,shape_factors!F$2,$C$4,shape_factors!F$3)</f>
        <v>-2.6249614039544054E-3</v>
      </c>
      <c r="G111" s="5">
        <f>EnergyLJ($A111,$C$2,$C$3,shape_factors!G$2,$C$4,shape_factors!G$3)</f>
        <v>-3.2526429702856123E-3</v>
      </c>
      <c r="H111" s="5">
        <f>EnergyLJ($A111,$C$2,$C$3,shape_factors!H$2,$C$4,shape_factors!H$3)</f>
        <v>-5.0771769649104397E-2</v>
      </c>
      <c r="I111" s="5">
        <f>EnergyLJ($A111,$C$2,$C$3,shape_factors!I$2,$C$4,shape_factors!I$3)</f>
        <v>-5.5619428056743626E-3</v>
      </c>
      <c r="J111" s="5">
        <f>EnergyLJ($A111,$C$2,$C$3,shape_factors!J$2,$C$4,shape_factors!J$3)</f>
        <v>-1.6579845373672589E-3</v>
      </c>
      <c r="K111" s="5">
        <f>EnergyLJ($A111,$C$2,$C$3,shape_factors!K$2,$C$4,shape_factors!K$3)</f>
        <v>-1.8888363960649112E-3</v>
      </c>
      <c r="L111" s="5">
        <f>EnergyLJ($A111,$C$2,$C$3,shape_factors!L$2,$C$4,shape_factors!L$3)</f>
        <v>-2.3631382347083004E-3</v>
      </c>
      <c r="M111" s="5">
        <f>EnergyLJ($A111,$C$2,$C$3,shape_factors!M$2,$C$4,shape_factors!M$3)</f>
        <v>-1.7076947826775409E-3</v>
      </c>
      <c r="N111" s="5">
        <f>EnergyLJ($A111,$C$2,$C$3,shape_factors!N$2,$C$4,shape_factors!N$3)</f>
        <v>-1.2683708136560783E-3</v>
      </c>
      <c r="O111" s="5">
        <f>EnergyLJ($A111,$C$2,$C$3,shape_factors!O$2,$C$4,shape_factors!O$3)</f>
        <v>-1.1817877416686494E-3</v>
      </c>
      <c r="P111" s="5">
        <f>EnergyLJ($A111,$C$2,$C$3,shape_factors!P$2,$C$4,shape_factors!P$3)</f>
        <v>-1.2955874020120007E-3</v>
      </c>
      <c r="Q111" s="5">
        <f>EnergyLJ($A111,$C$2,$C$3,shape_factors!Q$2,$C$4,shape_factors!Q$3)</f>
        <v>-1.3328667491567673E-3</v>
      </c>
      <c r="R111" s="5">
        <f>EnergyLJ($A111,$C$2,$C$3,shape_factors!R$2,$C$4,shape_factors!R$3)</f>
        <v>-2.6783298190924502E-3</v>
      </c>
      <c r="S111" s="5">
        <f>EnergyLJ($A111,$C$2,$C$3,shape_factors!S$2,$C$4,shape_factors!S$3)</f>
        <v>-1.4855478893229543E-3</v>
      </c>
      <c r="T111" s="5">
        <f>EnergyLJ($A111,$C$2,$C$3,shape_factors!T$2,$C$4,shape_factors!T$3)</f>
        <v>-1.1295950658463648E-3</v>
      </c>
      <c r="U111" s="5">
        <f>EnergyLJ($A111,$C$2,$C$3,shape_factors!U$2,$C$4,shape_factors!U$3)</f>
        <v>-2.6484378327526459E-3</v>
      </c>
    </row>
    <row r="112" spans="1:21" x14ac:dyDescent="0.25">
      <c r="A112">
        <v>23</v>
      </c>
      <c r="B112" s="5">
        <f>EnergyLJ($A112,$C$2,$C$3,shape_factors!B$2,$C$4,shape_factors!B$3)</f>
        <v>-8.5041516477283845E-3</v>
      </c>
      <c r="C112" s="5">
        <f>EnergyLJ($A112,$C$2,$C$3,shape_factors!C$2,$C$4,shape_factors!C$3)</f>
        <v>-2.7689457084539219E-3</v>
      </c>
      <c r="D112" s="5">
        <f>EnergyLJ($A112,$C$2,$C$3,shape_factors!D$2,$C$4,shape_factors!D$3)</f>
        <v>-1.1298586975190641E-2</v>
      </c>
      <c r="E112" s="5">
        <f>EnergyLJ($A112,$C$2,$C$3,shape_factors!E$2,$C$4,shape_factors!E$3)</f>
        <v>-4.3663628065473744E-3</v>
      </c>
      <c r="F112" s="5">
        <f>EnergyLJ($A112,$C$2,$C$3,shape_factors!F$2,$C$4,shape_factors!F$3)</f>
        <v>-2.4910294525891477E-3</v>
      </c>
      <c r="G112" s="5">
        <f>EnergyLJ($A112,$C$2,$C$3,shape_factors!G$2,$C$4,shape_factors!G$3)</f>
        <v>-3.0867087860432778E-3</v>
      </c>
      <c r="H112" s="5">
        <f>EnergyLJ($A112,$C$2,$C$3,shape_factors!H$2,$C$4,shape_factors!H$3)</f>
        <v>-4.8210206155571221E-2</v>
      </c>
      <c r="I112" s="5">
        <f>EnergyLJ($A112,$C$2,$C$3,shape_factors!I$2,$C$4,shape_factors!I$3)</f>
        <v>-5.2783480423902124E-3</v>
      </c>
      <c r="J112" s="5">
        <f>EnergyLJ($A112,$C$2,$C$3,shape_factors!J$2,$C$4,shape_factors!J$3)</f>
        <v>-1.5733715800748025E-3</v>
      </c>
      <c r="K112" s="5">
        <f>EnergyLJ($A112,$C$2,$C$3,shape_factors!K$2,$C$4,shape_factors!K$3)</f>
        <v>-1.7924472703015535E-3</v>
      </c>
      <c r="L112" s="5">
        <f>EnergyLJ($A112,$C$2,$C$3,shape_factors!L$2,$C$4,shape_factors!L$3)</f>
        <v>-2.2425579879618118E-3</v>
      </c>
      <c r="M112" s="5">
        <f>EnergyLJ($A112,$C$2,$C$3,shape_factors!M$2,$C$4,shape_factors!M$3)</f>
        <v>-1.6205459122469407E-3</v>
      </c>
      <c r="N112" s="5">
        <f>EnergyLJ($A112,$C$2,$C$3,shape_factors!N$2,$C$4,shape_factors!N$3)</f>
        <v>-1.2036355479457734E-3</v>
      </c>
      <c r="O112" s="5">
        <f>EnergyLJ($A112,$C$2,$C$3,shape_factors!O$2,$C$4,shape_factors!O$3)</f>
        <v>-1.121470331786811E-3</v>
      </c>
      <c r="P112" s="5">
        <f>EnergyLJ($A112,$C$2,$C$3,shape_factors!P$2,$C$4,shape_factors!P$3)</f>
        <v>-1.2294634599481018E-3</v>
      </c>
      <c r="Q112" s="5">
        <f>EnergyLJ($A112,$C$2,$C$3,shape_factors!Q$2,$C$4,shape_factors!Q$3)</f>
        <v>-1.2648407247689425E-3</v>
      </c>
      <c r="R112" s="5">
        <f>EnergyLJ($A112,$C$2,$C$3,shape_factors!R$2,$C$4,shape_factors!R$3)</f>
        <v>-2.5416765335949643E-3</v>
      </c>
      <c r="S112" s="5">
        <f>EnergyLJ($A112,$C$2,$C$3,shape_factors!S$2,$C$4,shape_factors!S$3)</f>
        <v>-1.409732039632913E-3</v>
      </c>
      <c r="T112" s="5">
        <f>EnergyLJ($A112,$C$2,$C$3,shape_factors!T$2,$C$4,shape_factors!T$3)</f>
        <v>-1.0719408435596075E-3</v>
      </c>
      <c r="U112" s="5">
        <f>EnergyLJ($A112,$C$2,$C$3,shape_factors!U$2,$C$4,shape_factors!U$3)</f>
        <v>-2.5133087755624061E-3</v>
      </c>
    </row>
    <row r="113" spans="1:21" x14ac:dyDescent="0.25">
      <c r="A113">
        <v>23.2</v>
      </c>
      <c r="B113" s="5">
        <f>EnergyLJ($A113,$C$2,$C$3,shape_factors!B$2,$C$4,shape_factors!B$3)</f>
        <v>-8.0744843413652085E-3</v>
      </c>
      <c r="C113" s="5">
        <f>EnergyLJ($A113,$C$2,$C$3,shape_factors!C$2,$C$4,shape_factors!C$3)</f>
        <v>-2.6288636430475657E-3</v>
      </c>
      <c r="D113" s="5">
        <f>EnergyLJ($A113,$C$2,$C$3,shape_factors!D$2,$C$4,shape_factors!D$3)</f>
        <v>-1.07280971734726E-2</v>
      </c>
      <c r="E113" s="5">
        <f>EnergyLJ($A113,$C$2,$C$3,shape_factors!E$2,$C$4,shape_factors!E$3)</f>
        <v>-4.1455468584792356E-3</v>
      </c>
      <c r="F113" s="5">
        <f>EnergyLJ($A113,$C$2,$C$3,shape_factors!F$2,$C$4,shape_factors!F$3)</f>
        <v>-2.3649993395023937E-3</v>
      </c>
      <c r="G113" s="5">
        <f>EnergyLJ($A113,$C$2,$C$3,shape_factors!G$2,$C$4,shape_factors!G$3)</f>
        <v>-2.9305622149775152E-3</v>
      </c>
      <c r="H113" s="5">
        <f>EnergyLJ($A113,$C$2,$C$3,shape_factors!H$2,$C$4,shape_factors!H$3)</f>
        <v>-4.5796927276524318E-2</v>
      </c>
      <c r="I113" s="5">
        <f>EnergyLJ($A113,$C$2,$C$3,shape_factors!I$2,$C$4,shape_factors!I$3)</f>
        <v>-5.0114664620087611E-3</v>
      </c>
      <c r="J113" s="5">
        <f>EnergyLJ($A113,$C$2,$C$3,shape_factors!J$2,$C$4,shape_factors!J$3)</f>
        <v>-1.4937525163103127E-3</v>
      </c>
      <c r="K113" s="5">
        <f>EnergyLJ($A113,$C$2,$C$3,shape_factors!K$2,$C$4,shape_factors!K$3)</f>
        <v>-1.7017465774390741E-3</v>
      </c>
      <c r="L113" s="5">
        <f>EnergyLJ($A113,$C$2,$C$3,shape_factors!L$2,$C$4,shape_factors!L$3)</f>
        <v>-2.1290925468809663E-3</v>
      </c>
      <c r="M113" s="5">
        <f>EnergyLJ($A113,$C$2,$C$3,shape_factors!M$2,$C$4,shape_factors!M$3)</f>
        <v>-1.5385405096395E-3</v>
      </c>
      <c r="N113" s="5">
        <f>EnergyLJ($A113,$C$2,$C$3,shape_factors!N$2,$C$4,shape_factors!N$3)</f>
        <v>-1.1427215468297726E-3</v>
      </c>
      <c r="O113" s="5">
        <f>EnergyLJ($A113,$C$2,$C$3,shape_factors!O$2,$C$4,shape_factors!O$3)</f>
        <v>-1.06471352057412E-3</v>
      </c>
      <c r="P113" s="5">
        <f>EnergyLJ($A113,$C$2,$C$3,shape_factors!P$2,$C$4,shape_factors!P$3)</f>
        <v>-1.1672427147724415E-3</v>
      </c>
      <c r="Q113" s="5">
        <f>EnergyLJ($A113,$C$2,$C$3,shape_factors!Q$2,$C$4,shape_factors!Q$3)</f>
        <v>-1.2008301179277394E-3</v>
      </c>
      <c r="R113" s="5">
        <f>EnergyLJ($A113,$C$2,$C$3,shape_factors!R$2,$C$4,shape_factors!R$3)</f>
        <v>-2.4130854795999259E-3</v>
      </c>
      <c r="S113" s="5">
        <f>EnergyLJ($A113,$C$2,$C$3,shape_factors!S$2,$C$4,shape_factors!S$3)</f>
        <v>-1.3383911652224557E-3</v>
      </c>
      <c r="T113" s="5">
        <f>EnergyLJ($A113,$C$2,$C$3,shape_factors!T$2,$C$4,shape_factors!T$3)</f>
        <v>-1.0176900761524874E-3</v>
      </c>
      <c r="U113" s="5">
        <f>EnergyLJ($A113,$C$2,$C$3,shape_factors!U$2,$C$4,shape_factors!U$3)</f>
        <v>-2.3861521138952252E-3</v>
      </c>
    </row>
    <row r="114" spans="1:21" x14ac:dyDescent="0.25">
      <c r="A114">
        <v>23.4</v>
      </c>
      <c r="B114" s="5">
        <f>EnergyLJ($A114,$C$2,$C$3,shape_factors!B$2,$C$4,shape_factors!B$3)</f>
        <v>-7.669898801520394E-3</v>
      </c>
      <c r="C114" s="5">
        <f>EnergyLJ($A114,$C$2,$C$3,shape_factors!C$2,$C$4,shape_factors!C$3)</f>
        <v>-2.4969766874789532E-3</v>
      </c>
      <c r="D114" s="5">
        <f>EnergyLJ($A114,$C$2,$C$3,shape_factors!D$2,$C$4,shape_factors!D$3)</f>
        <v>-1.0190874017379756E-2</v>
      </c>
      <c r="E114" s="5">
        <f>EnergyLJ($A114,$C$2,$C$3,shape_factors!E$2,$C$4,shape_factors!E$3)</f>
        <v>-3.937641320782375E-3</v>
      </c>
      <c r="F114" s="5">
        <f>EnergyLJ($A114,$C$2,$C$3,shape_factors!F$2,$C$4,shape_factors!F$3)</f>
        <v>-2.2463430405065855E-3</v>
      </c>
      <c r="G114" s="5">
        <f>EnergyLJ($A114,$C$2,$C$3,shape_factors!G$2,$C$4,shape_factors!G$3)</f>
        <v>-2.7835494652043765E-3</v>
      </c>
      <c r="H114" s="5">
        <f>EnergyLJ($A114,$C$2,$C$3,shape_factors!H$2,$C$4,shape_factors!H$3)</f>
        <v>-4.3522324827964559E-2</v>
      </c>
      <c r="I114" s="5">
        <f>EnergyLJ($A114,$C$2,$C$3,shape_factors!I$2,$C$4,shape_factors!I$3)</f>
        <v>-4.7601832055458246E-3</v>
      </c>
      <c r="J114" s="5">
        <f>EnergyLJ($A114,$C$2,$C$3,shape_factors!J$2,$C$4,shape_factors!J$3)</f>
        <v>-1.4187934468241662E-3</v>
      </c>
      <c r="K114" s="5">
        <f>EnergyLJ($A114,$C$2,$C$3,shape_factors!K$2,$C$4,shape_factors!K$3)</f>
        <v>-1.6163540325915755E-3</v>
      </c>
      <c r="L114" s="5">
        <f>EnergyLJ($A114,$C$2,$C$3,shape_factors!L$2,$C$4,shape_factors!L$3)</f>
        <v>-2.0222664047987626E-3</v>
      </c>
      <c r="M114" s="5">
        <f>EnergyLJ($A114,$C$2,$C$3,shape_factors!M$2,$C$4,shape_factors!M$3)</f>
        <v>-1.461334685026358E-3</v>
      </c>
      <c r="N114" s="5">
        <f>EnergyLJ($A114,$C$2,$C$3,shape_factors!N$2,$C$4,shape_factors!N$3)</f>
        <v>-1.0853732555265883E-3</v>
      </c>
      <c r="O114" s="5">
        <f>EnergyLJ($A114,$C$2,$C$3,shape_factors!O$2,$C$4,shape_factors!O$3)</f>
        <v>-1.0112791735422059E-3</v>
      </c>
      <c r="P114" s="5">
        <f>EnergyLJ($A114,$C$2,$C$3,shape_factors!P$2,$C$4,shape_factors!P$3)</f>
        <v>-1.108664136543478E-3</v>
      </c>
      <c r="Q114" s="5">
        <f>EnergyLJ($A114,$C$2,$C$3,shape_factors!Q$2,$C$4,shape_factors!Q$3)</f>
        <v>-1.1405663997875156E-3</v>
      </c>
      <c r="R114" s="5">
        <f>EnergyLJ($A114,$C$2,$C$3,shape_factors!R$2,$C$4,shape_factors!R$3)</f>
        <v>-2.2920179321436487E-3</v>
      </c>
      <c r="S114" s="5">
        <f>EnergyLJ($A114,$C$2,$C$3,shape_factors!S$2,$C$4,shape_factors!S$3)</f>
        <v>-1.2712260317715787E-3</v>
      </c>
      <c r="T114" s="5">
        <f>EnergyLJ($A114,$C$2,$C$3,shape_factors!T$2,$C$4,shape_factors!T$3)</f>
        <v>-9.6661513191906279E-4</v>
      </c>
      <c r="U114" s="5">
        <f>EnergyLJ($A114,$C$2,$C$3,shape_factors!U$2,$C$4,shape_factors!U$3)</f>
        <v>-2.2664351161898683E-3</v>
      </c>
    </row>
    <row r="115" spans="1:21" x14ac:dyDescent="0.25">
      <c r="A115">
        <v>23.6</v>
      </c>
      <c r="B115" s="5">
        <f>EnergyLJ($A115,$C$2,$C$3,shape_factors!B$2,$C$4,shape_factors!B$3)</f>
        <v>-7.2887387737475603E-3</v>
      </c>
      <c r="C115" s="5">
        <f>EnergyLJ($A115,$C$2,$C$3,shape_factors!C$2,$C$4,shape_factors!C$3)</f>
        <v>-2.3727418099532818E-3</v>
      </c>
      <c r="D115" s="5">
        <f>EnergyLJ($A115,$C$2,$C$3,shape_factors!D$2,$C$4,shape_factors!D$3)</f>
        <v>-9.6847245121054193E-3</v>
      </c>
      <c r="E115" s="5">
        <f>EnergyLJ($A115,$C$2,$C$3,shape_factors!E$2,$C$4,shape_factors!E$3)</f>
        <v>-3.7417915308542581E-3</v>
      </c>
      <c r="F115" s="5">
        <f>EnergyLJ($A115,$C$2,$C$3,shape_factors!F$2,$C$4,shape_factors!F$3)</f>
        <v>-2.1345718640612961E-3</v>
      </c>
      <c r="G115" s="5">
        <f>EnergyLJ($A115,$C$2,$C$3,shape_factors!G$2,$C$4,shape_factors!G$3)</f>
        <v>-2.6450654182401815E-3</v>
      </c>
      <c r="H115" s="5">
        <f>EnergyLJ($A115,$C$2,$C$3,shape_factors!H$2,$C$4,shape_factors!H$3)</f>
        <v>-4.1377472385996823E-2</v>
      </c>
      <c r="I115" s="5">
        <f>EnergyLJ($A115,$C$2,$C$3,shape_factors!I$2,$C$4,shape_factors!I$3)</f>
        <v>-4.5234662381518137E-3</v>
      </c>
      <c r="J115" s="5">
        <f>EnergyLJ($A115,$C$2,$C$3,shape_factors!J$2,$C$4,shape_factors!J$3)</f>
        <v>-1.3481853663464174E-3</v>
      </c>
      <c r="K115" s="5">
        <f>EnergyLJ($A115,$C$2,$C$3,shape_factors!K$2,$C$4,shape_factors!K$3)</f>
        <v>-1.5359176972455139E-3</v>
      </c>
      <c r="L115" s="5">
        <f>EnergyLJ($A115,$C$2,$C$3,shape_factors!L$2,$C$4,shape_factors!L$3)</f>
        <v>-1.9216394840475774E-3</v>
      </c>
      <c r="M115" s="5">
        <f>EnergyLJ($A115,$C$2,$C$3,shape_factors!M$2,$C$4,shape_factors!M$3)</f>
        <v>-1.3886101862600369E-3</v>
      </c>
      <c r="N115" s="5">
        <f>EnergyLJ($A115,$C$2,$C$3,shape_factors!N$2,$C$4,shape_factors!N$3)</f>
        <v>-1.0313541789247541E-3</v>
      </c>
      <c r="O115" s="5">
        <f>EnergyLJ($A115,$C$2,$C$3,shape_factors!O$2,$C$4,shape_factors!O$3)</f>
        <v>-9.6094691802474862E-4</v>
      </c>
      <c r="P115" s="5">
        <f>EnergyLJ($A115,$C$2,$C$3,shape_factors!P$2,$C$4,shape_factors!P$3)</f>
        <v>-1.0534861628584808E-3</v>
      </c>
      <c r="Q115" s="5">
        <f>EnergyLJ($A115,$C$2,$C$3,shape_factors!Q$2,$C$4,shape_factors!Q$3)</f>
        <v>-1.083801067635235E-3</v>
      </c>
      <c r="R115" s="5">
        <f>EnergyLJ($A115,$C$2,$C$3,shape_factors!R$2,$C$4,shape_factors!R$3)</f>
        <v>-2.1779752940732666E-3</v>
      </c>
      <c r="S115" s="5">
        <f>EnergyLJ($A115,$C$2,$C$3,shape_factors!S$2,$C$4,shape_factors!S$3)</f>
        <v>-1.2079597179520791E-3</v>
      </c>
      <c r="T115" s="5">
        <f>EnergyLJ($A115,$C$2,$C$3,shape_factors!T$2,$C$4,shape_factors!T$3)</f>
        <v>-9.1850535839817899E-4</v>
      </c>
      <c r="U115" s="5">
        <f>EnergyLJ($A115,$C$2,$C$3,shape_factors!U$2,$C$4,shape_factors!U$3)</f>
        <v>-2.1536647333419054E-3</v>
      </c>
    </row>
    <row r="116" spans="1:21" x14ac:dyDescent="0.25">
      <c r="A116">
        <v>23.8</v>
      </c>
      <c r="B116" s="5">
        <f>EnergyLJ($A116,$C$2,$C$3,shape_factors!B$2,$C$4,shape_factors!B$3)</f>
        <v>-6.9294697044500397E-3</v>
      </c>
      <c r="C116" s="5">
        <f>EnergyLJ($A116,$C$2,$C$3,shape_factors!C$2,$C$4,shape_factors!C$3)</f>
        <v>-2.2556560911630888E-3</v>
      </c>
      <c r="D116" s="5">
        <f>EnergyLJ($A116,$C$2,$C$3,shape_factors!D$2,$C$4,shape_factors!D$3)</f>
        <v>-9.2076163824161006E-3</v>
      </c>
      <c r="E116" s="5">
        <f>EnergyLJ($A116,$C$2,$C$3,shape_factors!E$2,$C$4,shape_factors!E$3)</f>
        <v>-3.5572058662762546E-3</v>
      </c>
      <c r="F116" s="5">
        <f>EnergyLJ($A116,$C$2,$C$3,shape_factors!F$2,$C$4,shape_factors!F$3)</f>
        <v>-2.0292332262237798E-3</v>
      </c>
      <c r="G116" s="5">
        <f>EnergyLJ($A116,$C$2,$C$3,shape_factors!G$2,$C$4,shape_factors!G$3)</f>
        <v>-2.5145496413937077E-3</v>
      </c>
      <c r="H116" s="5">
        <f>EnergyLJ($A116,$C$2,$C$3,shape_factors!H$2,$C$4,shape_factors!H$3)</f>
        <v>-3.9354073465857634E-2</v>
      </c>
      <c r="I116" s="5">
        <f>EnergyLJ($A116,$C$2,$C$3,shape_factors!I$2,$C$4,shape_factors!I$3)</f>
        <v>-4.3003595846799166E-3</v>
      </c>
      <c r="J116" s="5">
        <f>EnergyLJ($A116,$C$2,$C$3,shape_factors!J$2,$C$4,shape_factors!J$3)</f>
        <v>-1.2816421198120738E-3</v>
      </c>
      <c r="K116" s="5">
        <f>EnergyLJ($A116,$C$2,$C$3,shape_factors!K$2,$C$4,shape_factors!K$3)</f>
        <v>-1.4601116527552739E-3</v>
      </c>
      <c r="L116" s="5">
        <f>EnergyLJ($A116,$C$2,$C$3,shape_factors!L$2,$C$4,shape_factors!L$3)</f>
        <v>-1.8268042299776964E-3</v>
      </c>
      <c r="M116" s="5">
        <f>EnergyLJ($A116,$C$2,$C$3,shape_factors!M$2,$C$4,shape_factors!M$3)</f>
        <v>-1.3200722941804175E-3</v>
      </c>
      <c r="N116" s="5">
        <f>EnergyLJ($A116,$C$2,$C$3,shape_factors!N$2,$C$4,shape_factors!N$3)</f>
        <v>-9.8044531599689698E-4</v>
      </c>
      <c r="O116" s="5">
        <f>EnergyLJ($A116,$C$2,$C$3,shape_factors!O$2,$C$4,shape_factors!O$3)</f>
        <v>-9.1351268403234791E-4</v>
      </c>
      <c r="P116" s="5">
        <f>EnergyLJ($A116,$C$2,$C$3,shape_factors!P$2,$C$4,shape_factors!P$3)</f>
        <v>-1.001485099821983E-3</v>
      </c>
      <c r="Q116" s="5">
        <f>EnergyLJ($A116,$C$2,$C$3,shape_factors!Q$2,$C$4,shape_factors!Q$3)</f>
        <v>-1.0303040000576248E-3</v>
      </c>
      <c r="R116" s="5">
        <f>EnergyLJ($A116,$C$2,$C$3,shape_factors!R$2,$C$4,shape_factors!R$3)</f>
        <v>-2.0704958060314793E-3</v>
      </c>
      <c r="S116" s="5">
        <f>EnergyLJ($A116,$C$2,$C$3,shape_factors!S$2,$C$4,shape_factors!S$3)</f>
        <v>-1.1483357831334109E-3</v>
      </c>
      <c r="T116" s="5">
        <f>EnergyLJ($A116,$C$2,$C$3,shape_factors!T$2,$C$4,shape_factors!T$3)</f>
        <v>-8.7316568742187807E-4</v>
      </c>
      <c r="U116" s="5">
        <f>EnergyLJ($A116,$C$2,$C$3,shape_factors!U$2,$C$4,shape_factors!U$3)</f>
        <v>-2.0473843450732419E-3</v>
      </c>
    </row>
    <row r="117" spans="1:21" x14ac:dyDescent="0.25">
      <c r="A117">
        <v>24</v>
      </c>
      <c r="B117" s="5">
        <f>EnergyLJ($A117,$C$2,$C$3,shape_factors!B$2,$C$4,shape_factors!B$3)</f>
        <v>-6.5906689220884065E-3</v>
      </c>
      <c r="C117" s="5">
        <f>EnergyLJ($A117,$C$2,$C$3,shape_factors!C$2,$C$4,shape_factors!C$3)</f>
        <v>-2.1452534627685624E-3</v>
      </c>
      <c r="D117" s="5">
        <f>EnergyLJ($A117,$C$2,$C$3,shape_factors!D$2,$C$4,shape_factors!D$3)</f>
        <v>-8.7576651562552774E-3</v>
      </c>
      <c r="E117" s="5">
        <f>EnergyLJ($A117,$C$2,$C$3,shape_factors!E$2,$C$4,shape_factors!E$3)</f>
        <v>-3.3831506299941212E-3</v>
      </c>
      <c r="F117" s="5">
        <f>EnergyLJ($A117,$C$2,$C$3,shape_factors!F$2,$C$4,shape_factors!F$3)</f>
        <v>-1.9299077136797169E-3</v>
      </c>
      <c r="G117" s="5">
        <f>EnergyLJ($A117,$C$2,$C$3,shape_factors!G$2,$C$4,shape_factors!G$3)</f>
        <v>-2.3914827559310208E-3</v>
      </c>
      <c r="H117" s="5">
        <f>EnergyLJ($A117,$C$2,$C$3,shape_factors!H$2,$C$4,shape_factors!H$3)</f>
        <v>-3.7444413810729743E-2</v>
      </c>
      <c r="I117" s="5">
        <f>EnergyLJ($A117,$C$2,$C$3,shape_factors!I$2,$C$4,shape_factors!I$3)</f>
        <v>-4.0899771660988446E-3</v>
      </c>
      <c r="J117" s="5">
        <f>EnergyLJ($A117,$C$2,$C$3,shape_factors!J$2,$C$4,shape_factors!J$3)</f>
        <v>-1.2188985414807029E-3</v>
      </c>
      <c r="K117" s="5">
        <f>EnergyLJ($A117,$C$2,$C$3,shape_factors!K$2,$C$4,shape_factors!K$3)</f>
        <v>-1.3886338819440488E-3</v>
      </c>
      <c r="L117" s="5">
        <f>EnergyLJ($A117,$C$2,$C$3,shape_factors!L$2,$C$4,shape_factors!L$3)</f>
        <v>-1.7373829646833839E-3</v>
      </c>
      <c r="M117" s="5">
        <f>EnergyLJ($A117,$C$2,$C$3,shape_factors!M$2,$C$4,shape_factors!M$3)</f>
        <v>-1.2554479062490841E-3</v>
      </c>
      <c r="N117" s="5">
        <f>EnergyLJ($A117,$C$2,$C$3,shape_factors!N$2,$C$4,shape_factors!N$3)</f>
        <v>-9.3244373441782693E-4</v>
      </c>
      <c r="O117" s="5">
        <f>EnergyLJ($A117,$C$2,$C$3,shape_factors!O$2,$C$4,shape_factors!O$3)</f>
        <v>-8.6878737580034352E-4</v>
      </c>
      <c r="P117" s="5">
        <f>EnergyLJ($A117,$C$2,$C$3,shape_factors!P$2,$C$4,shape_factors!P$3)</f>
        <v>-9.5245366620615363E-4</v>
      </c>
      <c r="Q117" s="5">
        <f>EnergyLJ($A117,$C$2,$C$3,shape_factors!Q$2,$C$4,shape_factors!Q$3)</f>
        <v>-9.7986195939147214E-4</v>
      </c>
      <c r="R117" s="5">
        <f>EnergyLJ($A117,$C$2,$C$3,shape_factors!R$2,$C$4,shape_factors!R$3)</f>
        <v>-1.9691515502949885E-3</v>
      </c>
      <c r="S117" s="5">
        <f>EnergyLJ($A117,$C$2,$C$3,shape_factors!S$2,$C$4,shape_factors!S$3)</f>
        <v>-1.0921165991107202E-3</v>
      </c>
      <c r="T117" s="5">
        <f>EnergyLJ($A117,$C$2,$C$3,shape_factors!T$2,$C$4,shape_factors!T$3)</f>
        <v>-8.3041536511921279E-4</v>
      </c>
      <c r="U117" s="5">
        <f>EnergyLJ($A117,$C$2,$C$3,shape_factors!U$2,$C$4,shape_factors!U$3)</f>
        <v>-1.9471707969219963E-3</v>
      </c>
    </row>
    <row r="118" spans="1:21" x14ac:dyDescent="0.25">
      <c r="A118">
        <v>24.2</v>
      </c>
      <c r="B118" s="5">
        <f>EnergyLJ($A118,$C$2,$C$3,shape_factors!B$2,$C$4,shape_factors!B$3)</f>
        <v>-6.2710166784417576E-3</v>
      </c>
      <c r="C118" s="5">
        <f>EnergyLJ($A118,$C$2,$C$3,shape_factors!C$2,$C$4,shape_factors!C$3)</f>
        <v>-2.0411017347772191E-3</v>
      </c>
      <c r="D118" s="5">
        <f>EnergyLJ($A118,$C$2,$C$3,shape_factors!D$2,$C$4,shape_factors!D$3)</f>
        <v>-8.3331223733112882E-3</v>
      </c>
      <c r="E118" s="5">
        <f>EnergyLJ($A118,$C$2,$C$3,shape_factors!E$2,$C$4,shape_factors!E$3)</f>
        <v>-3.2189453871786008E-3</v>
      </c>
      <c r="F118" s="5">
        <f>EnergyLJ($A118,$C$2,$C$3,shape_factors!F$2,$C$4,shape_factors!F$3)</f>
        <v>-1.8362064070622137E-3</v>
      </c>
      <c r="G118" s="5">
        <f>EnergyLJ($A118,$C$2,$C$3,shape_factors!G$2,$C$4,shape_factors!G$3)</f>
        <v>-2.2753831267474326E-3</v>
      </c>
      <c r="H118" s="5">
        <f>EnergyLJ($A118,$C$2,$C$3,shape_factors!H$2,$C$4,shape_factors!H$3)</f>
        <v>-3.564131746360661E-2</v>
      </c>
      <c r="I118" s="5">
        <f>EnergyLJ($A118,$C$2,$C$3,shape_factors!I$2,$C$4,shape_factors!I$3)</f>
        <v>-3.8914971792408555E-3</v>
      </c>
      <c r="J118" s="5">
        <f>EnergyLJ($A118,$C$2,$C$3,shape_factors!J$2,$C$4,shape_factors!J$3)</f>
        <v>-1.1597087592613456E-3</v>
      </c>
      <c r="K118" s="5">
        <f>EnergyLJ($A118,$C$2,$C$3,shape_factors!K$2,$C$4,shape_factors!K$3)</f>
        <v>-1.3212043386947334E-3</v>
      </c>
      <c r="L118" s="5">
        <f>EnergyLJ($A118,$C$2,$C$3,shape_factors!L$2,$C$4,shape_factors!L$3)</f>
        <v>-1.6530254753644952E-3</v>
      </c>
      <c r="M118" s="5">
        <f>EnergyLJ($A118,$C$2,$C$3,shape_factors!M$2,$C$4,shape_factors!M$3)</f>
        <v>-1.1944837902998146E-3</v>
      </c>
      <c r="N118" s="5">
        <f>EnergyLJ($A118,$C$2,$C$3,shape_factors!N$2,$C$4,shape_factors!N$3)</f>
        <v>-8.8716127181280862E-4</v>
      </c>
      <c r="O118" s="5">
        <f>EnergyLJ($A118,$C$2,$C$3,shape_factors!O$2,$C$4,shape_factors!O$3)</f>
        <v>-8.2659566137373698E-4</v>
      </c>
      <c r="P118" s="5">
        <f>EnergyLJ($A118,$C$2,$C$3,shape_factors!P$2,$C$4,shape_factors!P$3)</f>
        <v>-9.0619966694096253E-4</v>
      </c>
      <c r="Q118" s="5">
        <f>EnergyLJ($A118,$C$2,$C$3,shape_factors!Q$2,$C$4,shape_factors!Q$3)</f>
        <v>-9.3227722720023434E-4</v>
      </c>
      <c r="R118" s="5">
        <f>EnergyLJ($A118,$C$2,$C$3,shape_factors!R$2,$C$4,shape_factors!R$3)</f>
        <v>-1.8735457201216298E-3</v>
      </c>
      <c r="S118" s="5">
        <f>EnergyLJ($A118,$C$2,$C$3,shape_factors!S$2,$C$4,shape_factors!S$3)</f>
        <v>-1.0390818299841856E-3</v>
      </c>
      <c r="T118" s="5">
        <f>EnergyLJ($A118,$C$2,$C$3,shape_factors!T$2,$C$4,shape_factors!T$3)</f>
        <v>-7.9008679477359867E-4</v>
      </c>
      <c r="U118" s="5">
        <f>EnergyLJ($A118,$C$2,$C$3,shape_factors!U$2,$C$4,shape_factors!U$3)</f>
        <v>-1.8526316998174076E-3</v>
      </c>
    </row>
    <row r="119" spans="1:21" x14ac:dyDescent="0.25">
      <c r="A119">
        <v>24.4</v>
      </c>
      <c r="B119" s="5">
        <f>EnergyLJ($A119,$C$2,$C$3,shape_factors!B$2,$C$4,shape_factors!B$3)</f>
        <v>-5.9692879689392311E-3</v>
      </c>
      <c r="C119" s="5">
        <f>EnergyLJ($A119,$C$2,$C$3,shape_factors!C$2,$C$4,shape_factors!C$3)</f>
        <v>-1.9427998841864997E-3</v>
      </c>
      <c r="D119" s="5">
        <f>EnergyLJ($A119,$C$2,$C$3,shape_factors!D$2,$C$4,shape_factors!D$3)</f>
        <v>-7.9323648134869956E-3</v>
      </c>
      <c r="E119" s="5">
        <f>EnergyLJ($A119,$C$2,$C$3,shape_factors!E$2,$C$4,shape_factors!E$3)</f>
        <v>-3.0639587107420584E-3</v>
      </c>
      <c r="F119" s="5">
        <f>EnergyLJ($A119,$C$2,$C$3,shape_factors!F$2,$C$4,shape_factors!F$3)</f>
        <v>-1.7477684396413127E-3</v>
      </c>
      <c r="G119" s="5">
        <f>EnergyLJ($A119,$C$2,$C$3,shape_factors!G$2,$C$4,shape_factors!G$3)</f>
        <v>-2.1658038428167227E-3</v>
      </c>
      <c r="H119" s="5">
        <f>EnergyLJ($A119,$C$2,$C$3,shape_factors!H$2,$C$4,shape_factors!H$3)</f>
        <v>-3.3938106319397768E-2</v>
      </c>
      <c r="I119" s="5">
        <f>EnergyLJ($A119,$C$2,$C$3,shape_factors!I$2,$C$4,shape_factors!I$3)</f>
        <v>-3.704156968258758E-3</v>
      </c>
      <c r="J119" s="5">
        <f>EnergyLJ($A119,$C$2,$C$3,shape_factors!J$2,$C$4,shape_factors!J$3)</f>
        <v>-1.1038446483894191E-3</v>
      </c>
      <c r="K119" s="5">
        <f>EnergyLJ($A119,$C$2,$C$3,shape_factors!K$2,$C$4,shape_factors!K$3)</f>
        <v>-1.2575631875013453E-3</v>
      </c>
      <c r="L119" s="5">
        <f>EnergyLJ($A119,$C$2,$C$3,shape_factors!L$2,$C$4,shape_factors!L$3)</f>
        <v>-1.573406814846994E-3</v>
      </c>
      <c r="M119" s="5">
        <f>EnergyLJ($A119,$C$2,$C$3,shape_factors!M$2,$C$4,shape_factors!M$3)</f>
        <v>-1.1369449920826161E-3</v>
      </c>
      <c r="N119" s="5">
        <f>EnergyLJ($A119,$C$2,$C$3,shape_factors!N$2,$C$4,shape_factors!N$3)</f>
        <v>-8.4442335147276405E-4</v>
      </c>
      <c r="O119" s="5">
        <f>EnergyLJ($A119,$C$2,$C$3,shape_factors!O$2,$C$4,shape_factors!O$3)</f>
        <v>-7.8677486888895261E-4</v>
      </c>
      <c r="P119" s="5">
        <f>EnergyLJ($A119,$C$2,$C$3,shape_factors!P$2,$C$4,shape_factors!P$3)</f>
        <v>-8.6254478351240527E-4</v>
      </c>
      <c r="Q119" s="5">
        <f>EnergyLJ($A119,$C$2,$C$3,shape_factors!Q$2,$C$4,shape_factors!Q$3)</f>
        <v>-8.8736636000137539E-4</v>
      </c>
      <c r="R119" s="5">
        <f>EnergyLJ($A119,$C$2,$C$3,shape_factors!R$2,$C$4,shape_factors!R$3)</f>
        <v>-1.7833101291921236E-3</v>
      </c>
      <c r="S119" s="5">
        <f>EnergyLJ($A119,$C$2,$C$3,shape_factors!S$2,$C$4,shape_factors!S$3)</f>
        <v>-9.8902704596683447E-4</v>
      </c>
      <c r="T119" s="5">
        <f>EnergyLJ($A119,$C$2,$C$3,shape_factors!T$2,$C$4,shape_factors!T$3)</f>
        <v>-7.520244816900507E-4</v>
      </c>
      <c r="U119" s="5">
        <f>EnergyLJ($A119,$C$2,$C$3,shape_factors!U$2,$C$4,shape_factors!U$3)</f>
        <v>-1.763402967103667E-3</v>
      </c>
    </row>
    <row r="120" spans="1:21" x14ac:dyDescent="0.25">
      <c r="A120">
        <v>24.6</v>
      </c>
      <c r="B120" s="5">
        <f>EnergyLJ($A120,$C$2,$C$3,shape_factors!B$2,$C$4,shape_factors!B$3)</f>
        <v>-5.6843450592013621E-3</v>
      </c>
      <c r="C120" s="5">
        <f>EnergyLJ($A120,$C$2,$C$3,shape_factors!C$2,$C$4,shape_factors!C$3)</f>
        <v>-1.8499755800867183E-3</v>
      </c>
      <c r="D120" s="5">
        <f>EnergyLJ($A120,$C$2,$C$3,shape_factors!D$2,$C$4,shape_factors!D$3)</f>
        <v>-7.5538846506234443E-3</v>
      </c>
      <c r="E120" s="5">
        <f>EnergyLJ($A120,$C$2,$C$3,shape_factors!E$2,$C$4,shape_factors!E$3)</f>
        <v>-2.9176042968729748E-3</v>
      </c>
      <c r="F120" s="5">
        <f>EnergyLJ($A120,$C$2,$C$3,shape_factors!F$2,$C$4,shape_factors!F$3)</f>
        <v>-1.6642587690239405E-3</v>
      </c>
      <c r="G120" s="5">
        <f>EnergyLJ($A120,$C$2,$C$3,shape_factors!G$2,$C$4,shape_factors!G$3)</f>
        <v>-2.0623299608352134E-3</v>
      </c>
      <c r="H120" s="5">
        <f>EnergyLJ($A120,$C$2,$C$3,shape_factors!H$2,$C$4,shape_factors!H$3)</f>
        <v>-3.2328562877224895E-2</v>
      </c>
      <c r="I120" s="5">
        <f>EnergyLJ($A120,$C$2,$C$3,shape_factors!I$2,$C$4,shape_factors!I$3)</f>
        <v>-3.5272483414104756E-3</v>
      </c>
      <c r="J120" s="5">
        <f>EnergyLJ($A120,$C$2,$C$3,shape_factors!J$2,$C$4,shape_factors!J$3)</f>
        <v>-1.0510944202348487E-3</v>
      </c>
      <c r="K120" s="5">
        <f>EnergyLJ($A120,$C$2,$C$3,shape_factors!K$2,$C$4,shape_factors!K$3)</f>
        <v>-1.1974691968067203E-3</v>
      </c>
      <c r="L120" s="5">
        <f>EnergyLJ($A120,$C$2,$C$3,shape_factors!L$2,$C$4,shape_factors!L$3)</f>
        <v>-1.4982252940948749E-3</v>
      </c>
      <c r="M120" s="5">
        <f>EnergyLJ($A120,$C$2,$C$3,shape_factors!M$2,$C$4,shape_factors!M$3)</f>
        <v>-1.0826133819593856E-3</v>
      </c>
      <c r="N120" s="5">
        <f>EnergyLJ($A120,$C$2,$C$3,shape_factors!N$2,$C$4,shape_factors!N$3)</f>
        <v>-8.0406790162735491E-4</v>
      </c>
      <c r="O120" s="5">
        <f>EnergyLJ($A120,$C$2,$C$3,shape_factors!O$2,$C$4,shape_factors!O$3)</f>
        <v>-7.4917397938184668E-4</v>
      </c>
      <c r="P120" s="5">
        <f>EnergyLJ($A120,$C$2,$C$3,shape_factors!P$2,$C$4,shape_factors!P$3)</f>
        <v>-8.213234701278004E-4</v>
      </c>
      <c r="Q120" s="5">
        <f>EnergyLJ($A120,$C$2,$C$3,shape_factors!Q$2,$C$4,shape_factors!Q$3)</f>
        <v>-8.4495905378587728E-4</v>
      </c>
      <c r="R120" s="5">
        <f>EnergyLJ($A120,$C$2,$C$3,shape_factors!R$2,$C$4,shape_factors!R$3)</f>
        <v>-1.6981029383404602E-3</v>
      </c>
      <c r="S120" s="5">
        <f>EnergyLJ($A120,$C$2,$C$3,shape_factors!S$2,$C$4,shape_factors!S$3)</f>
        <v>-9.4176245836350488E-4</v>
      </c>
      <c r="T120" s="5">
        <f>EnergyLJ($A120,$C$2,$C$3,shape_factors!T$2,$C$4,shape_factors!T$3)</f>
        <v>-7.1608407034731215E-4</v>
      </c>
      <c r="U120" s="5">
        <f>EnergyLJ($A120,$C$2,$C$3,shape_factors!U$2,$C$4,shape_factors!U$3)</f>
        <v>-1.6791465664563955E-3</v>
      </c>
    </row>
    <row r="121" spans="1:21" x14ac:dyDescent="0.25">
      <c r="A121">
        <v>24.8</v>
      </c>
      <c r="B121" s="5">
        <f>EnergyLJ($A121,$C$2,$C$3,shape_factors!B$2,$C$4,shape_factors!B$3)</f>
        <v>-5.4151306521936192E-3</v>
      </c>
      <c r="C121" s="5">
        <f>EnergyLJ($A121,$C$2,$C$3,shape_factors!C$2,$C$4,shape_factors!C$3)</f>
        <v>-1.7622829229462552E-3</v>
      </c>
      <c r="D121" s="5">
        <f>EnergyLJ($A121,$C$2,$C$3,shape_factors!D$2,$C$4,shape_factors!D$3)</f>
        <v>-7.1962804461606781E-3</v>
      </c>
      <c r="E121" s="5">
        <f>EnergyLJ($A121,$C$2,$C$3,shape_factors!E$2,$C$4,shape_factors!E$3)</f>
        <v>-2.7793374158609141E-3</v>
      </c>
      <c r="F121" s="5">
        <f>EnergyLJ($A121,$C$2,$C$3,shape_factors!F$2,$C$4,shape_factors!F$3)</f>
        <v>-1.5853661417822523E-3</v>
      </c>
      <c r="G121" s="5">
        <f>EnergyLJ($A121,$C$2,$C$3,shape_factors!G$2,$C$4,shape_factors!G$3)</f>
        <v>-1.9645759872826143E-3</v>
      </c>
      <c r="H121" s="5">
        <f>EnergyLJ($A121,$C$2,$C$3,shape_factors!H$2,$C$4,shape_factors!H$3)</f>
        <v>-3.0806895934353082E-2</v>
      </c>
      <c r="I121" s="5">
        <f>EnergyLJ($A121,$C$2,$C$3,shape_factors!I$2,$C$4,shape_factors!I$3)</f>
        <v>-3.3601132914689168E-3</v>
      </c>
      <c r="J121" s="5">
        <f>EnergyLJ($A121,$C$2,$C$3,shape_factors!J$2,$C$4,shape_factors!J$3)</f>
        <v>-1.0012613334740104E-3</v>
      </c>
      <c r="K121" s="5">
        <f>EnergyLJ($A121,$C$2,$C$3,shape_factors!K$2,$C$4,shape_factors!K$3)</f>
        <v>-1.1406982716039606E-3</v>
      </c>
      <c r="L121" s="5">
        <f>EnergyLJ($A121,$C$2,$C$3,shape_factors!L$2,$C$4,shape_factors!L$3)</f>
        <v>-1.4272006486024192E-3</v>
      </c>
      <c r="M121" s="5">
        <f>EnergyLJ($A121,$C$2,$C$3,shape_factors!M$2,$C$4,shape_factors!M$3)</f>
        <v>-1.0312863276053374E-3</v>
      </c>
      <c r="N121" s="5">
        <f>EnergyLJ($A121,$C$2,$C$3,shape_factors!N$2,$C$4,shape_factors!N$3)</f>
        <v>-7.6594436848314185E-4</v>
      </c>
      <c r="O121" s="5">
        <f>EnergyLJ($A121,$C$2,$C$3,shape_factors!O$2,$C$4,shape_factors!O$3)</f>
        <v>-7.1365270699234634E-4</v>
      </c>
      <c r="P121" s="5">
        <f>EnergyLJ($A121,$C$2,$C$3,shape_factors!P$2,$C$4,shape_factors!P$3)</f>
        <v>-7.823819456470462E-4</v>
      </c>
      <c r="Q121" s="5">
        <f>EnergyLJ($A121,$C$2,$C$3,shape_factors!Q$2,$C$4,shape_factors!Q$3)</f>
        <v>-8.0489710704362586E-4</v>
      </c>
      <c r="R121" s="5">
        <f>EnergyLJ($A121,$C$2,$C$3,shape_factors!R$2,$C$4,shape_factors!R$3)</f>
        <v>-1.6176065790900042E-3</v>
      </c>
      <c r="S121" s="5">
        <f>EnergyLJ($A121,$C$2,$C$3,shape_factors!S$2,$C$4,shape_factors!S$3)</f>
        <v>-8.9711176426810054E-4</v>
      </c>
      <c r="T121" s="5">
        <f>EnergyLJ($A121,$C$2,$C$3,shape_factors!T$2,$C$4,shape_factors!T$3)</f>
        <v>-6.8213146510539885E-4</v>
      </c>
      <c r="U121" s="5">
        <f>EnergyLJ($A121,$C$2,$C$3,shape_factors!U$2,$C$4,shape_factors!U$3)</f>
        <v>-1.5995484664333534E-3</v>
      </c>
    </row>
    <row r="122" spans="1:21" x14ac:dyDescent="0.25">
      <c r="A122">
        <v>25</v>
      </c>
      <c r="B122" s="5">
        <f>EnergyLJ($A122,$C$2,$C$3,shape_factors!B$2,$C$4,shape_factors!B$3)</f>
        <v>-5.1606616368921644E-3</v>
      </c>
      <c r="C122" s="5">
        <f>EnergyLJ($A122,$C$2,$C$3,shape_factors!C$2,$C$4,shape_factors!C$3)</f>
        <v>-1.6794003780515904E-3</v>
      </c>
      <c r="D122" s="5">
        <f>EnergyLJ($A122,$C$2,$C$3,shape_factors!D$2,$C$4,shape_factors!D$3)</f>
        <v>-6.8582489057816276E-3</v>
      </c>
      <c r="E122" s="5">
        <f>EnergyLJ($A122,$C$2,$C$3,shape_factors!E$2,$C$4,shape_factors!E$3)</f>
        <v>-2.6486516669745564E-3</v>
      </c>
      <c r="F122" s="5">
        <f>EnergyLJ($A122,$C$2,$C$3,shape_factors!F$2,$C$4,shape_factors!F$3)</f>
        <v>-1.5108012329589865E-3</v>
      </c>
      <c r="G122" s="5">
        <f>EnergyLJ($A122,$C$2,$C$3,shape_factors!G$2,$C$4,shape_factors!G$3)</f>
        <v>-1.8721835766222126E-3</v>
      </c>
      <c r="H122" s="5">
        <f>EnergyLJ($A122,$C$2,$C$3,shape_factors!H$2,$C$4,shape_factors!H$3)</f>
        <v>-2.9367708983390681E-2</v>
      </c>
      <c r="I122" s="5">
        <f>EnergyLJ($A122,$C$2,$C$3,shape_factors!I$2,$C$4,shape_factors!I$3)</f>
        <v>-3.2021400822329063E-3</v>
      </c>
      <c r="J122" s="5">
        <f>EnergyLJ($A122,$C$2,$C$3,shape_factors!J$2,$C$4,shape_factors!J$3)</f>
        <v>-9.5416251615285867E-4</v>
      </c>
      <c r="K122" s="5">
        <f>EnergyLJ($A122,$C$2,$C$3,shape_factors!K$2,$C$4,shape_factors!K$3)</f>
        <v>-1.0870421122509241E-3</v>
      </c>
      <c r="L122" s="5">
        <f>EnergyLJ($A122,$C$2,$C$3,shape_factors!L$2,$C$4,shape_factors!L$3)</f>
        <v>-1.3600723623884902E-3</v>
      </c>
      <c r="M122" s="5">
        <f>EnergyLJ($A122,$C$2,$C$3,shape_factors!M$2,$C$4,shape_factors!M$3)</f>
        <v>-9.8277548090338913E-4</v>
      </c>
      <c r="N122" s="5">
        <f>EnergyLJ($A122,$C$2,$C$3,shape_factors!N$2,$C$4,shape_factors!N$3)</f>
        <v>-7.2991281422833112E-4</v>
      </c>
      <c r="O122" s="5">
        <f>EnergyLJ($A122,$C$2,$C$3,shape_factors!O$2,$C$4,shape_factors!O$3)</f>
        <v>-6.8008065836331927E-4</v>
      </c>
      <c r="P122" s="5">
        <f>EnergyLJ($A122,$C$2,$C$3,shape_factors!P$2,$C$4,shape_factors!P$3)</f>
        <v>-7.4557727229411259E-4</v>
      </c>
      <c r="Q122" s="5">
        <f>EnergyLJ($A122,$C$2,$C$3,shape_factors!Q$2,$C$4,shape_factors!Q$3)</f>
        <v>-7.6703347305258427E-4</v>
      </c>
      <c r="R122" s="5">
        <f>EnergyLJ($A122,$C$2,$C$3,shape_factors!R$2,$C$4,shape_factors!R$3)</f>
        <v>-1.5415258555832535E-3</v>
      </c>
      <c r="S122" s="5">
        <f>EnergyLJ($A122,$C$2,$C$3,shape_factors!S$2,$C$4,shape_factors!S$3)</f>
        <v>-8.5491109068839308E-4</v>
      </c>
      <c r="T122" s="5">
        <f>EnergyLJ($A122,$C$2,$C$3,shape_factors!T$2,$C$4,shape_factors!T$3)</f>
        <v>-6.5004202662580419E-4</v>
      </c>
      <c r="U122" s="5">
        <f>EnergyLJ($A122,$C$2,$C$3,shape_factors!U$2,$C$4,shape_factors!U$3)</f>
        <v>-1.5243167594492912E-3</v>
      </c>
    </row>
    <row r="123" spans="1:21" x14ac:dyDescent="0.25">
      <c r="A123">
        <v>25.2</v>
      </c>
      <c r="B123" s="5">
        <f>EnergyLJ($A123,$C$2,$C$3,shape_factors!B$2,$C$4,shape_factors!B$3)</f>
        <v>-4.9200233651791169E-3</v>
      </c>
      <c r="C123" s="5">
        <f>EnergyLJ($A123,$C$2,$C$3,shape_factors!C$2,$C$4,shape_factors!C$3)</f>
        <v>-1.6010288850833057E-3</v>
      </c>
      <c r="D123" s="5">
        <f>EnergyLJ($A123,$C$2,$C$3,shape_factors!D$2,$C$4,shape_factors!D$3)</f>
        <v>-6.5385773295855865E-3</v>
      </c>
      <c r="E123" s="5">
        <f>EnergyLJ($A123,$C$2,$C$3,shape_factors!E$2,$C$4,shape_factors!E$3)</f>
        <v>-2.5250760092724658E-3</v>
      </c>
      <c r="F123" s="5">
        <f>EnergyLJ($A123,$C$2,$C$3,shape_factors!F$2,$C$4,shape_factors!F$3)</f>
        <v>-1.4402949442103728E-3</v>
      </c>
      <c r="G123" s="5">
        <f>EnergyLJ($A123,$C$2,$C$3,shape_factors!G$2,$C$4,shape_factors!G$3)</f>
        <v>-1.7848194255949917E-3</v>
      </c>
      <c r="H123" s="5">
        <f>EnergyLJ($A123,$C$2,$C$3,shape_factors!H$2,$C$4,shape_factors!H$3)</f>
        <v>-2.8005971093268269E-2</v>
      </c>
      <c r="I123" s="5">
        <f>EnergyLJ($A123,$C$2,$C$3,shape_factors!I$2,$C$4,shape_factors!I$3)</f>
        <v>-3.0527596673484547E-3</v>
      </c>
      <c r="J123" s="5">
        <f>EnergyLJ($A123,$C$2,$C$3,shape_factors!J$2,$C$4,shape_factors!J$3)</f>
        <v>-9.0962788832346219E-4</v>
      </c>
      <c r="K123" s="5">
        <f>EnergyLJ($A123,$C$2,$C$3,shape_factors!K$2,$C$4,shape_factors!K$3)</f>
        <v>-1.0363069877598113E-3</v>
      </c>
      <c r="L123" s="5">
        <f>EnergyLJ($A123,$C$2,$C$3,shape_factors!L$2,$C$4,shape_factors!L$3)</f>
        <v>-1.2965981349498427E-3</v>
      </c>
      <c r="M123" s="5">
        <f>EnergyLJ($A123,$C$2,$C$3,shape_factors!M$2,$C$4,shape_factors!M$3)</f>
        <v>-9.3690566840755546E-4</v>
      </c>
      <c r="N123" s="5">
        <f>EnergyLJ($A123,$C$2,$C$3,shape_factors!N$2,$C$4,shape_factors!N$3)</f>
        <v>-6.9584309209226244E-4</v>
      </c>
      <c r="O123" s="5">
        <f>EnergyLJ($A123,$C$2,$C$3,shape_factors!O$2,$C$4,shape_factors!O$3)</f>
        <v>-6.4833656385805292E-4</v>
      </c>
      <c r="P123" s="5">
        <f>EnergyLJ($A123,$C$2,$C$3,shape_factors!P$2,$C$4,shape_factors!P$3)</f>
        <v>-7.1077651306848178E-4</v>
      </c>
      <c r="Q123" s="5">
        <f>EnergyLJ($A123,$C$2,$C$3,shape_factors!Q$2,$C$4,shape_factors!Q$3)</f>
        <v>-7.312313931208391E-4</v>
      </c>
      <c r="R123" s="5">
        <f>EnergyLJ($A123,$C$2,$C$3,shape_factors!R$2,$C$4,shape_factors!R$3)</f>
        <v>-1.469586208341052E-3</v>
      </c>
      <c r="S123" s="5">
        <f>EnergyLJ($A123,$C$2,$C$3,shape_factors!S$2,$C$4,shape_factors!S$3)</f>
        <v>-8.1500802884399988E-4</v>
      </c>
      <c r="T123" s="5">
        <f>EnergyLJ($A123,$C$2,$C$3,shape_factors!T$2,$C$4,shape_factors!T$3)</f>
        <v>-6.1969983695226046E-4</v>
      </c>
      <c r="U123" s="5">
        <f>EnergyLJ($A123,$C$2,$C$3,shape_factors!U$2,$C$4,shape_factors!U$3)</f>
        <v>-1.4531799447926252E-3</v>
      </c>
    </row>
    <row r="124" spans="1:21" x14ac:dyDescent="0.25">
      <c r="A124">
        <v>25.4</v>
      </c>
      <c r="B124" s="5">
        <f>EnergyLJ($A124,$C$2,$C$3,shape_factors!B$2,$C$4,shape_factors!B$3)</f>
        <v>-4.6923644088958253E-3</v>
      </c>
      <c r="C124" s="5">
        <f>EnergyLJ($A124,$C$2,$C$3,shape_factors!C$2,$C$4,shape_factors!C$3)</f>
        <v>-1.526890127603006E-3</v>
      </c>
      <c r="D124" s="5">
        <f>EnergyLJ($A124,$C$2,$C$3,shape_factors!D$2,$C$4,shape_factors!D$3)</f>
        <v>-6.2361366930675051E-3</v>
      </c>
      <c r="E124" s="5">
        <f>EnergyLJ($A124,$C$2,$C$3,shape_factors!E$2,$C$4,shape_factors!E$3)</f>
        <v>-2.4081720430124236E-3</v>
      </c>
      <c r="F124" s="5">
        <f>EnergyLJ($A124,$C$2,$C$3,shape_factors!F$2,$C$4,shape_factors!F$3)</f>
        <v>-1.3735968459651325E-3</v>
      </c>
      <c r="G124" s="5">
        <f>EnergyLJ($A124,$C$2,$C$3,shape_factors!G$2,$C$4,shape_factors!G$3)</f>
        <v>-1.7021733455559395E-3</v>
      </c>
      <c r="H124" s="5">
        <f>EnergyLJ($A124,$C$2,$C$3,shape_factors!H$2,$C$4,shape_factors!H$3)</f>
        <v>-2.6716990072089407E-2</v>
      </c>
      <c r="I124" s="5">
        <f>EnergyLJ($A124,$C$2,$C$3,shape_factors!I$2,$C$4,shape_factors!I$3)</f>
        <v>-2.9114424109882549E-3</v>
      </c>
      <c r="J124" s="5">
        <f>EnergyLJ($A124,$C$2,$C$3,shape_factors!J$2,$C$4,shape_factors!J$3)</f>
        <v>-8.6749917596688352E-4</v>
      </c>
      <c r="K124" s="5">
        <f>EnergyLJ($A124,$C$2,$C$3,shape_factors!K$2,$C$4,shape_factors!K$3)</f>
        <v>-9.883126129957905E-4</v>
      </c>
      <c r="L124" s="5">
        <f>EnergyLJ($A124,$C$2,$C$3,shape_factors!L$2,$C$4,shape_factors!L$3)</f>
        <v>-1.2365524779903378E-3</v>
      </c>
      <c r="M124" s="5">
        <f>EnergyLJ($A124,$C$2,$C$3,shape_factors!M$2,$C$4,shape_factors!M$3)</f>
        <v>-8.9351387581260123E-4</v>
      </c>
      <c r="N124" s="5">
        <f>EnergyLJ($A124,$C$2,$C$3,shape_factors!N$2,$C$4,shape_factors!N$3)</f>
        <v>-6.6361409133900123E-4</v>
      </c>
      <c r="O124" s="5">
        <f>EnergyLJ($A124,$C$2,$C$3,shape_factors!O$2,$C$4,shape_factors!O$3)</f>
        <v>-6.1830757395847625E-4</v>
      </c>
      <c r="P124" s="5">
        <f>EnergyLJ($A124,$C$2,$C$3,shape_factors!P$2,$C$4,shape_factors!P$3)</f>
        <v>-6.7785596058424571E-4</v>
      </c>
      <c r="Q124" s="5">
        <f>EnergyLJ($A124,$C$2,$C$3,shape_factors!Q$2,$C$4,shape_factors!Q$3)</f>
        <v>-6.97363603301581E-4</v>
      </c>
      <c r="R124" s="5">
        <f>EnergyLJ($A124,$C$2,$C$3,shape_factors!R$2,$C$4,shape_factors!R$3)</f>
        <v>-1.4015321249371143E-3</v>
      </c>
      <c r="S124" s="5">
        <f>EnergyLJ($A124,$C$2,$C$3,shape_factors!S$2,$C$4,shape_factors!S$3)</f>
        <v>-7.7726075030808747E-4</v>
      </c>
      <c r="T124" s="5">
        <f>EnergyLJ($A124,$C$2,$C$3,shape_factors!T$2,$C$4,shape_factors!T$3)</f>
        <v>-5.9099702690543947E-4</v>
      </c>
      <c r="U124" s="5">
        <f>EnergyLJ($A124,$C$2,$C$3,shape_factors!U$2,$C$4,shape_factors!U$3)</f>
        <v>-1.38588535693369E-3</v>
      </c>
    </row>
    <row r="125" spans="1:21" x14ac:dyDescent="0.25">
      <c r="A125">
        <v>25.6</v>
      </c>
      <c r="B125" s="5">
        <f>EnergyLJ($A125,$C$2,$C$3,shape_factors!B$2,$C$4,shape_factors!B$3)</f>
        <v>-4.476891753654298E-3</v>
      </c>
      <c r="C125" s="5">
        <f>EnergyLJ($A125,$C$2,$C$3,shape_factors!C$2,$C$4,shape_factors!C$3)</f>
        <v>-1.4567249478296192E-3</v>
      </c>
      <c r="D125" s="5">
        <f>EnergyLJ($A125,$C$2,$C$3,shape_factors!D$2,$C$4,shape_factors!D$3)</f>
        <v>-5.9498753022215337E-3</v>
      </c>
      <c r="E125" s="5">
        <f>EnergyLJ($A125,$C$2,$C$3,shape_factors!E$2,$C$4,shape_factors!E$3)</f>
        <v>-2.2975315188175751E-3</v>
      </c>
      <c r="F125" s="5">
        <f>EnergyLJ($A125,$C$2,$C$3,shape_factors!F$2,$C$4,shape_factors!F$3)</f>
        <v>-1.3104737504242379E-3</v>
      </c>
      <c r="G125" s="5">
        <f>EnergyLJ($A125,$C$2,$C$3,shape_factors!G$2,$C$4,shape_factors!G$3)</f>
        <v>-1.6239564965832708E-3</v>
      </c>
      <c r="H125" s="5">
        <f>EnergyLJ($A125,$C$2,$C$3,shape_factors!H$2,$C$4,shape_factors!H$3)</f>
        <v>-2.5496387726272631E-2</v>
      </c>
      <c r="I125" s="5">
        <f>EnergyLJ($A125,$C$2,$C$3,shape_factors!I$2,$C$4,shape_factors!I$3)</f>
        <v>-2.7776950829254141E-3</v>
      </c>
      <c r="J125" s="5">
        <f>EnergyLJ($A125,$C$2,$C$3,shape_factors!J$2,$C$4,shape_factors!J$3)</f>
        <v>-8.27629007836226E-4</v>
      </c>
      <c r="K125" s="5">
        <f>EnergyLJ($A125,$C$2,$C$3,shape_factors!K$2,$C$4,shape_factors!K$3)</f>
        <v>-9.4289112026565774E-4</v>
      </c>
      <c r="L125" s="5">
        <f>EnergyLJ($A125,$C$2,$C$3,shape_factors!L$2,$C$4,shape_factors!L$3)</f>
        <v>-1.1797254300478016E-3</v>
      </c>
      <c r="M125" s="5">
        <f>EnergyLJ($A125,$C$2,$C$3,shape_factors!M$2,$C$4,shape_factors!M$3)</f>
        <v>-8.5244831781526955E-4</v>
      </c>
      <c r="N125" s="5">
        <f>EnergyLJ($A125,$C$2,$C$3,shape_factors!N$2,$C$4,shape_factors!N$3)</f>
        <v>-6.331130457811891E-4</v>
      </c>
      <c r="O125" s="5">
        <f>EnergyLJ($A125,$C$2,$C$3,shape_factors!O$2,$C$4,shape_factors!O$3)</f>
        <v>-5.8988861486528889E-4</v>
      </c>
      <c r="P125" s="5">
        <f>EnergyLJ($A125,$C$2,$C$3,shape_factors!P$2,$C$4,shape_factors!P$3)</f>
        <v>-6.4670043078635748E-4</v>
      </c>
      <c r="Q125" s="5">
        <f>EnergyLJ($A125,$C$2,$C$3,shape_factors!Q$2,$C$4,shape_factors!Q$3)</f>
        <v>-6.6531160784340736E-4</v>
      </c>
      <c r="R125" s="5">
        <f>EnergyLJ($A125,$C$2,$C$3,shape_factors!R$2,$C$4,shape_factors!R$3)</f>
        <v>-1.3371256841486513E-3</v>
      </c>
      <c r="S125" s="5">
        <f>EnergyLJ($A125,$C$2,$C$3,shape_factors!S$2,$C$4,shape_factors!S$3)</f>
        <v>-7.4153719748966363E-4</v>
      </c>
      <c r="T125" s="5">
        <f>EnergyLJ($A125,$C$2,$C$3,shape_factors!T$2,$C$4,shape_factors!T$3)</f>
        <v>-5.6383316007517612E-4</v>
      </c>
      <c r="U125" s="5">
        <f>EnergyLJ($A125,$C$2,$C$3,shape_factors!U$2,$C$4,shape_factors!U$3)</f>
        <v>-1.3221977258331419E-3</v>
      </c>
    </row>
    <row r="126" spans="1:21" x14ac:dyDescent="0.25">
      <c r="A126">
        <v>25.8</v>
      </c>
      <c r="B126" s="5">
        <f>EnergyLJ($A126,$C$2,$C$3,shape_factors!B$2,$C$4,shape_factors!B$3)</f>
        <v>-4.2728663901976252E-3</v>
      </c>
      <c r="C126" s="5">
        <f>EnergyLJ($A126,$C$2,$C$3,shape_factors!C$2,$C$4,shape_factors!C$3)</f>
        <v>-1.390291893518117E-3</v>
      </c>
      <c r="D126" s="5">
        <f>EnergyLJ($A126,$C$2,$C$3,shape_factors!D$2,$C$4,shape_factors!D$3)</f>
        <v>-5.6788129715151852E-3</v>
      </c>
      <c r="E126" s="5">
        <f>EnergyLJ($A126,$C$2,$C$3,shape_factors!E$2,$C$4,shape_factors!E$3)</f>
        <v>-2.1927740539891614E-3</v>
      </c>
      <c r="F126" s="5">
        <f>EnergyLJ($A126,$C$2,$C$3,shape_factors!F$2,$C$4,shape_factors!F$3)</f>
        <v>-1.2507084035197815E-3</v>
      </c>
      <c r="G126" s="5">
        <f>EnergyLJ($A126,$C$2,$C$3,shape_factors!G$2,$C$4,shape_factors!G$3)</f>
        <v>-1.549899768686172E-3</v>
      </c>
      <c r="H126" s="5">
        <f>EnergyLJ($A126,$C$2,$C$3,shape_factors!H$2,$C$4,shape_factors!H$3)</f>
        <v>-2.4340077045523961E-2</v>
      </c>
      <c r="I126" s="5">
        <f>EnergyLJ($A126,$C$2,$C$3,shape_factors!I$2,$C$4,shape_factors!I$3)</f>
        <v>-2.6510581032137643E-3</v>
      </c>
      <c r="J126" s="5">
        <f>EnergyLJ($A126,$C$2,$C$3,shape_factors!J$2,$C$4,shape_factors!J$3)</f>
        <v>-7.8988008767710903E-4</v>
      </c>
      <c r="K126" s="5">
        <f>EnergyLJ($A126,$C$2,$C$3,shape_factors!K$2,$C$4,shape_factors!K$3)</f>
        <v>-8.9988611671391048E-4</v>
      </c>
      <c r="L126" s="5">
        <f>EnergyLJ($A126,$C$2,$C$3,shape_factors!L$2,$C$4,shape_factors!L$3)</f>
        <v>-1.1259213783072985E-3</v>
      </c>
      <c r="M126" s="5">
        <f>EnergyLJ($A126,$C$2,$C$3,shape_factors!M$2,$C$4,shape_factors!M$3)</f>
        <v>-8.135675856002243E-4</v>
      </c>
      <c r="N126" s="5">
        <f>EnergyLJ($A126,$C$2,$C$3,shape_factors!N$2,$C$4,shape_factors!N$3)</f>
        <v>-6.042349000321915E-4</v>
      </c>
      <c r="O126" s="5">
        <f>EnergyLJ($A126,$C$2,$C$3,shape_factors!O$2,$C$4,shape_factors!O$3)</f>
        <v>-5.6298179791029442E-4</v>
      </c>
      <c r="P126" s="5">
        <f>EnergyLJ($A126,$C$2,$C$3,shape_factors!P$2,$C$4,shape_factors!P$3)</f>
        <v>-6.1720261563884586E-4</v>
      </c>
      <c r="Q126" s="5">
        <f>EnergyLJ($A126,$C$2,$C$3,shape_factors!Q$2,$C$4,shape_factors!Q$3)</f>
        <v>-6.3496501330201024E-4</v>
      </c>
      <c r="R126" s="5">
        <f>EnergyLJ($A126,$C$2,$C$3,shape_factors!R$2,$C$4,shape_factors!R$3)</f>
        <v>-1.2761452214632358E-3</v>
      </c>
      <c r="S126" s="5">
        <f>EnergyLJ($A126,$C$2,$C$3,shape_factors!S$2,$C$4,shape_factors!S$3)</f>
        <v>-7.0771434169211343E-4</v>
      </c>
      <c r="T126" s="5">
        <f>EnergyLJ($A126,$C$2,$C$3,shape_factors!T$2,$C$4,shape_factors!T$3)</f>
        <v>-5.3811466825715026E-4</v>
      </c>
      <c r="U126" s="5">
        <f>EnergyLJ($A126,$C$2,$C$3,shape_factors!U$2,$C$4,shape_factors!U$3)</f>
        <v>-1.2618978572640598E-3</v>
      </c>
    </row>
    <row r="127" spans="1:21" x14ac:dyDescent="0.25">
      <c r="A127">
        <v>26</v>
      </c>
      <c r="B127" s="5">
        <f>EnergyLJ($A127,$C$2,$C$3,shape_factors!B$2,$C$4,shape_factors!B$3)</f>
        <v>-4.079599267862024E-3</v>
      </c>
      <c r="C127" s="5">
        <f>EnergyLJ($A127,$C$2,$C$3,shape_factors!C$2,$C$4,shape_factors!C$3)</f>
        <v>-1.3273658850381795E-3</v>
      </c>
      <c r="D127" s="5">
        <f>EnergyLJ($A127,$C$2,$C$3,shape_factors!D$2,$C$4,shape_factors!D$3)</f>
        <v>-5.4220356783590351E-3</v>
      </c>
      <c r="E127" s="5">
        <f>EnergyLJ($A127,$C$2,$C$3,shape_factors!E$2,$C$4,shape_factors!E$3)</f>
        <v>-2.0935450373549213E-3</v>
      </c>
      <c r="F127" s="5">
        <f>EnergyLJ($A127,$C$2,$C$3,shape_factors!F$2,$C$4,shape_factors!F$3)</f>
        <v>-1.1940982851094081E-3</v>
      </c>
      <c r="G127" s="5">
        <f>EnergyLJ($A127,$C$2,$C$3,shape_factors!G$2,$C$4,shape_factors!G$3)</f>
        <v>-1.4797522968649081E-3</v>
      </c>
      <c r="H127" s="5">
        <f>EnergyLJ($A127,$C$2,$C$3,shape_factors!H$2,$C$4,shape_factors!H$3)</f>
        <v>-2.3244241157151638E-2</v>
      </c>
      <c r="I127" s="5">
        <f>EnergyLJ($A127,$C$2,$C$3,shape_factors!I$2,$C$4,shape_factors!I$3)</f>
        <v>-2.5311030140859302E-3</v>
      </c>
      <c r="J127" s="5">
        <f>EnergyLJ($A127,$C$2,$C$3,shape_factors!J$2,$C$4,shape_factors!J$3)</f>
        <v>-7.5412443501974072E-4</v>
      </c>
      <c r="K127" s="5">
        <f>EnergyLJ($A127,$C$2,$C$3,shape_factors!K$2,$C$4,shape_factors!K$3)</f>
        <v>-8.5915181978164247E-4</v>
      </c>
      <c r="L127" s="5">
        <f>EnergyLJ($A127,$C$2,$C$3,shape_factors!L$2,$C$4,shape_factors!L$3)</f>
        <v>-1.0749579779343018E-3</v>
      </c>
      <c r="M127" s="5">
        <f>EnergyLJ($A127,$C$2,$C$3,shape_factors!M$2,$C$4,shape_factors!M$3)</f>
        <v>-7.7673986494253603E-4</v>
      </c>
      <c r="N127" s="5">
        <f>EnergyLJ($A127,$C$2,$C$3,shape_factors!N$2,$C$4,shape_factors!N$3)</f>
        <v>-5.7688172827997973E-4</v>
      </c>
      <c r="O127" s="5">
        <f>EnergyLJ($A127,$C$2,$C$3,shape_factors!O$2,$C$4,shape_factors!O$3)</f>
        <v>-5.374958779184076E-4</v>
      </c>
      <c r="P127" s="5">
        <f>EnergyLJ($A127,$C$2,$C$3,shape_factors!P$2,$C$4,shape_factors!P$3)</f>
        <v>-5.8926248945721023E-4</v>
      </c>
      <c r="Q127" s="5">
        <f>EnergyLJ($A127,$C$2,$C$3,shape_factors!Q$2,$C$4,shape_factors!Q$3)</f>
        <v>-6.0622091783318172E-4</v>
      </c>
      <c r="R127" s="5">
        <f>EnergyLJ($A127,$C$2,$C$3,shape_factors!R$2,$C$4,shape_factors!R$3)</f>
        <v>-1.2183841050032805E-3</v>
      </c>
      <c r="S127" s="5">
        <f>EnergyLJ($A127,$C$2,$C$3,shape_factors!S$2,$C$4,shape_factors!S$3)</f>
        <v>-6.7567750264477928E-4</v>
      </c>
      <c r="T127" s="5">
        <f>EnergyLJ($A127,$C$2,$C$3,shape_factors!T$2,$C$4,shape_factors!T$3)</f>
        <v>-5.1375433368504883E-4</v>
      </c>
      <c r="U127" s="5">
        <f>EnergyLJ($A127,$C$2,$C$3,shape_factors!U$2,$C$4,shape_factors!U$3)</f>
        <v>-1.2047814223295737E-3</v>
      </c>
    </row>
    <row r="128" spans="1:21" x14ac:dyDescent="0.25">
      <c r="A128">
        <v>26.2</v>
      </c>
      <c r="B128" s="5">
        <f>EnergyLJ($A128,$C$2,$C$3,shape_factors!B$2,$C$4,shape_factors!B$3)</f>
        <v>-3.8964475780722038E-3</v>
      </c>
      <c r="C128" s="5">
        <f>EnergyLJ($A128,$C$2,$C$3,shape_factors!C$2,$C$4,shape_factors!C$3)</f>
        <v>-1.2677369919014492E-3</v>
      </c>
      <c r="D128" s="5">
        <f>EnergyLJ($A128,$C$2,$C$3,shape_factors!D$2,$C$4,shape_factors!D$3)</f>
        <v>-5.1786906520849951E-3</v>
      </c>
      <c r="E128" s="5">
        <f>EnergyLJ($A128,$C$2,$C$3,shape_factors!E$2,$C$4,shape_factors!E$3)</f>
        <v>-1.9995137058351599E-3</v>
      </c>
      <c r="F128" s="5">
        <f>EnergyLJ($A128,$C$2,$C$3,shape_factors!F$2,$C$4,shape_factors!F$3)</f>
        <v>-1.1404545077205992E-3</v>
      </c>
      <c r="G128" s="5">
        <f>EnergyLJ($A128,$C$2,$C$3,shape_factors!G$2,$C$4,shape_factors!G$3)</f>
        <v>-1.4132800980571978E-3</v>
      </c>
      <c r="H128" s="5">
        <f>EnergyLJ($A128,$C$2,$C$3,shape_factors!H$2,$C$4,shape_factors!H$3)</f>
        <v>-2.2205313906123479E-2</v>
      </c>
      <c r="I128" s="5">
        <f>EnergyLJ($A128,$C$2,$C$3,shape_factors!I$2,$C$4,shape_factors!I$3)</f>
        <v>-2.4174301588323296E-3</v>
      </c>
      <c r="J128" s="5">
        <f>EnergyLJ($A128,$C$2,$C$3,shape_factors!J$2,$C$4,shape_factors!J$3)</f>
        <v>-7.202426883968539E-4</v>
      </c>
      <c r="K128" s="5">
        <f>EnergyLJ($A128,$C$2,$C$3,shape_factors!K$2,$C$4,shape_factors!K$3)</f>
        <v>-8.2055226373443685E-4</v>
      </c>
      <c r="L128" s="5">
        <f>EnergyLJ($A128,$C$2,$C$3,shape_factors!L$2,$C$4,shape_factors!L$3)</f>
        <v>-1.0266651601973144E-3</v>
      </c>
      <c r="M128" s="5">
        <f>EnergyLJ($A128,$C$2,$C$3,shape_factors!M$2,$C$4,shape_factors!M$3)</f>
        <v>-7.4184221859819894E-4</v>
      </c>
      <c r="N128" s="5">
        <f>EnergyLJ($A128,$C$2,$C$3,shape_factors!N$2,$C$4,shape_factors!N$3)</f>
        <v>-5.5096220087258864E-4</v>
      </c>
      <c r="O128" s="5">
        <f>EnergyLJ($A128,$C$2,$C$3,shape_factors!O$2,$C$4,shape_factors!O$3)</f>
        <v>-5.1334575612891394E-4</v>
      </c>
      <c r="P128" s="5">
        <f>EnergyLJ($A128,$C$2,$C$3,shape_factors!P$2,$C$4,shape_factors!P$3)</f>
        <v>-5.6278676407437995E-4</v>
      </c>
      <c r="Q128" s="5">
        <f>EnergyLJ($A128,$C$2,$C$3,shape_factors!Q$2,$C$4,shape_factors!Q$3)</f>
        <v>-5.7898335071896346E-4</v>
      </c>
      <c r="R128" s="5">
        <f>EnergyLJ($A128,$C$2,$C$3,shape_factors!R$2,$C$4,shape_factors!R$3)</f>
        <v>-1.1636496119879702E-3</v>
      </c>
      <c r="S128" s="5">
        <f>EnergyLJ($A128,$C$2,$C$3,shape_factors!S$2,$C$4,shape_factors!S$3)</f>
        <v>-6.4531972399655161E-4</v>
      </c>
      <c r="T128" s="5">
        <f>EnergyLJ($A128,$C$2,$C$3,shape_factors!T$2,$C$4,shape_factors!T$3)</f>
        <v>-4.9067081386065141E-4</v>
      </c>
      <c r="U128" s="5">
        <f>EnergyLJ($A128,$C$2,$C$3,shape_factors!U$2,$C$4,shape_factors!U$3)</f>
        <v>-1.1506578464047562E-3</v>
      </c>
    </row>
    <row r="129" spans="1:21" x14ac:dyDescent="0.25">
      <c r="A129">
        <v>26.4</v>
      </c>
      <c r="B129" s="5">
        <f>EnergyLJ($A129,$C$2,$C$3,shape_factors!B$2,$C$4,shape_factors!B$3)</f>
        <v>-3.7228113388389265E-3</v>
      </c>
      <c r="C129" s="5">
        <f>EnergyLJ($A129,$C$2,$C$3,shape_factors!C$2,$C$4,shape_factors!C$3)</f>
        <v>-1.2112093090182953E-3</v>
      </c>
      <c r="D129" s="5">
        <f>EnergyLJ($A129,$C$2,$C$3,shape_factors!D$2,$C$4,shape_factors!D$3)</f>
        <v>-4.9479818593945969E-3</v>
      </c>
      <c r="E129" s="5">
        <f>EnergyLJ($A129,$C$2,$C$3,shape_factors!E$2,$C$4,shape_factors!E$3)</f>
        <v>-1.9103713775172919E-3</v>
      </c>
      <c r="F129" s="5">
        <f>EnergyLJ($A129,$C$2,$C$3,shape_factors!F$2,$C$4,shape_factors!F$3)</f>
        <v>-1.089600805089636E-3</v>
      </c>
      <c r="G129" s="5">
        <f>EnergyLJ($A129,$C$2,$C$3,shape_factors!G$2,$C$4,shape_factors!G$3)</f>
        <v>-1.3502648191528524E-3</v>
      </c>
      <c r="H129" s="5">
        <f>EnergyLJ($A129,$C$2,$C$3,shape_factors!H$2,$C$4,shape_factors!H$3)</f>
        <v>-2.1219961929135812E-2</v>
      </c>
      <c r="I129" s="5">
        <f>EnergyLJ($A129,$C$2,$C$3,shape_factors!I$2,$C$4,shape_factors!I$3)</f>
        <v>-2.3096665493559597E-3</v>
      </c>
      <c r="J129" s="5">
        <f>EnergyLJ($A129,$C$2,$C$3,shape_factors!J$2,$C$4,shape_factors!J$3)</f>
        <v>-6.8812346543345622E-4</v>
      </c>
      <c r="K129" s="5">
        <f>EnergyLJ($A129,$C$2,$C$3,shape_factors!K$2,$C$4,shape_factors!K$3)</f>
        <v>-7.8396057093843108E-4</v>
      </c>
      <c r="L129" s="5">
        <f>EnergyLJ($A129,$C$2,$C$3,shape_factors!L$2,$C$4,shape_factors!L$3)</f>
        <v>-9.8088422148875118E-4</v>
      </c>
      <c r="M129" s="5">
        <f>EnergyLJ($A129,$C$2,$C$3,shape_factors!M$2,$C$4,shape_factors!M$3)</f>
        <v>-7.0875992726338814E-4</v>
      </c>
      <c r="N129" s="5">
        <f>EnergyLJ($A129,$C$2,$C$3,shape_factors!N$2,$C$4,shape_factors!N$3)</f>
        <v>-5.2639109445884241E-4</v>
      </c>
      <c r="O129" s="5">
        <f>EnergyLJ($A129,$C$2,$C$3,shape_factors!O$2,$C$4,shape_factors!O$3)</f>
        <v>-4.9045202370868763E-4</v>
      </c>
      <c r="P129" s="5">
        <f>EnergyLJ($A129,$C$2,$C$3,shape_factors!P$2,$C$4,shape_factors!P$3)</f>
        <v>-5.3768838849313028E-4</v>
      </c>
      <c r="Q129" s="5">
        <f>EnergyLJ($A129,$C$2,$C$3,shape_factors!Q$2,$C$4,shape_factors!Q$3)</f>
        <v>-5.5316275765549395E-4</v>
      </c>
      <c r="R129" s="5">
        <f>EnergyLJ($A129,$C$2,$C$3,shape_factors!R$2,$C$4,shape_factors!R$3)</f>
        <v>-1.1117618968016364E-3</v>
      </c>
      <c r="S129" s="5">
        <f>EnergyLJ($A129,$C$2,$C$3,shape_factors!S$2,$C$4,shape_factors!S$3)</f>
        <v>-6.1654119979122357E-4</v>
      </c>
      <c r="T129" s="5">
        <f>EnergyLJ($A129,$C$2,$C$3,shape_factors!T$2,$C$4,shape_factors!T$3)</f>
        <v>-4.6878820518887992E-4</v>
      </c>
      <c r="U129" s="5">
        <f>EnergyLJ($A129,$C$2,$C$3,shape_factors!U$2,$C$4,shape_factors!U$3)</f>
        <v>-1.0993492886702371E-3</v>
      </c>
    </row>
    <row r="130" spans="1:21" x14ac:dyDescent="0.25">
      <c r="A130">
        <v>26.6</v>
      </c>
      <c r="B130" s="5">
        <f>EnergyLJ($A130,$C$2,$C$3,shape_factors!B$2,$C$4,shape_factors!B$3)</f>
        <v>-3.5581302539596984E-3</v>
      </c>
      <c r="C130" s="5">
        <f>EnergyLJ($A130,$C$2,$C$3,shape_factors!C$2,$C$4,shape_factors!C$3)</f>
        <v>-1.1575999238916763E-3</v>
      </c>
      <c r="D130" s="5">
        <f>EnergyLJ($A130,$C$2,$C$3,shape_factors!D$2,$C$4,shape_factors!D$3)</f>
        <v>-4.7291658517945277E-3</v>
      </c>
      <c r="E130" s="5">
        <f>EnergyLJ($A130,$C$2,$C$3,shape_factors!E$2,$C$4,shape_factors!E$3)</f>
        <v>-1.8258298274746239E-3</v>
      </c>
      <c r="F130" s="5">
        <f>EnergyLJ($A130,$C$2,$C$3,shape_factors!F$2,$C$4,shape_factors!F$3)</f>
        <v>-1.0413726025753308E-3</v>
      </c>
      <c r="G130" s="5">
        <f>EnergyLJ($A130,$C$2,$C$3,shape_factors!G$2,$C$4,shape_factors!G$3)</f>
        <v>-1.2905025862893756E-3</v>
      </c>
      <c r="H130" s="5">
        <f>EnergyLJ($A130,$C$2,$C$3,shape_factors!H$2,$C$4,shape_factors!H$3)</f>
        <v>-2.0285068101881219E-2</v>
      </c>
      <c r="I130" s="5">
        <f>EnergyLJ($A130,$C$2,$C$3,shape_factors!I$2,$C$4,shape_factors!I$3)</f>
        <v>-2.2074639058333547E-3</v>
      </c>
      <c r="J130" s="5">
        <f>EnergyLJ($A130,$C$2,$C$3,shape_factors!J$2,$C$4,shape_factors!J$3)</f>
        <v>-6.5766277478527559E-4</v>
      </c>
      <c r="K130" s="5">
        <f>EnergyLJ($A130,$C$2,$C$3,shape_factors!K$2,$C$4,shape_factors!K$3)</f>
        <v>-7.492582821676684E-4</v>
      </c>
      <c r="L130" s="5">
        <f>EnergyLJ($A130,$C$2,$C$3,shape_factors!L$2,$C$4,shape_factors!L$3)</f>
        <v>-9.3746698610612197E-4</v>
      </c>
      <c r="M130" s="5">
        <f>EnergyLJ($A130,$C$2,$C$3,shape_factors!M$2,$C$4,shape_factors!M$3)</f>
        <v>-6.7738588392982199E-4</v>
      </c>
      <c r="N130" s="5">
        <f>EnergyLJ($A130,$C$2,$C$3,shape_factors!N$2,$C$4,shape_factors!N$3)</f>
        <v>-5.0308884183523158E-4</v>
      </c>
      <c r="O130" s="5">
        <f>EnergyLJ($A130,$C$2,$C$3,shape_factors!O$2,$C$4,shape_factors!O$3)</f>
        <v>-4.6874054226968916E-4</v>
      </c>
      <c r="P130" s="5">
        <f>EnergyLJ($A130,$C$2,$C$3,shape_factors!P$2,$C$4,shape_factors!P$3)</f>
        <v>-5.1388608909370232E-4</v>
      </c>
      <c r="Q130" s="5">
        <f>EnergyLJ($A130,$C$2,$C$3,shape_factors!Q$2,$C$4,shape_factors!Q$3)</f>
        <v>-5.2867552775882659E-4</v>
      </c>
      <c r="R130" s="5">
        <f>EnergyLJ($A130,$C$2,$C$3,shape_factors!R$2,$C$4,shape_factors!R$3)</f>
        <v>-1.0625530425894818E-3</v>
      </c>
      <c r="S130" s="5">
        <f>EnergyLJ($A130,$C$2,$C$3,shape_factors!S$2,$C$4,shape_factors!S$3)</f>
        <v>-5.8924874742059764E-4</v>
      </c>
      <c r="T130" s="5">
        <f>EnergyLJ($A130,$C$2,$C$3,shape_factors!T$2,$C$4,shape_factors!T$3)</f>
        <v>-4.4803564198781193E-4</v>
      </c>
      <c r="U130" s="5">
        <f>EnergyLJ($A130,$C$2,$C$3,shape_factors!U$2,$C$4,shape_factors!U$3)</f>
        <v>-1.0506897042476186E-3</v>
      </c>
    </row>
    <row r="131" spans="1:21" x14ac:dyDescent="0.25">
      <c r="A131">
        <v>26.8</v>
      </c>
      <c r="B131" s="5">
        <f>EnergyLJ($A131,$C$2,$C$3,shape_factors!B$2,$C$4,shape_factors!B$3)</f>
        <v>-3.4018808230824268E-3</v>
      </c>
      <c r="C131" s="5">
        <f>EnergyLJ($A131,$C$2,$C$3,shape_factors!C$2,$C$4,shape_factors!C$3)</f>
        <v>-1.1067379667880008E-3</v>
      </c>
      <c r="D131" s="5">
        <f>EnergyLJ($A131,$C$2,$C$3,shape_factors!D$2,$C$4,shape_factors!D$3)</f>
        <v>-4.5215479437402039E-3</v>
      </c>
      <c r="E131" s="5">
        <f>EnergyLJ($A131,$C$2,$C$3,shape_factors!E$2,$C$4,shape_factors!E$3)</f>
        <v>-1.7456197938637583E-3</v>
      </c>
      <c r="F131" s="5">
        <f>EnergyLJ($A131,$C$2,$C$3,shape_factors!F$2,$C$4,shape_factors!F$3)</f>
        <v>-9.9561616227779423E-4</v>
      </c>
      <c r="G131" s="5">
        <f>EnergyLJ($A131,$C$2,$C$3,shape_factors!G$2,$C$4,shape_factors!G$3)</f>
        <v>-1.2338029465671291E-3</v>
      </c>
      <c r="H131" s="5">
        <f>EnergyLJ($A131,$C$2,$C$3,shape_factors!H$2,$C$4,shape_factors!H$3)</f>
        <v>-1.9397716248732724E-2</v>
      </c>
      <c r="I131" s="5">
        <f>EnergyLJ($A131,$C$2,$C$3,shape_factors!I$2,$C$4,shape_factors!I$3)</f>
        <v>-2.1104968534723652E-3</v>
      </c>
      <c r="J131" s="5">
        <f>EnergyLJ($A131,$C$2,$C$3,shape_factors!J$2,$C$4,shape_factors!J$3)</f>
        <v>-6.2876347537946773E-4</v>
      </c>
      <c r="K131" s="5">
        <f>EnergyLJ($A131,$C$2,$C$3,shape_factors!K$2,$C$4,shape_factors!K$3)</f>
        <v>-7.1633474076812696E-4</v>
      </c>
      <c r="L131" s="5">
        <f>EnergyLJ($A131,$C$2,$C$3,shape_factors!L$2,$C$4,shape_factors!L$3)</f>
        <v>-8.9627503633201778E-4</v>
      </c>
      <c r="M131" s="5">
        <f>EnergyLJ($A131,$C$2,$C$3,shape_factors!M$2,$C$4,shape_factors!M$3)</f>
        <v>-6.4762003695442911E-4</v>
      </c>
      <c r="N131" s="5">
        <f>EnergyLJ($A131,$C$2,$C$3,shape_factors!N$2,$C$4,shape_factors!N$3)</f>
        <v>-4.8098111801539022E-4</v>
      </c>
      <c r="O131" s="5">
        <f>EnergyLJ($A131,$C$2,$C$3,shape_factors!O$2,$C$4,shape_factors!O$3)</f>
        <v>-4.4814205814383692E-4</v>
      </c>
      <c r="P131" s="5">
        <f>EnergyLJ($A131,$C$2,$C$3,shape_factors!P$2,$C$4,shape_factors!P$3)</f>
        <v>-4.9130394683870912E-4</v>
      </c>
      <c r="Q131" s="5">
        <f>EnergyLJ($A131,$C$2,$C$3,shape_factors!Q$2,$C$4,shape_factors!Q$3)</f>
        <v>-5.0544355862897864E-4</v>
      </c>
      <c r="R131" s="5">
        <f>EnergyLJ($A131,$C$2,$C$3,shape_factors!R$2,$C$4,shape_factors!R$3)</f>
        <v>-1.015866189066756E-3</v>
      </c>
      <c r="S131" s="5">
        <f>EnergyLJ($A131,$C$2,$C$3,shape_factors!S$2,$C$4,shape_factors!S$3)</f>
        <v>-5.6335532297890445E-4</v>
      </c>
      <c r="T131" s="5">
        <f>EnergyLJ($A131,$C$2,$C$3,shape_factors!T$2,$C$4,shape_factors!T$3)</f>
        <v>-4.2834692776949878E-4</v>
      </c>
      <c r="U131" s="5">
        <f>EnergyLJ($A131,$C$2,$C$3,shape_factors!U$2,$C$4,shape_factors!U$3)</f>
        <v>-1.0045239817035056E-3</v>
      </c>
    </row>
    <row r="132" spans="1:21" x14ac:dyDescent="0.25">
      <c r="A132">
        <v>27</v>
      </c>
      <c r="B132" s="5">
        <f>EnergyLJ($A132,$C$2,$C$3,shape_factors!B$2,$C$4,shape_factors!B$3)</f>
        <v>-3.2535736810065429E-3</v>
      </c>
      <c r="C132" s="5">
        <f>EnergyLJ($A132,$C$2,$C$3,shape_factors!C$2,$C$4,shape_factors!C$3)</f>
        <v>-1.058463736673171E-3</v>
      </c>
      <c r="D132" s="5">
        <f>EnergyLJ($A132,$C$2,$C$3,shape_factors!D$2,$C$4,shape_factors!D$3)</f>
        <v>-4.3244786930963864E-3</v>
      </c>
      <c r="E132" s="5">
        <f>EnergyLJ($A132,$C$2,$C$3,shape_factors!E$2,$C$4,shape_factors!E$3)</f>
        <v>-1.669489603003045E-3</v>
      </c>
      <c r="F132" s="5">
        <f>EnergyLJ($A132,$C$2,$C$3,shape_factors!F$2,$C$4,shape_factors!F$3)</f>
        <v>-9.5218779636683007E-4</v>
      </c>
      <c r="G132" s="5">
        <f>EnergyLJ($A132,$C$2,$C$3,shape_factors!G$2,$C$4,shape_factors!G$3)</f>
        <v>-1.1799878941551084E-3</v>
      </c>
      <c r="H132" s="5">
        <f>EnergyLJ($A132,$C$2,$C$3,shape_factors!H$2,$C$4,shape_factors!H$3)</f>
        <v>-1.8555177013269891E-2</v>
      </c>
      <c r="I132" s="5">
        <f>EnergyLJ($A132,$C$2,$C$3,shape_factors!I$2,$C$4,shape_factors!I$3)</f>
        <v>-2.0184612627611284E-3</v>
      </c>
      <c r="J132" s="5">
        <f>EnergyLJ($A132,$C$2,$C$3,shape_factors!J$2,$C$4,shape_factors!J$3)</f>
        <v>-6.0133477883953564E-4</v>
      </c>
      <c r="K132" s="5">
        <f>EnergyLJ($A132,$C$2,$C$3,shape_factors!K$2,$C$4,shape_factors!K$3)</f>
        <v>-6.8508652599119212E-4</v>
      </c>
      <c r="L132" s="5">
        <f>EnergyLJ($A132,$C$2,$C$3,shape_factors!L$2,$C$4,shape_factors!L$3)</f>
        <v>-8.5717900395943815E-4</v>
      </c>
      <c r="M132" s="5">
        <f>EnergyLJ($A132,$C$2,$C$3,shape_factors!M$2,$C$4,shape_factors!M$3)</f>
        <v>-6.1936887760262699E-4</v>
      </c>
      <c r="N132" s="5">
        <f>EnergyLJ($A132,$C$2,$C$3,shape_factors!N$2,$C$4,shape_factors!N$3)</f>
        <v>-4.5999845936708174E-4</v>
      </c>
      <c r="O132" s="5">
        <f>EnergyLJ($A132,$C$2,$C$3,shape_factors!O$2,$C$4,shape_factors!O$3)</f>
        <v>-4.2859184747457216E-4</v>
      </c>
      <c r="P132" s="5">
        <f>EnergyLJ($A132,$C$2,$C$3,shape_factors!P$2,$C$4,shape_factors!P$3)</f>
        <v>-4.6987100825288732E-4</v>
      </c>
      <c r="Q132" s="5">
        <f>EnergyLJ($A132,$C$2,$C$3,shape_factors!Q$2,$C$4,shape_factors!Q$3)</f>
        <v>-4.8339385615752209E-4</v>
      </c>
      <c r="R132" s="5">
        <f>EnergyLJ($A132,$C$2,$C$3,shape_factors!R$2,$C$4,shape_factors!R$3)</f>
        <v>-9.7155472991528101E-4</v>
      </c>
      <c r="S132" s="5">
        <f>EnergyLJ($A132,$C$2,$C$3,shape_factors!S$2,$C$4,shape_factors!S$3)</f>
        <v>-5.387795753263215E-4</v>
      </c>
      <c r="T132" s="5">
        <f>EnergyLJ($A132,$C$2,$C$3,shape_factors!T$2,$C$4,shape_factors!T$3)</f>
        <v>-4.0966019598020955E-4</v>
      </c>
      <c r="U132" s="5">
        <f>EnergyLJ($A132,$C$2,$C$3,shape_factors!U$2,$C$4,shape_factors!U$3)</f>
        <v>-9.6070714936927583E-4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32"/>
  <sheetViews>
    <sheetView workbookViewId="0">
      <selection activeCell="C1" sqref="C1"/>
    </sheetView>
  </sheetViews>
  <sheetFormatPr defaultRowHeight="15" x14ac:dyDescent="0.25"/>
  <cols>
    <col min="2" max="2" width="12.140625" style="5" bestFit="1" customWidth="1"/>
    <col min="3" max="3" width="10.5703125" style="5" bestFit="1" customWidth="1"/>
    <col min="4" max="4" width="12.5703125" style="5" bestFit="1" customWidth="1"/>
    <col min="5" max="5" width="11.5703125" style="5" bestFit="1" customWidth="1"/>
    <col min="6" max="6" width="10.5703125" style="5" bestFit="1" customWidth="1"/>
    <col min="7" max="7" width="11.5703125" style="5" bestFit="1" customWidth="1"/>
    <col min="8" max="8" width="13.7109375" style="5" bestFit="1" customWidth="1"/>
    <col min="9" max="9" width="11.5703125" style="5" bestFit="1" customWidth="1"/>
    <col min="10" max="21" width="10.5703125" style="5" bestFit="1" customWidth="1"/>
  </cols>
  <sheetData>
    <row r="1" spans="1:21" x14ac:dyDescent="0.25">
      <c r="B1" s="5" t="s">
        <v>29</v>
      </c>
      <c r="C1" s="5" t="str">
        <f>shape_factors!C1</f>
        <v>Met</v>
      </c>
    </row>
    <row r="2" spans="1:21" x14ac:dyDescent="0.25">
      <c r="B2" s="5" t="s">
        <v>4</v>
      </c>
      <c r="C2" s="5">
        <f>interaction_energies!B5</f>
        <v>1.26</v>
      </c>
    </row>
    <row r="3" spans="1:21" x14ac:dyDescent="0.25">
      <c r="B3" s="5" t="s">
        <v>6</v>
      </c>
      <c r="C3" s="5">
        <f>shape_factors!C2</f>
        <v>2.4984000000000002</v>
      </c>
    </row>
    <row r="4" spans="1:21" x14ac:dyDescent="0.25">
      <c r="B4" s="5" t="s">
        <v>5</v>
      </c>
      <c r="C4" s="5">
        <f>shape_factors!C3</f>
        <v>3.5449000000000002</v>
      </c>
    </row>
    <row r="6" spans="1:21" x14ac:dyDescent="0.25">
      <c r="A6" t="s">
        <v>3</v>
      </c>
      <c r="B6" s="6" t="str">
        <f>interaction_energies!B3</f>
        <v>Cys</v>
      </c>
      <c r="C6" s="6" t="str">
        <f>interaction_energies!C3</f>
        <v>Met</v>
      </c>
      <c r="D6" s="6" t="str">
        <f>interaction_energies!D3</f>
        <v>Phe</v>
      </c>
      <c r="E6" s="6" t="str">
        <f>interaction_energies!E3</f>
        <v>Ile</v>
      </c>
      <c r="F6" s="6" t="str">
        <f>interaction_energies!F3</f>
        <v>Leu</v>
      </c>
      <c r="G6" s="6" t="str">
        <f>interaction_energies!G3</f>
        <v>Val</v>
      </c>
      <c r="H6" s="6" t="str">
        <f>interaction_energies!H3</f>
        <v>Trp</v>
      </c>
      <c r="I6" s="6" t="str">
        <f>interaction_energies!I3</f>
        <v>Tyr</v>
      </c>
      <c r="J6" s="6" t="str">
        <f>interaction_energies!J3</f>
        <v>Ala</v>
      </c>
      <c r="K6" s="6" t="str">
        <f>interaction_energies!K3</f>
        <v>Gly</v>
      </c>
      <c r="L6" s="6" t="str">
        <f>interaction_energies!L3</f>
        <v>Thr</v>
      </c>
      <c r="M6" s="6" t="str">
        <f>interaction_energies!M3</f>
        <v>Ser</v>
      </c>
      <c r="N6" s="6" t="str">
        <f>interaction_energies!N3</f>
        <v>Gln</v>
      </c>
      <c r="O6" s="6" t="str">
        <f>interaction_energies!O3</f>
        <v>Asn</v>
      </c>
      <c r="P6" s="6" t="str">
        <f>interaction_energies!P3</f>
        <v>Glu</v>
      </c>
      <c r="Q6" s="6" t="str">
        <f>interaction_energies!Q3</f>
        <v>Asp</v>
      </c>
      <c r="R6" s="6" t="str">
        <f>interaction_energies!R3</f>
        <v>His</v>
      </c>
      <c r="S6" s="6" t="str">
        <f>interaction_energies!S3</f>
        <v>Arg</v>
      </c>
      <c r="T6" s="6" t="str">
        <f>interaction_energies!T3</f>
        <v>Lys</v>
      </c>
      <c r="U6" s="6" t="str">
        <f>interaction_energies!U3</f>
        <v>Pro</v>
      </c>
    </row>
    <row r="7" spans="1:21" x14ac:dyDescent="0.25">
      <c r="A7">
        <v>2</v>
      </c>
      <c r="B7" s="5">
        <f>EnergyLJ($A7,$C$2,$C$4,shape_factors!B$2,$C$3,shape_factors!B$3)</f>
        <v>4831975.8091844106</v>
      </c>
      <c r="C7" s="5">
        <f>EnergyLJ($A7,$C$2,$C$4,shape_factors!C$2,$C$3,shape_factors!C$3)</f>
        <v>53947.673451000395</v>
      </c>
      <c r="D7" s="5">
        <f>EnergyLJ($A7,$C$2,$C$4,shape_factors!D$2,$C$3,shape_factors!D$3)</f>
        <v>12264856.719865872</v>
      </c>
      <c r="E7" s="5">
        <f>EnergyLJ($A7,$C$2,$C$4,shape_factors!E$2,$C$3,shape_factors!E$3)</f>
        <v>411858.27030712878</v>
      </c>
      <c r="F7" s="5">
        <f>EnergyLJ($A7,$C$2,$C$4,shape_factors!F$2,$C$3,shape_factors!F$3)</f>
        <v>31591.813498185751</v>
      </c>
      <c r="G7" s="5">
        <f>EnergyLJ($A7,$C$2,$C$4,shape_factors!G$2,$C$3,shape_factors!G$3)</f>
        <v>90853.503513445976</v>
      </c>
      <c r="H7" s="5">
        <f>EnergyLJ($A7,$C$2,$C$4,shape_factors!H$2,$C$3,shape_factors!H$3)</f>
        <v>773381157.34239352</v>
      </c>
      <c r="I7" s="5">
        <f>EnergyLJ($A7,$C$2,$C$4,shape_factors!I$2,$C$3,shape_factors!I$3)</f>
        <v>871562.62145739468</v>
      </c>
      <c r="J7" s="5">
        <f>EnergyLJ($A7,$C$2,$C$4,shape_factors!J$2,$C$3,shape_factors!J$3)</f>
        <v>1957.6256746512856</v>
      </c>
      <c r="K7" s="5">
        <f>EnergyLJ($A7,$C$2,$C$4,shape_factors!K$2,$C$3,shape_factors!K$3)</f>
        <v>4745.2181050297531</v>
      </c>
      <c r="L7" s="5">
        <f>EnergyLJ($A7,$C$2,$C$4,shape_factors!L$2,$C$3,shape_factors!L$3)</f>
        <v>17990.74537332316</v>
      </c>
      <c r="M7" s="5">
        <f>EnergyLJ($A7,$C$2,$C$4,shape_factors!M$2,$C$3,shape_factors!M$3)</f>
        <v>2413.7003474594367</v>
      </c>
      <c r="N7" s="5">
        <f>EnergyLJ($A7,$C$2,$C$4,shape_factors!N$2,$C$3,shape_factors!N$3)</f>
        <v>209.12959675239537</v>
      </c>
      <c r="O7" s="5">
        <f>EnergyLJ($A7,$C$2,$C$4,shape_factors!O$2,$C$3,shape_factors!O$3)</f>
        <v>99.304612166287697</v>
      </c>
      <c r="P7" s="5">
        <f>EnergyLJ($A7,$C$2,$C$4,shape_factors!P$2,$C$3,shape_factors!P$3)</f>
        <v>257.1708085526746</v>
      </c>
      <c r="Q7" s="5">
        <f>EnergyLJ($A7,$C$2,$C$4,shape_factors!Q$2,$C$3,shape_factors!Q$3)</f>
        <v>335.60992240535762</v>
      </c>
      <c r="R7" s="5">
        <f>EnergyLJ($A7,$C$2,$C$4,shape_factors!R$2,$C$3,shape_factors!R$3)</f>
        <v>35058.74266153518</v>
      </c>
      <c r="S7" s="5">
        <f>EnergyLJ($A7,$C$2,$C$4,shape_factors!S$2,$C$3,shape_factors!S$3)</f>
        <v>850.82203988320805</v>
      </c>
      <c r="T7" s="5">
        <f>EnergyLJ($A7,$C$2,$C$4,shape_factors!T$2,$C$3,shape_factors!T$3)</f>
        <v>58.242372969909418</v>
      </c>
      <c r="U7" s="5">
        <f>EnergyLJ($A7,$C$2,$C$4,shape_factors!U$2,$C$3,shape_factors!U$3)</f>
        <v>33085.680209018268</v>
      </c>
    </row>
    <row r="8" spans="1:21" x14ac:dyDescent="0.25">
      <c r="A8">
        <v>2.2000000000000002</v>
      </c>
      <c r="B8" s="5">
        <f>EnergyLJ($A8,$C$2,$C$4,shape_factors!B$2,$C$3,shape_factors!B$3)</f>
        <v>1538402.5743701537</v>
      </c>
      <c r="C8" s="5">
        <f>EnergyLJ($A8,$C$2,$C$4,shape_factors!C$2,$C$3,shape_factors!C$3)</f>
        <v>17060.578652470213</v>
      </c>
      <c r="D8" s="5">
        <f>EnergyLJ($A8,$C$2,$C$4,shape_factors!D$2,$C$3,shape_factors!D$3)</f>
        <v>3906027.8276368473</v>
      </c>
      <c r="E8" s="5">
        <f>EnergyLJ($A8,$C$2,$C$4,shape_factors!E$2,$C$3,shape_factors!E$3)</f>
        <v>130875.91848136719</v>
      </c>
      <c r="F8" s="5">
        <f>EnergyLJ($A8,$C$2,$C$4,shape_factors!F$2,$C$3,shape_factors!F$3)</f>
        <v>9967.4057878600615</v>
      </c>
      <c r="G8" s="5">
        <f>EnergyLJ($A8,$C$2,$C$4,shape_factors!G$2,$C$3,shape_factors!G$3)</f>
        <v>28781.747260869866</v>
      </c>
      <c r="H8" s="5">
        <f>EnergyLJ($A8,$C$2,$C$4,shape_factors!H$2,$C$3,shape_factors!H$3)</f>
        <v>246407721.29893321</v>
      </c>
      <c r="I8" s="5">
        <f>EnergyLJ($A8,$C$2,$C$4,shape_factors!I$2,$C$3,shape_factors!I$3)</f>
        <v>277190.835392632</v>
      </c>
      <c r="J8" s="5">
        <f>EnergyLJ($A8,$C$2,$C$4,shape_factors!J$2,$C$3,shape_factors!J$3)</f>
        <v>598.71291026821746</v>
      </c>
      <c r="K8" s="5">
        <f>EnergyLJ($A8,$C$2,$C$4,shape_factors!K$2,$C$3,shape_factors!K$3)</f>
        <v>1473.3290906486352</v>
      </c>
      <c r="L8" s="5">
        <f>EnergyLJ($A8,$C$2,$C$4,shape_factors!L$2,$C$3,shape_factors!L$3)</f>
        <v>5657.7554728573768</v>
      </c>
      <c r="M8" s="5">
        <f>EnergyLJ($A8,$C$2,$C$4,shape_factors!M$2,$C$3,shape_factors!M$3)</f>
        <v>741.33737834149179</v>
      </c>
      <c r="N8" s="5">
        <f>EnergyLJ($A8,$C$2,$C$4,shape_factors!N$2,$C$3,shape_factors!N$3)</f>
        <v>58.010165402351888</v>
      </c>
      <c r="O8" s="5">
        <f>EnergyLJ($A8,$C$2,$C$4,shape_factors!O$2,$C$3,shape_factors!O$3)</f>
        <v>25.487261944991918</v>
      </c>
      <c r="P8" s="5">
        <f>EnergyLJ($A8,$C$2,$C$4,shape_factors!P$2,$C$3,shape_factors!P$3)</f>
        <v>72.450531638476676</v>
      </c>
      <c r="Q8" s="5">
        <f>EnergyLJ($A8,$C$2,$C$4,shape_factors!Q$2,$C$3,shape_factors!Q$3)</f>
        <v>96.186256304324061</v>
      </c>
      <c r="R8" s="5">
        <f>EnergyLJ($A8,$C$2,$C$4,shape_factors!R$2,$C$3,shape_factors!R$3)</f>
        <v>11066.83374076918</v>
      </c>
      <c r="S8" s="5">
        <f>EnergyLJ($A8,$C$2,$C$4,shape_factors!S$2,$C$3,shape_factors!S$3)</f>
        <v>254.36791216839609</v>
      </c>
      <c r="T8" s="5">
        <f>EnergyLJ($A8,$C$2,$C$4,shape_factors!T$2,$C$3,shape_factors!T$3)</f>
        <v>13.680929486526715</v>
      </c>
      <c r="U8" s="5">
        <f>EnergyLJ($A8,$C$2,$C$4,shape_factors!U$2,$C$3,shape_factors!U$3)</f>
        <v>10441.105234494458</v>
      </c>
    </row>
    <row r="9" spans="1:21" x14ac:dyDescent="0.25">
      <c r="A9">
        <v>2.4</v>
      </c>
      <c r="B9" s="5">
        <f>EnergyLJ($A9,$C$2,$C$4,shape_factors!B$2,$C$3,shape_factors!B$3)</f>
        <v>540838.47696133435</v>
      </c>
      <c r="C9" s="5">
        <f>EnergyLJ($A9,$C$2,$C$4,shape_factors!C$2,$C$3,shape_factors!C$3)</f>
        <v>5933.8824143765851</v>
      </c>
      <c r="D9" s="5">
        <f>EnergyLJ($A9,$C$2,$C$4,shape_factors!D$2,$C$3,shape_factors!D$3)</f>
        <v>1373833.493133385</v>
      </c>
      <c r="E9" s="5">
        <f>EnergyLJ($A9,$C$2,$C$4,shape_factors!E$2,$C$3,shape_factors!E$3)</f>
        <v>45871.169088718409</v>
      </c>
      <c r="F9" s="5">
        <f>EnergyLJ($A9,$C$2,$C$4,shape_factors!F$2,$C$3,shape_factors!F$3)</f>
        <v>3453.7891845877671</v>
      </c>
      <c r="G9" s="5">
        <f>EnergyLJ($A9,$C$2,$C$4,shape_factors!G$2,$C$3,shape_factors!G$3)</f>
        <v>10038.537118140308</v>
      </c>
      <c r="H9" s="5">
        <f>EnergyLJ($A9,$C$2,$C$4,shape_factors!H$2,$C$3,shape_factors!H$3)</f>
        <v>86725936.579307213</v>
      </c>
      <c r="I9" s="5">
        <f>EnergyLJ($A9,$C$2,$C$4,shape_factors!I$2,$C$3,shape_factors!I$3)</f>
        <v>97284.14931601283</v>
      </c>
      <c r="J9" s="5">
        <f>EnergyLJ($A9,$C$2,$C$4,shape_factors!J$2,$C$3,shape_factors!J$3)</f>
        <v>196.86744168493817</v>
      </c>
      <c r="K9" s="5">
        <f>EnergyLJ($A9,$C$2,$C$4,shape_factors!K$2,$C$3,shape_factors!K$3)</f>
        <v>497.19548318742255</v>
      </c>
      <c r="L9" s="5">
        <f>EnergyLJ($A9,$C$2,$C$4,shape_factors!L$2,$C$3,shape_factors!L$3)</f>
        <v>1950.146256660852</v>
      </c>
      <c r="M9" s="5">
        <f>EnergyLJ($A9,$C$2,$C$4,shape_factors!M$2,$C$3,shape_factors!M$3)</f>
        <v>245.5775195763471</v>
      </c>
      <c r="N9" s="5">
        <f>EnergyLJ($A9,$C$2,$C$4,shape_factors!N$2,$C$3,shape_factors!N$3)</f>
        <v>15.640792262653395</v>
      </c>
      <c r="O9" s="5">
        <f>EnergyLJ($A9,$C$2,$C$4,shape_factors!O$2,$C$3,shape_factors!O$3)</f>
        <v>5.5617377686950249</v>
      </c>
      <c r="P9" s="5">
        <f>EnergyLJ($A9,$C$2,$C$4,shape_factors!P$2,$C$3,shape_factors!P$3)</f>
        <v>20.243365359028363</v>
      </c>
      <c r="Q9" s="5">
        <f>EnergyLJ($A9,$C$2,$C$4,shape_factors!Q$2,$C$3,shape_factors!Q$3)</f>
        <v>27.901596551850737</v>
      </c>
      <c r="R9" s="5">
        <f>EnergyLJ($A9,$C$2,$C$4,shape_factors!R$2,$C$3,shape_factors!R$3)</f>
        <v>3837.8784784515983</v>
      </c>
      <c r="S9" s="5">
        <f>EnergyLJ($A9,$C$2,$C$4,shape_factors!S$2,$C$3,shape_factors!S$3)</f>
        <v>80.267275621982392</v>
      </c>
      <c r="T9" s="5">
        <f>EnergyLJ($A9,$C$2,$C$4,shape_factors!T$2,$C$3,shape_factors!T$3)</f>
        <v>2.113663483122366</v>
      </c>
      <c r="U9" s="5">
        <f>EnergyLJ($A9,$C$2,$C$4,shape_factors!U$2,$C$3,shape_factors!U$3)</f>
        <v>3619.2591803439504</v>
      </c>
    </row>
    <row r="10" spans="1:21" x14ac:dyDescent="0.25">
      <c r="A10">
        <v>2.6</v>
      </c>
      <c r="B10" s="5">
        <f>EnergyLJ($A10,$C$2,$C$4,shape_factors!B$2,$C$3,shape_factors!B$3)</f>
        <v>206586.98983707407</v>
      </c>
      <c r="C10" s="5">
        <f>EnergyLJ($A10,$C$2,$C$4,shape_factors!C$2,$C$3,shape_factors!C$3)</f>
        <v>2229.4779809483434</v>
      </c>
      <c r="D10" s="5">
        <f>EnergyLJ($A10,$C$2,$C$4,shape_factors!D$2,$C$3,shape_factors!D$3)</f>
        <v>525140.14370861754</v>
      </c>
      <c r="E10" s="5">
        <f>EnergyLJ($A10,$C$2,$C$4,shape_factors!E$2,$C$3,shape_factors!E$3)</f>
        <v>17440.709582455824</v>
      </c>
      <c r="F10" s="5">
        <f>EnergyLJ($A10,$C$2,$C$4,shape_factors!F$2,$C$3,shape_factors!F$3)</f>
        <v>1290.0261239832594</v>
      </c>
      <c r="G10" s="5">
        <f>EnergyLJ($A10,$C$2,$C$4,shape_factors!G$2,$C$3,shape_factors!G$3)</f>
        <v>3788.0495293999134</v>
      </c>
      <c r="H10" s="5">
        <f>EnergyLJ($A10,$C$2,$C$4,shape_factors!H$2,$C$3,shape_factors!H$3)</f>
        <v>33184797.190258861</v>
      </c>
      <c r="I10" s="5">
        <f>EnergyLJ($A10,$C$2,$C$4,shape_factors!I$2,$C$3,shape_factors!I$3)</f>
        <v>37064.52565624968</v>
      </c>
      <c r="J10" s="5">
        <f>EnergyLJ($A10,$C$2,$C$4,shape_factors!J$2,$C$3,shape_factors!J$3)</f>
        <v>67.290644680647802</v>
      </c>
      <c r="K10" s="5">
        <f>EnergyLJ($A10,$C$2,$C$4,shape_factors!K$2,$C$3,shape_factors!K$3)</f>
        <v>177.85534283185672</v>
      </c>
      <c r="L10" s="5">
        <f>EnergyLJ($A10,$C$2,$C$4,shape_factors!L$2,$C$3,shape_factors!L$3)</f>
        <v>722.32254275821651</v>
      </c>
      <c r="M10" s="5">
        <f>EnergyLJ($A10,$C$2,$C$4,shape_factors!M$2,$C$3,shape_factors!M$3)</f>
        <v>85.065688405444192</v>
      </c>
      <c r="N10" s="5">
        <f>EnergyLJ($A10,$C$2,$C$4,shape_factors!N$2,$C$3,shape_factors!N$3)</f>
        <v>3.2136889533168418</v>
      </c>
      <c r="O10" s="5">
        <f>EnergyLJ($A10,$C$2,$C$4,shape_factors!O$2,$C$3,shape_factors!O$3)</f>
        <v>0.15053649524048729</v>
      </c>
      <c r="P10" s="5">
        <f>EnergyLJ($A10,$C$2,$C$4,shape_factors!P$2,$C$3,shape_factors!P$3)</f>
        <v>4.6964179309648406</v>
      </c>
      <c r="Q10" s="5">
        <f>EnergyLJ($A10,$C$2,$C$4,shape_factors!Q$2,$C$3,shape_factors!Q$3)</f>
        <v>7.2230820853793603</v>
      </c>
      <c r="R10" s="5">
        <f>EnergyLJ($A10,$C$2,$C$4,shape_factors!R$2,$C$3,shape_factors!R$3)</f>
        <v>1435.3309306182036</v>
      </c>
      <c r="S10" s="5">
        <f>EnergyLJ($A10,$C$2,$C$4,shape_factors!S$2,$C$3,shape_factors!S$3)</f>
        <v>25.341076636599958</v>
      </c>
      <c r="T10" s="5">
        <f>EnergyLJ($A10,$C$2,$C$4,shape_factors!T$2,$C$3,shape_factors!T$3)</f>
        <v>-0.75849690980685758</v>
      </c>
      <c r="U10" s="5">
        <f>EnergyLJ($A10,$C$2,$C$4,shape_factors!U$2,$C$3,shape_factors!U$3)</f>
        <v>1352.6141486326228</v>
      </c>
    </row>
    <row r="11" spans="1:21" x14ac:dyDescent="0.25">
      <c r="A11">
        <v>2.8</v>
      </c>
      <c r="B11" s="5">
        <f>EnergyLJ($A11,$C$2,$C$4,shape_factors!B$2,$C$3,shape_factors!B$3)</f>
        <v>84660.532235869599</v>
      </c>
      <c r="C11" s="5">
        <f>EnergyLJ($A11,$C$2,$C$4,shape_factors!C$2,$C$3,shape_factors!C$3)</f>
        <v>891.21454447651956</v>
      </c>
      <c r="D11" s="5">
        <f>EnergyLJ($A11,$C$2,$C$4,shape_factors!D$2,$C$3,shape_factors!D$3)</f>
        <v>215428.83436747492</v>
      </c>
      <c r="E11" s="5">
        <f>EnergyLJ($A11,$C$2,$C$4,shape_factors!E$2,$C$3,shape_factors!E$3)</f>
        <v>7098.3698960242227</v>
      </c>
      <c r="F11" s="5">
        <f>EnergyLJ($A11,$C$2,$C$4,shape_factors!F$2,$C$3,shape_factors!F$3)</f>
        <v>510.98686178803212</v>
      </c>
      <c r="G11" s="5">
        <f>EnergyLJ($A11,$C$2,$C$4,shape_factors!G$2,$C$3,shape_factors!G$3)</f>
        <v>1524.3009390209118</v>
      </c>
      <c r="H11" s="5">
        <f>EnergyLJ($A11,$C$2,$C$4,shape_factors!H$2,$C$3,shape_factors!H$3)</f>
        <v>13634153.156703299</v>
      </c>
      <c r="I11" s="5">
        <f>EnergyLJ($A11,$C$2,$C$4,shape_factors!I$2,$C$3,shape_factors!I$3)</f>
        <v>15131.449841452237</v>
      </c>
      <c r="J11" s="5">
        <f>EnergyLJ($A11,$C$2,$C$4,shape_factors!J$2,$C$3,shape_factors!J$3)</f>
        <v>22.795820529581622</v>
      </c>
      <c r="K11" s="5">
        <f>EnergyLJ($A11,$C$2,$C$4,shape_factors!K$2,$C$3,shape_factors!K$3)</f>
        <v>65.595263937348918</v>
      </c>
      <c r="L11" s="5">
        <f>EnergyLJ($A11,$C$2,$C$4,shape_factors!L$2,$C$3,shape_factors!L$3)</f>
        <v>282.35918870885649</v>
      </c>
      <c r="M11" s="5">
        <f>EnergyLJ($A11,$C$2,$C$4,shape_factors!M$2,$C$3,shape_factors!M$3)</f>
        <v>29.577795353096892</v>
      </c>
      <c r="N11" s="5">
        <f>EnergyLJ($A11,$C$2,$C$4,shape_factors!N$2,$C$3,shape_factors!N$3)</f>
        <v>-0.35184691890899894</v>
      </c>
      <c r="O11" s="5">
        <f>EnergyLJ($A11,$C$2,$C$4,shape_factors!O$2,$C$3,shape_factors!O$3)</f>
        <v>-1.1315285728307791</v>
      </c>
      <c r="P11" s="5">
        <f>EnergyLJ($A11,$C$2,$C$4,shape_factors!P$2,$C$3,shape_factors!P$3)</f>
        <v>8.9341803286022745E-2</v>
      </c>
      <c r="Q11" s="5">
        <f>EnergyLJ($A11,$C$2,$C$4,shape_factors!Q$2,$C$3,shape_factors!Q$3)</f>
        <v>0.88383649674016673</v>
      </c>
      <c r="R11" s="5">
        <f>EnergyLJ($A11,$C$2,$C$4,shape_factors!R$2,$C$3,shape_factors!R$3)</f>
        <v>569.68256426589357</v>
      </c>
      <c r="S11" s="5">
        <f>EnergyLJ($A11,$C$2,$C$4,shape_factors!S$2,$C$3,shape_factors!S$3)</f>
        <v>7.1695800351098464</v>
      </c>
      <c r="T11" s="5">
        <f>EnergyLJ($A11,$C$2,$C$4,shape_factors!T$2,$C$3,shape_factors!T$3)</f>
        <v>-1.2573937709741461</v>
      </c>
      <c r="U11" s="5">
        <f>EnergyLJ($A11,$C$2,$C$4,shape_factors!U$2,$C$3,shape_factors!U$3)</f>
        <v>536.26255223222961</v>
      </c>
    </row>
    <row r="12" spans="1:21" x14ac:dyDescent="0.25">
      <c r="A12">
        <v>3</v>
      </c>
      <c r="B12" s="5">
        <f>EnergyLJ($A12,$C$2,$C$4,shape_factors!B$2,$C$3,shape_factors!B$3)</f>
        <v>36846.30398579107</v>
      </c>
      <c r="C12" s="5">
        <f>EnergyLJ($A12,$C$2,$C$4,shape_factors!C$2,$C$3,shape_factors!C$3)</f>
        <v>373.83230203429599</v>
      </c>
      <c r="D12" s="5">
        <f>EnergyLJ($A12,$C$2,$C$4,shape_factors!D$2,$C$3,shape_factors!D$3)</f>
        <v>93899.659151720349</v>
      </c>
      <c r="E12" s="5">
        <f>EnergyLJ($A12,$C$2,$C$4,shape_factors!E$2,$C$3,shape_factors!E$3)</f>
        <v>3058.7510834912932</v>
      </c>
      <c r="F12" s="5">
        <f>EnergyLJ($A12,$C$2,$C$4,shape_factors!F$2,$C$3,shape_factors!F$3)</f>
        <v>211.3308510226662</v>
      </c>
      <c r="G12" s="5">
        <f>EnergyLJ($A12,$C$2,$C$4,shape_factors!G$2,$C$3,shape_factors!G$3)</f>
        <v>645.84556927612994</v>
      </c>
      <c r="H12" s="5">
        <f>EnergyLJ($A12,$C$2,$C$4,shape_factors!H$2,$C$3,shape_factors!H$3)</f>
        <v>5955716.5853757262</v>
      </c>
      <c r="I12" s="5">
        <f>EnergyLJ($A12,$C$2,$C$4,shape_factors!I$2,$C$3,shape_factors!I$3)</f>
        <v>6549.3872478059711</v>
      </c>
      <c r="J12" s="5">
        <f>EnergyLJ($A12,$C$2,$C$4,shape_factors!J$2,$C$3,shape_factors!J$3)</f>
        <v>6.9289757873518214</v>
      </c>
      <c r="K12" s="5">
        <f>EnergyLJ($A12,$C$2,$C$4,shape_factors!K$2,$C$3,shape_factors!K$3)</f>
        <v>23.984758236886023</v>
      </c>
      <c r="L12" s="5">
        <f>EnergyLJ($A12,$C$2,$C$4,shape_factors!L$2,$C$3,shape_factors!L$3)</f>
        <v>114.34330179542425</v>
      </c>
      <c r="M12" s="5">
        <f>EnergyLJ($A12,$C$2,$C$4,shape_factors!M$2,$C$3,shape_factors!M$3)</f>
        <v>9.5662040680071989</v>
      </c>
      <c r="N12" s="5">
        <f>EnergyLJ($A12,$C$2,$C$4,shape_factors!N$2,$C$3,shape_factors!N$3)</f>
        <v>-1.1977758432470447</v>
      </c>
      <c r="O12" s="5">
        <f>EnergyLJ($A12,$C$2,$C$4,shape_factors!O$2,$C$3,shape_factors!O$3)</f>
        <v>-1.2393900565878153</v>
      </c>
      <c r="P12" s="5">
        <f>EnergyLJ($A12,$C$2,$C$4,shape_factors!P$2,$C$3,shape_factors!P$3)</f>
        <v>-1.1099479346283647</v>
      </c>
      <c r="Q12" s="5">
        <f>EnergyLJ($A12,$C$2,$C$4,shape_factors!Q$2,$C$3,shape_factors!Q$3)</f>
        <v>-0.91499055523128725</v>
      </c>
      <c r="R12" s="5">
        <f>EnergyLJ($A12,$C$2,$C$4,shape_factors!R$2,$C$3,shape_factors!R$3)</f>
        <v>236.34390839878364</v>
      </c>
      <c r="S12" s="5">
        <f>EnergyLJ($A12,$C$2,$C$4,shape_factors!S$2,$C$3,shape_factors!S$3)</f>
        <v>1.1076630720312024</v>
      </c>
      <c r="T12" s="5">
        <f>EnergyLJ($A12,$C$2,$C$4,shape_factors!T$2,$C$3,shape_factors!T$3)</f>
        <v>-1.1397662462748901</v>
      </c>
      <c r="U12" s="5">
        <f>EnergyLJ($A12,$C$2,$C$4,shape_factors!U$2,$C$3,shape_factors!U$3)</f>
        <v>222.0978025280603</v>
      </c>
    </row>
    <row r="13" spans="1:21" x14ac:dyDescent="0.25">
      <c r="A13">
        <v>3.2</v>
      </c>
      <c r="B13" s="5">
        <f>EnergyLJ($A13,$C$2,$C$4,shape_factors!B$2,$C$3,shape_factors!B$3)</f>
        <v>16889.875045166169</v>
      </c>
      <c r="C13" s="5">
        <f>EnergyLJ($A13,$C$2,$C$4,shape_factors!C$2,$C$3,shape_factors!C$3)</f>
        <v>162.29150898413454</v>
      </c>
      <c r="D13" s="5">
        <f>EnergyLJ($A13,$C$2,$C$4,shape_factors!D$2,$C$3,shape_factors!D$3)</f>
        <v>43132.68901488986</v>
      </c>
      <c r="E13" s="5">
        <f>EnergyLJ($A13,$C$2,$C$4,shape_factors!E$2,$C$3,shape_factors!E$3)</f>
        <v>1382.3162169305651</v>
      </c>
      <c r="F13" s="5">
        <f>EnergyLJ($A13,$C$2,$C$4,shape_factors!F$2,$C$3,shape_factors!F$3)</f>
        <v>89.728723579909769</v>
      </c>
      <c r="G13" s="5">
        <f>EnergyLJ($A13,$C$2,$C$4,shape_factors!G$2,$C$3,shape_factors!G$3)</f>
        <v>284.70550840788439</v>
      </c>
      <c r="H13" s="5">
        <f>EnergyLJ($A13,$C$2,$C$4,shape_factors!H$2,$C$3,shape_factors!H$3)</f>
        <v>2744102.2024118216</v>
      </c>
      <c r="I13" s="5">
        <f>EnergyLJ($A13,$C$2,$C$4,shape_factors!I$2,$C$3,shape_factors!I$3)</f>
        <v>2978.7934896589754</v>
      </c>
      <c r="J13" s="5">
        <f>EnergyLJ($A13,$C$2,$C$4,shape_factors!J$2,$C$3,shape_factors!J$3)</f>
        <v>1.2442072244412326</v>
      </c>
      <c r="K13" s="5">
        <f>EnergyLJ($A13,$C$2,$C$4,shape_factors!K$2,$C$3,shape_factors!K$3)</f>
        <v>8.0476995575058332</v>
      </c>
      <c r="L13" s="5">
        <f>EnergyLJ($A13,$C$2,$C$4,shape_factors!L$2,$C$3,shape_factors!L$3)</f>
        <v>46.895758265483892</v>
      </c>
      <c r="M13" s="5">
        <f>EnergyLJ($A13,$C$2,$C$4,shape_factors!M$2,$C$3,shape_factors!M$3)</f>
        <v>2.2500582732778214</v>
      </c>
      <c r="N13" s="5">
        <f>EnergyLJ($A13,$C$2,$C$4,shape_factors!N$2,$C$3,shape_factors!N$3)</f>
        <v>-1.2235048841846285</v>
      </c>
      <c r="O13" s="5">
        <f>EnergyLJ($A13,$C$2,$C$4,shape_factors!O$2,$C$3,shape_factors!O$3)</f>
        <v>-1.0503601788129364</v>
      </c>
      <c r="P13" s="5">
        <f>EnergyLJ($A13,$C$2,$C$4,shape_factors!P$2,$C$3,shape_factors!P$3)</f>
        <v>-1.2505132759570166</v>
      </c>
      <c r="Q13" s="5">
        <f>EnergyLJ($A13,$C$2,$C$4,shape_factors!Q$2,$C$3,shape_factors!Q$3)</f>
        <v>-1.2585259417186685</v>
      </c>
      <c r="R13" s="5">
        <f>EnergyLJ($A13,$C$2,$C$4,shape_factors!R$2,$C$3,shape_factors!R$3)</f>
        <v>100.85044173932522</v>
      </c>
      <c r="S13" s="5">
        <f>EnergyLJ($A13,$C$2,$C$4,shape_factors!S$2,$C$3,shape_factors!S$3)</f>
        <v>-0.7917404944730394</v>
      </c>
      <c r="T13" s="5">
        <f>EnergyLJ($A13,$C$2,$C$4,shape_factors!T$2,$C$3,shape_factors!T$3)</f>
        <v>-0.90500548297698524</v>
      </c>
      <c r="U13" s="5">
        <f>EnergyLJ($A13,$C$2,$C$4,shape_factors!U$2,$C$3,shape_factors!U$3)</f>
        <v>94.513311364146489</v>
      </c>
    </row>
    <row r="14" spans="1:21" x14ac:dyDescent="0.25">
      <c r="A14">
        <v>3.4</v>
      </c>
      <c r="B14" s="5">
        <f>EnergyLJ($A14,$C$2,$C$4,shape_factors!B$2,$C$3,shape_factors!B$3)</f>
        <v>8097.4185059936963</v>
      </c>
      <c r="C14" s="5">
        <f>EnergyLJ($A14,$C$2,$C$4,shape_factors!C$2,$C$3,shape_factors!C$3)</f>
        <v>71.786561950350858</v>
      </c>
      <c r="D14" s="5">
        <f>EnergyLJ($A14,$C$2,$C$4,shape_factors!D$2,$C$3,shape_factors!D$3)</f>
        <v>20738.798526544702</v>
      </c>
      <c r="E14" s="5">
        <f>EnergyLJ($A14,$C$2,$C$4,shape_factors!E$2,$C$3,shape_factors!E$3)</f>
        <v>649.58800885035976</v>
      </c>
      <c r="F14" s="5">
        <f>EnergyLJ($A14,$C$2,$C$4,shape_factors!F$2,$C$3,shape_factors!F$3)</f>
        <v>38.276606929296669</v>
      </c>
      <c r="G14" s="5">
        <f>EnergyLJ($A14,$C$2,$C$4,shape_factors!G$2,$C$3,shape_factors!G$3)</f>
        <v>128.96565478807958</v>
      </c>
      <c r="H14" s="5">
        <f>EnergyLJ($A14,$C$2,$C$4,shape_factors!H$2,$C$3,shape_factors!H$3)</f>
        <v>1324934.9389502103</v>
      </c>
      <c r="I14" s="5">
        <f>EnergyLJ($A14,$C$2,$C$4,shape_factors!I$2,$C$3,shape_factors!I$3)</f>
        <v>1412.5978468651811</v>
      </c>
      <c r="J14" s="5">
        <f>EnergyLJ($A14,$C$2,$C$4,shape_factors!J$2,$C$3,shape_factors!J$3)</f>
        <v>-0.68599067865853303</v>
      </c>
      <c r="K14" s="5">
        <f>EnergyLJ($A14,$C$2,$C$4,shape_factors!K$2,$C$3,shape_factors!K$3)</f>
        <v>1.9022024793640329</v>
      </c>
      <c r="L14" s="5">
        <f>EnergyLJ($A14,$C$2,$C$4,shape_factors!L$2,$C$3,shape_factors!L$3)</f>
        <v>18.820095284989392</v>
      </c>
      <c r="M14" s="5">
        <f>EnergyLJ($A14,$C$2,$C$4,shape_factors!M$2,$C$3,shape_factors!M$3)</f>
        <v>-0.33853338831308277</v>
      </c>
      <c r="N14" s="5">
        <f>EnergyLJ($A14,$C$2,$C$4,shape_factors!N$2,$C$3,shape_factors!N$3)</f>
        <v>-1.0343081407863981</v>
      </c>
      <c r="O14" s="5">
        <f>EnergyLJ($A14,$C$2,$C$4,shape_factors!O$2,$C$3,shape_factors!O$3)</f>
        <v>-0.82369587941560263</v>
      </c>
      <c r="P14" s="5">
        <f>EnergyLJ($A14,$C$2,$C$4,shape_factors!P$2,$C$3,shape_factors!P$3)</f>
        <v>-1.0919112036531577</v>
      </c>
      <c r="Q14" s="5">
        <f>EnergyLJ($A14,$C$2,$C$4,shape_factors!Q$2,$C$3,shape_factors!Q$3)</f>
        <v>-1.1603960256767176</v>
      </c>
      <c r="R14" s="5">
        <f>EnergyLJ($A14,$C$2,$C$4,shape_factors!R$2,$C$3,shape_factors!R$3)</f>
        <v>43.380305565672195</v>
      </c>
      <c r="S14" s="5">
        <f>EnergyLJ($A14,$C$2,$C$4,shape_factors!S$2,$C$3,shape_factors!S$3)</f>
        <v>-1.2422195153756719</v>
      </c>
      <c r="T14" s="5">
        <f>EnergyLJ($A14,$C$2,$C$4,shape_factors!T$2,$C$3,shape_factors!T$3)</f>
        <v>-0.68783262437905957</v>
      </c>
      <c r="U14" s="5">
        <f>EnergyLJ($A14,$C$2,$C$4,shape_factors!U$2,$C$3,shape_factors!U$3)</f>
        <v>40.470318780773688</v>
      </c>
    </row>
    <row r="15" spans="1:21" x14ac:dyDescent="0.25">
      <c r="A15">
        <v>3.6</v>
      </c>
      <c r="B15" s="5">
        <f>EnergyLJ($A15,$C$2,$C$4,shape_factors!B$2,$C$3,shape_factors!B$3)</f>
        <v>4036.0081125385068</v>
      </c>
      <c r="C15" s="5">
        <f>EnergyLJ($A15,$C$2,$C$4,shape_factors!C$2,$C$3,shape_factors!C$3)</f>
        <v>31.681795410622605</v>
      </c>
      <c r="D15" s="5">
        <f>EnergyLJ($A15,$C$2,$C$4,shape_factors!D$2,$C$3,shape_factors!D$3)</f>
        <v>10377.677814061464</v>
      </c>
      <c r="E15" s="5">
        <f>EnergyLJ($A15,$C$2,$C$4,shape_factors!E$2,$C$3,shape_factors!E$3)</f>
        <v>314.83636441090636</v>
      </c>
      <c r="F15" s="5">
        <f>EnergyLJ($A15,$C$2,$C$4,shape_factors!F$2,$C$3,shape_factors!F$3)</f>
        <v>15.849832221616294</v>
      </c>
      <c r="G15" s="5">
        <f>EnergyLJ($A15,$C$2,$C$4,shape_factors!G$2,$C$3,shape_factors!G$3)</f>
        <v>59.154086611023025</v>
      </c>
      <c r="H15" s="5">
        <f>EnergyLJ($A15,$C$2,$C$4,shape_factors!H$2,$C$3,shape_factors!H$3)</f>
        <v>666752.3413698189</v>
      </c>
      <c r="I15" s="5">
        <f>EnergyLJ($A15,$C$2,$C$4,shape_factors!I$2,$C$3,shape_factors!I$3)</f>
        <v>693.52373019232471</v>
      </c>
      <c r="J15" s="5">
        <f>EnergyLJ($A15,$C$2,$C$4,shape_factors!J$2,$C$3,shape_factors!J$3)</f>
        <v>-1.2151484582877055</v>
      </c>
      <c r="K15" s="5">
        <f>EnergyLJ($A15,$C$2,$C$4,shape_factors!K$2,$C$3,shape_factors!K$3)</f>
        <v>-0.38373241775521516</v>
      </c>
      <c r="L15" s="5">
        <f>EnergyLJ($A15,$C$2,$C$4,shape_factors!L$2,$C$3,shape_factors!L$3)</f>
        <v>6.8865351543265021</v>
      </c>
      <c r="M15" s="5">
        <f>EnergyLJ($A15,$C$2,$C$4,shape_factors!M$2,$C$3,shape_factors!M$3)</f>
        <v>-1.1337290369958832</v>
      </c>
      <c r="N15" s="5">
        <f>EnergyLJ($A15,$C$2,$C$4,shape_factors!N$2,$C$3,shape_factors!N$3)</f>
        <v>-0.82038374223400401</v>
      </c>
      <c r="O15" s="5">
        <f>EnergyLJ($A15,$C$2,$C$4,shape_factors!O$2,$C$3,shape_factors!O$3)</f>
        <v>-0.62852554304914987</v>
      </c>
      <c r="P15" s="5">
        <f>EnergyLJ($A15,$C$2,$C$4,shape_factors!P$2,$C$3,shape_factors!P$3)</f>
        <v>-0.87949949196351029</v>
      </c>
      <c r="Q15" s="5">
        <f>EnergyLJ($A15,$C$2,$C$4,shape_factors!Q$2,$C$3,shape_factors!Q$3)</f>
        <v>-0.95764908105530111</v>
      </c>
      <c r="R15" s="5">
        <f>EnergyLJ($A15,$C$2,$C$4,shape_factors!R$2,$C$3,shape_factors!R$3)</f>
        <v>18.238213690771353</v>
      </c>
      <c r="S15" s="5">
        <f>EnergyLJ($A15,$C$2,$C$4,shape_factors!S$2,$C$3,shape_factors!S$3)</f>
        <v>-1.2065185637088245</v>
      </c>
      <c r="T15" s="5">
        <f>EnergyLJ($A15,$C$2,$C$4,shape_factors!T$2,$C$3,shape_factors!T$3)</f>
        <v>-0.51574841756351442</v>
      </c>
      <c r="U15" s="5">
        <f>EnergyLJ($A15,$C$2,$C$4,shape_factors!U$2,$C$3,shape_factors!U$3)</f>
        <v>16.875066013643092</v>
      </c>
    </row>
    <row r="16" spans="1:21" x14ac:dyDescent="0.25">
      <c r="A16">
        <v>3.8</v>
      </c>
      <c r="B16" s="5">
        <f>EnergyLJ($A16,$C$2,$C$4,shape_factors!B$2,$C$3,shape_factors!B$3)</f>
        <v>2080.421660303803</v>
      </c>
      <c r="C16" s="5">
        <f>EnergyLJ($A16,$C$2,$C$4,shape_factors!C$2,$C$3,shape_factors!C$3)</f>
        <v>13.473610597226349</v>
      </c>
      <c r="D16" s="5">
        <f>EnergyLJ($A16,$C$2,$C$4,shape_factors!D$2,$C$3,shape_factors!D$3)</f>
        <v>5377.7782003986149</v>
      </c>
      <c r="E16" s="5">
        <f>EnergyLJ($A16,$C$2,$C$4,shape_factors!E$2,$C$3,shape_factors!E$3)</f>
        <v>156.05616958007403</v>
      </c>
      <c r="F16" s="5">
        <f>EnergyLJ($A16,$C$2,$C$4,shape_factors!F$2,$C$3,shape_factors!F$3)</f>
        <v>5.919560047574822</v>
      </c>
      <c r="G16" s="5">
        <f>EnergyLJ($A16,$C$2,$C$4,shape_factors!G$2,$C$3,shape_factors!G$3)</f>
        <v>26.918323293632682</v>
      </c>
      <c r="H16" s="5">
        <f>EnergyLJ($A16,$C$2,$C$4,shape_factors!H$2,$C$3,shape_factors!H$3)</f>
        <v>348123.20034521265</v>
      </c>
      <c r="I16" s="5">
        <f>EnergyLJ($A16,$C$2,$C$4,shape_factors!I$2,$C$3,shape_factors!I$3)</f>
        <v>350.12653588189949</v>
      </c>
      <c r="J16" s="5">
        <f>EnergyLJ($A16,$C$2,$C$4,shape_factors!J$2,$C$3,shape_factors!J$3)</f>
        <v>-1.2350774686791117</v>
      </c>
      <c r="K16" s="5">
        <f>EnergyLJ($A16,$C$2,$C$4,shape_factors!K$2,$C$3,shape_factors!K$3)</f>
        <v>-1.1262069675749802</v>
      </c>
      <c r="L16" s="5">
        <f>EnergyLJ($A16,$C$2,$C$4,shape_factors!L$2,$C$3,shape_factors!L$3)</f>
        <v>1.8112563574130118</v>
      </c>
      <c r="M16" s="5">
        <f>EnergyLJ($A16,$C$2,$C$4,shape_factors!M$2,$C$3,shape_factors!M$3)</f>
        <v>-1.2570756158413932</v>
      </c>
      <c r="N16" s="5">
        <f>EnergyLJ($A16,$C$2,$C$4,shape_factors!N$2,$C$3,shape_factors!N$3)</f>
        <v>-0.63538557295071463</v>
      </c>
      <c r="O16" s="5">
        <f>EnergyLJ($A16,$C$2,$C$4,shape_factors!O$2,$C$3,shape_factors!O$3)</f>
        <v>-0.47592533326088005</v>
      </c>
      <c r="P16" s="5">
        <f>EnergyLJ($A16,$C$2,$C$4,shape_factors!P$2,$C$3,shape_factors!P$3)</f>
        <v>-0.68705210869714062</v>
      </c>
      <c r="Q16" s="5">
        <f>EnergyLJ($A16,$C$2,$C$4,shape_factors!Q$2,$C$3,shape_factors!Q$3)</f>
        <v>-0.75801720738343625</v>
      </c>
      <c r="R16" s="5">
        <f>EnergyLJ($A16,$C$2,$C$4,shape_factors!R$2,$C$3,shape_factors!R$3)</f>
        <v>7.0423177169399338</v>
      </c>
      <c r="S16" s="5">
        <f>EnergyLJ($A16,$C$2,$C$4,shape_factors!S$2,$C$3,shape_factors!S$3)</f>
        <v>-1.0313534513111788</v>
      </c>
      <c r="T16" s="5">
        <f>EnergyLJ($A16,$C$2,$C$4,shape_factors!T$2,$C$3,shape_factors!T$3)</f>
        <v>-0.38638318941289429</v>
      </c>
      <c r="U16" s="5">
        <f>EnergyLJ($A16,$C$2,$C$4,shape_factors!U$2,$C$3,shape_factors!U$3)</f>
        <v>6.4005046029189865</v>
      </c>
    </row>
    <row r="17" spans="1:21" x14ac:dyDescent="0.25">
      <c r="A17">
        <v>4</v>
      </c>
      <c r="B17" s="5">
        <f>EnergyLJ($A17,$C$2,$C$4,shape_factors!B$2,$C$3,shape_factors!B$3)</f>
        <v>1103.7399460112847</v>
      </c>
      <c r="C17" s="5">
        <f>EnergyLJ($A17,$C$2,$C$4,shape_factors!C$2,$C$3,shape_factors!C$3)</f>
        <v>5.1118201130546774</v>
      </c>
      <c r="D17" s="5">
        <f>EnergyLJ($A17,$C$2,$C$4,shape_factors!D$2,$C$3,shape_factors!D$3)</f>
        <v>2873.3829525955043</v>
      </c>
      <c r="E17" s="5">
        <f>EnergyLJ($A17,$C$2,$C$4,shape_factors!E$2,$C$3,shape_factors!E$3)</f>
        <v>78.352541388285374</v>
      </c>
      <c r="F17" s="5">
        <f>EnergyLJ($A17,$C$2,$C$4,shape_factors!F$2,$C$3,shape_factors!F$3)</f>
        <v>1.5365810376972526</v>
      </c>
      <c r="G17" s="5">
        <f>EnergyLJ($A17,$C$2,$C$4,shape_factors!G$2,$C$3,shape_factors!G$3)</f>
        <v>11.734212954758529</v>
      </c>
      <c r="H17" s="5">
        <f>EnergyLJ($A17,$C$2,$C$4,shape_factors!H$2,$C$3,shape_factors!H$3)</f>
        <v>187853.45189986768</v>
      </c>
      <c r="I17" s="5">
        <f>EnergyLJ($A17,$C$2,$C$4,shape_factors!I$2,$C$3,shape_factors!I$3)</f>
        <v>180.50876160900074</v>
      </c>
      <c r="J17" s="5">
        <f>EnergyLJ($A17,$C$2,$C$4,shape_factors!J$2,$C$3,shape_factors!J$3)</f>
        <v>-1.0890949600946866</v>
      </c>
      <c r="K17" s="5">
        <f>EnergyLJ($A17,$C$2,$C$4,shape_factors!K$2,$C$3,shape_factors!K$3)</f>
        <v>-1.2591889642701601</v>
      </c>
      <c r="L17" s="5">
        <f>EnergyLJ($A17,$C$2,$C$4,shape_factors!L$2,$C$3,shape_factors!L$3)</f>
        <v>-0.27813711576848821</v>
      </c>
      <c r="M17" s="5">
        <f>EnergyLJ($A17,$C$2,$C$4,shape_factors!M$2,$C$3,shape_factors!M$3)</f>
        <v>-1.1463564417483272</v>
      </c>
      <c r="N17" s="5">
        <f>EnergyLJ($A17,$C$2,$C$4,shape_factors!N$2,$C$3,shape_factors!N$3)</f>
        <v>-0.48855310675471314</v>
      </c>
      <c r="O17" s="5">
        <f>EnergyLJ($A17,$C$2,$C$4,shape_factors!O$2,$C$3,shape_factors!O$3)</f>
        <v>-0.36078834134131049</v>
      </c>
      <c r="P17" s="5">
        <f>EnergyLJ($A17,$C$2,$C$4,shape_factors!P$2,$C$3,shape_factors!P$3)</f>
        <v>-0.53106981512077855</v>
      </c>
      <c r="Q17" s="5">
        <f>EnergyLJ($A17,$C$2,$C$4,shape_factors!Q$2,$C$3,shape_factors!Q$3)</f>
        <v>-0.59058690572198824</v>
      </c>
      <c r="R17" s="5">
        <f>EnergyLJ($A17,$C$2,$C$4,shape_factors!R$2,$C$3,shape_factors!R$3)</f>
        <v>2.05500765820645</v>
      </c>
      <c r="S17" s="5">
        <f>EnergyLJ($A17,$C$2,$C$4,shape_factors!S$2,$C$3,shape_factors!S$3)</f>
        <v>-0.83898393891162537</v>
      </c>
      <c r="T17" s="5">
        <f>EnergyLJ($A17,$C$2,$C$4,shape_factors!T$2,$C$3,shape_factors!T$3)</f>
        <v>-0.29089676034565398</v>
      </c>
      <c r="U17" s="5">
        <f>EnergyLJ($A17,$C$2,$C$4,shape_factors!U$2,$C$3,shape_factors!U$3)</f>
        <v>1.7578657011901604</v>
      </c>
    </row>
    <row r="18" spans="1:21" x14ac:dyDescent="0.25">
      <c r="A18">
        <v>4.2</v>
      </c>
      <c r="B18" s="5">
        <f>EnergyLJ($A18,$C$2,$C$4,shape_factors!B$2,$C$3,shape_factors!B$3)</f>
        <v>599.99374552398672</v>
      </c>
      <c r="C18" s="5">
        <f>EnergyLJ($A18,$C$2,$C$4,shape_factors!C$2,$C$3,shape_factors!C$3)</f>
        <v>1.2960305035235904</v>
      </c>
      <c r="D18" s="5">
        <f>EnergyLJ($A18,$C$2,$C$4,shape_factors!D$2,$C$3,shape_factors!D$3)</f>
        <v>1576.735064296726</v>
      </c>
      <c r="E18" s="5">
        <f>EnergyLJ($A18,$C$2,$C$4,shape_factors!E$2,$C$3,shape_factors!E$3)</f>
        <v>39.358934529032069</v>
      </c>
      <c r="F18" s="5">
        <f>EnergyLJ($A18,$C$2,$C$4,shape_factors!F$2,$C$3,shape_factors!F$3)</f>
        <v>-0.33258843088036161</v>
      </c>
      <c r="G18" s="5">
        <f>EnergyLJ($A18,$C$2,$C$4,shape_factors!G$2,$C$3,shape_factors!G$3)</f>
        <v>4.5242484066206767</v>
      </c>
      <c r="H18" s="5">
        <f>EnergyLJ($A18,$C$2,$C$4,shape_factors!H$2,$C$3,shape_factors!H$3)</f>
        <v>104419.08342905754</v>
      </c>
      <c r="I18" s="5">
        <f>EnergyLJ($A18,$C$2,$C$4,shape_factors!I$2,$C$3,shape_factors!I$3)</f>
        <v>94.304824195864299</v>
      </c>
      <c r="J18" s="5">
        <f>EnergyLJ($A18,$C$2,$C$4,shape_factors!J$2,$C$3,shape_factors!J$3)</f>
        <v>-0.90792046714734664</v>
      </c>
      <c r="K18" s="5">
        <f>EnergyLJ($A18,$C$2,$C$4,shape_factors!K$2,$C$3,shape_factors!K$3)</f>
        <v>-1.1662882515286983</v>
      </c>
      <c r="L18" s="5">
        <f>EnergyLJ($A18,$C$2,$C$4,shape_factors!L$2,$C$3,shape_factors!L$3)</f>
        <v>-1.0533890038752904</v>
      </c>
      <c r="M18" s="5">
        <f>EnergyLJ($A18,$C$2,$C$4,shape_factors!M$2,$C$3,shape_factors!M$3)</f>
        <v>-0.97224324923767302</v>
      </c>
      <c r="N18" s="5">
        <f>EnergyLJ($A18,$C$2,$C$4,shape_factors!N$2,$C$3,shape_factors!N$3)</f>
        <v>-0.3758569954370744</v>
      </c>
      <c r="O18" s="5">
        <f>EnergyLJ($A18,$C$2,$C$4,shape_factors!O$2,$C$3,shape_factors!O$3)</f>
        <v>-0.27497455783873953</v>
      </c>
      <c r="P18" s="5">
        <f>EnergyLJ($A18,$C$2,$C$4,shape_factors!P$2,$C$3,shape_factors!P$3)</f>
        <v>-0.4099678584550373</v>
      </c>
      <c r="Q18" s="5">
        <f>EnergyLJ($A18,$C$2,$C$4,shape_factors!Q$2,$C$3,shape_factors!Q$3)</f>
        <v>-0.45824352288838205</v>
      </c>
      <c r="R18" s="5">
        <f>EnergyLJ($A18,$C$2,$C$4,shape_factors!R$2,$C$3,shape_factors!R$3)</f>
        <v>-0.10700942500513805</v>
      </c>
      <c r="S18" s="5">
        <f>EnergyLJ($A18,$C$2,$C$4,shape_factors!S$2,$C$3,shape_factors!S$3)</f>
        <v>-0.66854676132045565</v>
      </c>
      <c r="T18" s="5">
        <f>EnergyLJ($A18,$C$2,$C$4,shape_factors!T$2,$C$3,shape_factors!T$3)</f>
        <v>-0.22068164810804894</v>
      </c>
      <c r="U18" s="5">
        <f>EnergyLJ($A18,$C$2,$C$4,shape_factors!U$2,$C$3,shape_factors!U$3)</f>
        <v>-0.23696227041304391</v>
      </c>
    </row>
    <row r="19" spans="1:21" x14ac:dyDescent="0.25">
      <c r="A19">
        <v>4.4000000000000004</v>
      </c>
      <c r="B19" s="5">
        <f>EnergyLJ($A19,$C$2,$C$4,shape_factors!B$2,$C$3,shape_factors!B$3)</f>
        <v>332.71948549128138</v>
      </c>
      <c r="C19" s="5">
        <f>EnergyLJ($A19,$C$2,$C$4,shape_factors!C$2,$C$3,shape_factors!C$3)</f>
        <v>-0.38391427728503746</v>
      </c>
      <c r="D19" s="5">
        <f>EnergyLJ($A19,$C$2,$C$4,shape_factors!D$2,$C$3,shape_factors!D$3)</f>
        <v>885.33745174341539</v>
      </c>
      <c r="E19" s="5">
        <f>EnergyLJ($A19,$C$2,$C$4,shape_factors!E$2,$C$3,shape_factors!E$3)</f>
        <v>19.421487967134798</v>
      </c>
      <c r="F19" s="5">
        <f>EnergyLJ($A19,$C$2,$C$4,shape_factors!F$2,$C$3,shape_factors!F$3)</f>
        <v>-1.0528913652919365</v>
      </c>
      <c r="G19" s="5">
        <f>EnergyLJ($A19,$C$2,$C$4,shape_factors!G$2,$C$3,shape_factors!G$3)</f>
        <v>1.1298372522406577</v>
      </c>
      <c r="H19" s="5">
        <f>EnergyLJ($A19,$C$2,$C$4,shape_factors!H$2,$C$3,shape_factors!H$3)</f>
        <v>59616.066693949244</v>
      </c>
      <c r="I19" s="5">
        <f>EnergyLJ($A19,$C$2,$C$4,shape_factors!I$2,$C$3,shape_factors!I$3)</f>
        <v>49.455101688489975</v>
      </c>
      <c r="J19" s="5">
        <f>EnergyLJ($A19,$C$2,$C$4,shape_factors!J$2,$C$3,shape_factors!J$3)</f>
        <v>-0.73837795546028873</v>
      </c>
      <c r="K19" s="5">
        <f>EnergyLJ($A19,$C$2,$C$4,shape_factors!K$2,$C$3,shape_factors!K$3)</f>
        <v>-1.0050231963838774</v>
      </c>
      <c r="L19" s="5">
        <f>EnergyLJ($A19,$C$2,$C$4,shape_factors!L$2,$C$3,shape_factors!L$3)</f>
        <v>-1.2550361294984469</v>
      </c>
      <c r="M19" s="5">
        <f>EnergyLJ($A19,$C$2,$C$4,shape_factors!M$2,$C$3,shape_factors!M$3)</f>
        <v>-0.79873225725430208</v>
      </c>
      <c r="N19" s="5">
        <f>EnergyLJ($A19,$C$2,$C$4,shape_factors!N$2,$C$3,shape_factors!N$3)</f>
        <v>-0.29043321681114226</v>
      </c>
      <c r="O19" s="5">
        <f>EnergyLJ($A19,$C$2,$C$4,shape_factors!O$2,$C$3,shape_factors!O$3)</f>
        <v>-0.21111840659635367</v>
      </c>
      <c r="P19" s="5">
        <f>EnergyLJ($A19,$C$2,$C$4,shape_factors!P$2,$C$3,shape_factors!P$3)</f>
        <v>-0.31752791854534018</v>
      </c>
      <c r="Q19" s="5">
        <f>EnergyLJ($A19,$C$2,$C$4,shape_factors!Q$2,$C$3,shape_factors!Q$3)</f>
        <v>-0.35613868406491861</v>
      </c>
      <c r="R19" s="5">
        <f>EnergyLJ($A19,$C$2,$C$4,shape_factors!R$2,$C$3,shape_factors!R$3)</f>
        <v>-0.96961906341372661</v>
      </c>
      <c r="S19" s="5">
        <f>EnergyLJ($A19,$C$2,$C$4,shape_factors!S$2,$C$3,shape_factors!S$3)</f>
        <v>-0.52873567171351787</v>
      </c>
      <c r="T19" s="5">
        <f>EnergyLJ($A19,$C$2,$C$4,shape_factors!T$2,$C$3,shape_factors!T$3)</f>
        <v>-0.1688900075911528</v>
      </c>
      <c r="U19" s="5">
        <f>EnergyLJ($A19,$C$2,$C$4,shape_factors!U$2,$C$3,shape_factors!U$3)</f>
        <v>-1.0182039549609474</v>
      </c>
    </row>
    <row r="20" spans="1:21" x14ac:dyDescent="0.25">
      <c r="A20">
        <v>4.5999999999999996</v>
      </c>
      <c r="B20" s="5">
        <f>EnergyLJ($A20,$C$2,$C$4,shape_factors!B$2,$C$3,shape_factors!B$3)</f>
        <v>187.36341930190929</v>
      </c>
      <c r="C20" s="5">
        <f>EnergyLJ($A20,$C$2,$C$4,shape_factors!C$2,$C$3,shape_factors!C$3)</f>
        <v>-1.0538016328379098</v>
      </c>
      <c r="D20" s="5">
        <f>EnergyLJ($A20,$C$2,$C$4,shape_factors!D$2,$C$3,shape_factors!D$3)</f>
        <v>506.89685123529188</v>
      </c>
      <c r="E20" s="5">
        <f>EnergyLJ($A20,$C$2,$C$4,shape_factors!E$2,$C$3,shape_factors!E$3)</f>
        <v>9.1101354764964064</v>
      </c>
      <c r="F20" s="5">
        <f>EnergyLJ($A20,$C$2,$C$4,shape_factors!F$2,$C$3,shape_factors!F$3)</f>
        <v>-1.2526435178635102</v>
      </c>
      <c r="G20" s="5">
        <f>EnergyLJ($A20,$C$2,$C$4,shape_factors!G$2,$C$3,shape_factors!G$3)</f>
        <v>-0.41135070471120461</v>
      </c>
      <c r="H20" s="5">
        <f>EnergyLJ($A20,$C$2,$C$4,shape_factors!H$2,$C$3,shape_factors!H$3)</f>
        <v>34871.733385212916</v>
      </c>
      <c r="I20" s="5">
        <f>EnergyLJ($A20,$C$2,$C$4,shape_factors!I$2,$C$3,shape_factors!I$3)</f>
        <v>25.6916837220883</v>
      </c>
      <c r="J20" s="5">
        <f>EnergyLJ($A20,$C$2,$C$4,shape_factors!J$2,$C$3,shape_factors!J$3)</f>
        <v>-0.59424552817580145</v>
      </c>
      <c r="K20" s="5">
        <f>EnergyLJ($A20,$C$2,$C$4,shape_factors!K$2,$C$3,shape_factors!K$3)</f>
        <v>-0.83812011100438055</v>
      </c>
      <c r="L20" s="5">
        <f>EnergyLJ($A20,$C$2,$C$4,shape_factors!L$2,$C$3,shape_factors!L$3)</f>
        <v>-1.2163935288378016</v>
      </c>
      <c r="M20" s="5">
        <f>EnergyLJ($A20,$C$2,$C$4,shape_factors!M$2,$C$3,shape_factors!M$3)</f>
        <v>-0.64698474150513952</v>
      </c>
      <c r="N20" s="5">
        <f>EnergyLJ($A20,$C$2,$C$4,shape_factors!N$2,$C$3,shape_factors!N$3)</f>
        <v>-0.22584751437615522</v>
      </c>
      <c r="O20" s="5">
        <f>EnergyLJ($A20,$C$2,$C$4,shape_factors!O$2,$C$3,shape_factors!O$3)</f>
        <v>-0.16342871945314782</v>
      </c>
      <c r="P20" s="5">
        <f>EnergyLJ($A20,$C$2,$C$4,shape_factors!P$2,$C$3,shape_factors!P$3)</f>
        <v>-0.24731846765003418</v>
      </c>
      <c r="Q20" s="5">
        <f>EnergyLJ($A20,$C$2,$C$4,shape_factors!Q$2,$C$3,shape_factors!Q$3)</f>
        <v>-0.27805564591024129</v>
      </c>
      <c r="R20" s="5">
        <f>EnergyLJ($A20,$C$2,$C$4,shape_factors!R$2,$C$3,shape_factors!R$3)</f>
        <v>-1.2375194401726957</v>
      </c>
      <c r="S20" s="5">
        <f>EnergyLJ($A20,$C$2,$C$4,shape_factors!S$2,$C$3,shape_factors!S$3)</f>
        <v>-0.41777220104532692</v>
      </c>
      <c r="T20" s="5">
        <f>EnergyLJ($A20,$C$2,$C$4,shape_factors!T$2,$C$3,shape_factors!T$3)</f>
        <v>-0.13044101003977904</v>
      </c>
      <c r="U20" s="5">
        <f>EnergyLJ($A20,$C$2,$C$4,shape_factors!U$2,$C$3,shape_factors!U$3)</f>
        <v>-1.2470429501075107</v>
      </c>
    </row>
    <row r="21" spans="1:21" x14ac:dyDescent="0.25">
      <c r="A21">
        <v>4.8</v>
      </c>
      <c r="B21" s="5">
        <f>EnergyLJ($A21,$C$2,$C$4,shape_factors!B$2,$C$3,shape_factors!B$3)</f>
        <v>106.60793951907806</v>
      </c>
      <c r="C21" s="5">
        <f>EnergyLJ($A21,$C$2,$C$4,shape_factors!C$2,$C$3,shape_factors!C$3)</f>
        <v>-1.2502405640780183</v>
      </c>
      <c r="D21" s="5">
        <f>EnergyLJ($A21,$C$2,$C$4,shape_factors!D$2,$C$3,shape_factors!D$3)</f>
        <v>294.89702020045598</v>
      </c>
      <c r="E21" s="5">
        <f>EnergyLJ($A21,$C$2,$C$4,shape_factors!E$2,$C$3,shape_factors!E$3)</f>
        <v>3.7646846499377564</v>
      </c>
      <c r="F21" s="5">
        <f>EnergyLJ($A21,$C$2,$C$4,shape_factors!F$2,$C$3,shape_factors!F$3)</f>
        <v>-1.225208085196964</v>
      </c>
      <c r="G21" s="5">
        <f>EnergyLJ($A21,$C$2,$C$4,shape_factors!G$2,$C$3,shape_factors!G$3)</f>
        <v>-1.0478035439337869</v>
      </c>
      <c r="H21" s="5">
        <f>EnergyLJ($A21,$C$2,$C$4,shape_factors!H$2,$C$3,shape_factors!H$3)</f>
        <v>20851.719416241802</v>
      </c>
      <c r="I21" s="5">
        <f>EnergyLJ($A21,$C$2,$C$4,shape_factors!I$2,$C$3,shape_factors!I$3)</f>
        <v>12.942153518279838</v>
      </c>
      <c r="J21" s="5">
        <f>EnergyLJ($A21,$C$2,$C$4,shape_factors!J$2,$C$3,shape_factors!J$3)</f>
        <v>-0.47673214284864829</v>
      </c>
      <c r="K21" s="5">
        <f>EnergyLJ($A21,$C$2,$C$4,shape_factors!K$2,$C$3,shape_factors!K$3)</f>
        <v>-0.68829369847588218</v>
      </c>
      <c r="L21" s="5">
        <f>EnergyLJ($A21,$C$2,$C$4,shape_factors!L$2,$C$3,shape_factors!L$3)</f>
        <v>-1.0880005768020533</v>
      </c>
      <c r="M21" s="5">
        <f>EnergyLJ($A21,$C$2,$C$4,shape_factors!M$2,$C$3,shape_factors!M$3)</f>
        <v>-0.52130645755926153</v>
      </c>
      <c r="N21" s="5">
        <f>EnergyLJ($A21,$C$2,$C$4,shape_factors!N$2,$C$3,shape_factors!N$3)</f>
        <v>-0.17689579034997063</v>
      </c>
      <c r="O21" s="5">
        <f>EnergyLJ($A21,$C$2,$C$4,shape_factors!O$2,$C$3,shape_factors!O$3)</f>
        <v>-0.12758880308387185</v>
      </c>
      <c r="P21" s="5">
        <f>EnergyLJ($A21,$C$2,$C$4,shape_factors!P$2,$C$3,shape_factors!P$3)</f>
        <v>-0.19393883011625387</v>
      </c>
      <c r="Q21" s="5">
        <f>EnergyLJ($A21,$C$2,$C$4,shape_factors!Q$2,$C$3,shape_factors!Q$3)</f>
        <v>-0.21841465260628817</v>
      </c>
      <c r="R21" s="5">
        <f>EnergyLJ($A21,$C$2,$C$4,shape_factors!R$2,$C$3,shape_factors!R$3)</f>
        <v>-1.2412800189497661</v>
      </c>
      <c r="S21" s="5">
        <f>EnergyLJ($A21,$C$2,$C$4,shape_factors!S$2,$C$3,shape_factors!S$3)</f>
        <v>-0.33094260369916972</v>
      </c>
      <c r="T21" s="5">
        <f>EnergyLJ($A21,$C$2,$C$4,shape_factors!T$2,$C$3,shape_factors!T$3)</f>
        <v>-0.10166672996399663</v>
      </c>
      <c r="U21" s="5">
        <f>EnergyLJ($A21,$C$2,$C$4,shape_factors!U$2,$C$3,shape_factors!U$3)</f>
        <v>-1.2328441817233282</v>
      </c>
    </row>
    <row r="22" spans="1:21" x14ac:dyDescent="0.25">
      <c r="A22">
        <v>5</v>
      </c>
      <c r="B22" s="5">
        <f>EnergyLJ($A22,$C$2,$C$4,shape_factors!B$2,$C$3,shape_factors!B$3)</f>
        <v>60.926296110719768</v>
      </c>
      <c r="C22" s="5">
        <f>EnergyLJ($A22,$C$2,$C$4,shape_factors!C$2,$C$3,shape_factors!C$3)</f>
        <v>-1.2322693424910955</v>
      </c>
      <c r="D22" s="5">
        <f>EnergyLJ($A22,$C$2,$C$4,shape_factors!D$2,$C$3,shape_factors!D$3)</f>
        <v>173.68802498991846</v>
      </c>
      <c r="E22" s="5">
        <f>EnergyLJ($A22,$C$2,$C$4,shape_factors!E$2,$C$3,shape_factors!E$3)</f>
        <v>1.0223990569226502</v>
      </c>
      <c r="F22" s="5">
        <f>EnergyLJ($A22,$C$2,$C$4,shape_factors!F$2,$C$3,shape_factors!F$3)</f>
        <v>-1.1080104398965256</v>
      </c>
      <c r="G22" s="5">
        <f>EnergyLJ($A22,$C$2,$C$4,shape_factors!G$2,$C$3,shape_factors!G$3)</f>
        <v>-1.2463759913322949</v>
      </c>
      <c r="H22" s="5">
        <f>EnergyLJ($A22,$C$2,$C$4,shape_factors!H$2,$C$3,shape_factors!H$3)</f>
        <v>12720.49558745538</v>
      </c>
      <c r="I22" s="5">
        <f>EnergyLJ($A22,$C$2,$C$4,shape_factors!I$2,$C$3,shape_factors!I$3)</f>
        <v>6.0625834470964195</v>
      </c>
      <c r="J22" s="5">
        <f>EnergyLJ($A22,$C$2,$C$4,shape_factors!J$2,$C$3,shape_factors!J$3)</f>
        <v>-0.3827553897620441</v>
      </c>
      <c r="K22" s="5">
        <f>EnergyLJ($A22,$C$2,$C$4,shape_factors!K$2,$C$3,shape_factors!K$3)</f>
        <v>-0.56159410549952016</v>
      </c>
      <c r="L22" s="5">
        <f>EnergyLJ($A22,$C$2,$C$4,shape_factors!L$2,$C$3,shape_factors!L$3)</f>
        <v>-0.93682429093124686</v>
      </c>
      <c r="M22" s="5">
        <f>EnergyLJ($A22,$C$2,$C$4,shape_factors!M$2,$C$3,shape_factors!M$3)</f>
        <v>-0.41982092429994511</v>
      </c>
      <c r="N22" s="5">
        <f>EnergyLJ($A22,$C$2,$C$4,shape_factors!N$2,$C$3,shape_factors!N$3)</f>
        <v>-0.13960367490903905</v>
      </c>
      <c r="O22" s="5">
        <f>EnergyLJ($A22,$C$2,$C$4,shape_factors!O$2,$C$3,shape_factors!O$3)</f>
        <v>-0.10045007814237367</v>
      </c>
      <c r="P22" s="5">
        <f>EnergyLJ($A22,$C$2,$C$4,shape_factors!P$2,$C$3,shape_factors!P$3)</f>
        <v>-0.153184360925918</v>
      </c>
      <c r="Q22" s="5">
        <f>EnergyLJ($A22,$C$2,$C$4,shape_factors!Q$2,$C$3,shape_factors!Q$3)</f>
        <v>-0.17273204909329212</v>
      </c>
      <c r="R22" s="5">
        <f>EnergyLJ($A22,$C$2,$C$4,shape_factors!R$2,$C$3,shape_factors!R$3)</f>
        <v>-1.1368330688362118</v>
      </c>
      <c r="S22" s="5">
        <f>EnergyLJ($A22,$C$2,$C$4,shape_factors!S$2,$C$3,shape_factors!S$3)</f>
        <v>-0.26332641417043257</v>
      </c>
      <c r="T22" s="5">
        <f>EnergyLJ($A22,$C$2,$C$4,shape_factors!T$2,$C$3,shape_factors!T$3)</f>
        <v>-7.9943984075588392E-2</v>
      </c>
      <c r="U22" s="5">
        <f>EnergyLJ($A22,$C$2,$C$4,shape_factors!U$2,$C$3,shape_factors!U$3)</f>
        <v>-1.1209868978337463</v>
      </c>
    </row>
    <row r="23" spans="1:21" x14ac:dyDescent="0.25">
      <c r="A23">
        <v>5.2</v>
      </c>
      <c r="B23" s="5">
        <f>EnergyLJ($A23,$C$2,$C$4,shape_factors!B$2,$C$3,shape_factors!B$3)</f>
        <v>34.702973917674193</v>
      </c>
      <c r="C23" s="5">
        <f>EnergyLJ($A23,$C$2,$C$4,shape_factors!C$2,$C$3,shape_factors!C$3)</f>
        <v>-1.1253266470935841</v>
      </c>
      <c r="D23" s="5">
        <f>EnergyLJ($A23,$C$2,$C$4,shape_factors!D$2,$C$3,shape_factors!D$3)</f>
        <v>103.14659287379696</v>
      </c>
      <c r="E23" s="5">
        <f>EnergyLJ($A23,$C$2,$C$4,shape_factors!E$2,$C$3,shape_factors!E$3)</f>
        <v>-0.34107632067647314</v>
      </c>
      <c r="F23" s="5">
        <f>EnergyLJ($A23,$C$2,$C$4,shape_factors!F$2,$C$3,shape_factors!F$3)</f>
        <v>-0.9646272010026512</v>
      </c>
      <c r="G23" s="5">
        <f>EnergyLJ($A23,$C$2,$C$4,shape_factors!G$2,$C$3,shape_factors!G$3)</f>
        <v>-1.2395154275097706</v>
      </c>
      <c r="H23" s="5">
        <f>EnergyLJ($A23,$C$2,$C$4,shape_factors!H$2,$C$3,shape_factors!H$3)</f>
        <v>7902.8043158973351</v>
      </c>
      <c r="I23" s="5">
        <f>EnergyLJ($A23,$C$2,$C$4,shape_factors!I$2,$C$3,shape_factors!I$3)</f>
        <v>2.3623273588994507</v>
      </c>
      <c r="J23" s="5">
        <f>EnergyLJ($A23,$C$2,$C$4,shape_factors!J$2,$C$3,shape_factors!J$3)</f>
        <v>-0.30822314766219877</v>
      </c>
      <c r="K23" s="5">
        <f>EnergyLJ($A23,$C$2,$C$4,shape_factors!K$2,$C$3,shape_factors!K$3)</f>
        <v>-0.45746603098791699</v>
      </c>
      <c r="L23" s="5">
        <f>EnergyLJ($A23,$C$2,$C$4,shape_factors!L$2,$C$3,shape_factors!L$3)</f>
        <v>-0.79124935017596398</v>
      </c>
      <c r="M23" s="5">
        <f>EnergyLJ($A23,$C$2,$C$4,shape_factors!M$2,$C$3,shape_factors!M$3)</f>
        <v>-0.33881507026418767</v>
      </c>
      <c r="N23" s="5">
        <f>EnergyLJ($A23,$C$2,$C$4,shape_factors!N$2,$C$3,shape_factors!N$3)</f>
        <v>-0.11100979163292987</v>
      </c>
      <c r="O23" s="5">
        <f>EnergyLJ($A23,$C$2,$C$4,shape_factors!O$2,$C$3,shape_factors!O$3)</f>
        <v>-7.9732849627830268E-2</v>
      </c>
      <c r="P23" s="5">
        <f>EnergyLJ($A23,$C$2,$C$4,shape_factors!P$2,$C$3,shape_factors!P$3)</f>
        <v>-0.12188617851974198</v>
      </c>
      <c r="Q23" s="5">
        <f>EnergyLJ($A23,$C$2,$C$4,shape_factors!Q$2,$C$3,shape_factors!Q$3)</f>
        <v>-0.13756730302442802</v>
      </c>
      <c r="R23" s="5">
        <f>EnergyLJ($A23,$C$2,$C$4,shape_factors!R$2,$C$3,shape_factors!R$3)</f>
        <v>-0.99710445831779237</v>
      </c>
      <c r="S23" s="5">
        <f>EnergyLJ($A23,$C$2,$C$4,shape_factors!S$2,$C$3,shape_factors!S$3)</f>
        <v>-0.21066541637661013</v>
      </c>
      <c r="T23" s="5">
        <f>EnergyLJ($A23,$C$2,$C$4,shape_factors!T$2,$C$3,shape_factors!T$3)</f>
        <v>-6.3397975295560197E-2</v>
      </c>
      <c r="U23" s="5">
        <f>EnergyLJ($A23,$C$2,$C$4,shape_factors!U$2,$C$3,shape_factors!U$3)</f>
        <v>-0.97906197531390793</v>
      </c>
    </row>
    <row r="24" spans="1:21" x14ac:dyDescent="0.25">
      <c r="A24">
        <v>5.4</v>
      </c>
      <c r="B24" s="5">
        <f>EnergyLJ($A24,$C$2,$C$4,shape_factors!B$2,$C$3,shape_factors!B$3)</f>
        <v>19.481432054139631</v>
      </c>
      <c r="C24" s="5">
        <f>EnergyLJ($A24,$C$2,$C$4,shape_factors!C$2,$C$3,shape_factors!C$3)</f>
        <v>-0.98952436978281177</v>
      </c>
      <c r="D24" s="5">
        <f>EnergyLJ($A24,$C$2,$C$4,shape_factors!D$2,$C$3,shape_factors!D$3)</f>
        <v>61.46622539024716</v>
      </c>
      <c r="E24" s="5">
        <f>EnergyLJ($A24,$C$2,$C$4,shape_factors!E$2,$C$3,shape_factors!E$3)</f>
        <v>-0.97173604350718823</v>
      </c>
      <c r="F24" s="5">
        <f>EnergyLJ($A24,$C$2,$C$4,shape_factors!F$2,$C$3,shape_factors!F$3)</f>
        <v>-0.82332951343756478</v>
      </c>
      <c r="G24" s="5">
        <f>EnergyLJ($A24,$C$2,$C$4,shape_factors!G$2,$C$3,shape_factors!G$3)</f>
        <v>-1.1433238209895689</v>
      </c>
      <c r="H24" s="5">
        <f>EnergyLJ($A24,$C$2,$C$4,shape_factors!H$2,$C$3,shape_factors!H$3)</f>
        <v>4991.8833586565606</v>
      </c>
      <c r="I24" s="5">
        <f>EnergyLJ($A24,$C$2,$C$4,shape_factors!I$2,$C$3,shape_factors!I$3)</f>
        <v>0.40441636088753746</v>
      </c>
      <c r="J24" s="5">
        <f>EnergyLJ($A24,$C$2,$C$4,shape_factors!J$2,$C$3,shape_factors!J$3)</f>
        <v>-0.24925355469174543</v>
      </c>
      <c r="K24" s="5">
        <f>EnergyLJ($A24,$C$2,$C$4,shape_factors!K$2,$C$3,shape_factors!K$3)</f>
        <v>-0.37306809695636411</v>
      </c>
      <c r="L24" s="5">
        <f>EnergyLJ($A24,$C$2,$C$4,shape_factors!L$2,$C$3,shape_factors!L$3)</f>
        <v>-0.66188982655230211</v>
      </c>
      <c r="M24" s="5">
        <f>EnergyLJ($A24,$C$2,$C$4,shape_factors!M$2,$C$3,shape_factors!M$3)</f>
        <v>-0.27443725625527071</v>
      </c>
      <c r="N24" s="5">
        <f>EnergyLJ($A24,$C$2,$C$4,shape_factors!N$2,$C$3,shape_factors!N$3)</f>
        <v>-8.89288748533201E-2</v>
      </c>
      <c r="O24" s="5">
        <f>EnergyLJ($A24,$C$2,$C$4,shape_factors!O$2,$C$3,shape_factors!O$3)</f>
        <v>-6.3786752797893892E-2</v>
      </c>
      <c r="P24" s="5">
        <f>EnergyLJ($A24,$C$2,$C$4,shape_factors!P$2,$C$3,shape_factors!P$3)</f>
        <v>-9.7688643174051168E-2</v>
      </c>
      <c r="Q24" s="5">
        <f>EnergyLJ($A24,$C$2,$C$4,shape_factors!Q$2,$C$3,shape_factors!Q$3)</f>
        <v>-0.11033370002891416</v>
      </c>
      <c r="R24" s="5">
        <f>EnergyLJ($A24,$C$2,$C$4,shape_factors!R$2,$C$3,shape_factors!R$3)</f>
        <v>-0.85513183112937652</v>
      </c>
      <c r="S24" s="5">
        <f>EnergyLJ($A24,$C$2,$C$4,shape_factors!S$2,$C$3,shape_factors!S$3)</f>
        <v>-0.16953313348538279</v>
      </c>
      <c r="T24" s="5">
        <f>EnergyLJ($A24,$C$2,$C$4,shape_factors!T$2,$C$3,shape_factors!T$3)</f>
        <v>-5.0683564721858011E-2</v>
      </c>
      <c r="U24" s="5">
        <f>EnergyLJ($A24,$C$2,$C$4,shape_factors!U$2,$C$3,shape_factors!U$3)</f>
        <v>-0.83738440634095113</v>
      </c>
    </row>
    <row r="25" spans="1:21" x14ac:dyDescent="0.25">
      <c r="A25">
        <v>5.6</v>
      </c>
      <c r="B25" s="5">
        <f>EnergyLJ($A25,$C$2,$C$4,shape_factors!B$2,$C$3,shape_factors!B$3)</f>
        <v>10.583241540451562</v>
      </c>
      <c r="C25" s="5">
        <f>EnergyLJ($A25,$C$2,$C$4,shape_factors!C$2,$C$3,shape_factors!C$3)</f>
        <v>-0.85273641549190426</v>
      </c>
      <c r="D25" s="5">
        <f>EnergyLJ($A25,$C$2,$C$4,shape_factors!D$2,$C$3,shape_factors!D$3)</f>
        <v>36.529287903470852</v>
      </c>
      <c r="E25" s="5">
        <f>EnergyLJ($A25,$C$2,$C$4,shape_factors!E$2,$C$3,shape_factors!E$3)</f>
        <v>-1.2152282375062473</v>
      </c>
      <c r="F25" s="5">
        <f>EnergyLJ($A25,$C$2,$C$4,shape_factors!F$2,$C$3,shape_factors!F$3)</f>
        <v>-0.69551888347192825</v>
      </c>
      <c r="G25" s="5">
        <f>EnergyLJ($A25,$C$2,$C$4,shape_factors!G$2,$C$3,shape_factors!G$3)</f>
        <v>-1.0153013622747156</v>
      </c>
      <c r="H25" s="5">
        <f>EnergyLJ($A25,$C$2,$C$4,shape_factors!H$2,$C$3,shape_factors!H$3)</f>
        <v>3201.1119751635842</v>
      </c>
      <c r="I25" s="5">
        <f>EnergyLJ($A25,$C$2,$C$4,shape_factors!I$2,$C$3,shape_factors!I$3)</f>
        <v>-0.59226191631100711</v>
      </c>
      <c r="J25" s="5">
        <f>EnergyLJ($A25,$C$2,$C$4,shape_factors!J$2,$C$3,shape_factors!J$3)</f>
        <v>-0.2025524736911942</v>
      </c>
      <c r="K25" s="5">
        <f>EnergyLJ($A25,$C$2,$C$4,shape_factors!K$2,$C$3,shape_factors!K$3)</f>
        <v>-0.30507961703544684</v>
      </c>
      <c r="L25" s="5">
        <f>EnergyLJ($A25,$C$2,$C$4,shape_factors!L$2,$C$3,shape_factors!L$3)</f>
        <v>-0.55134310333612657</v>
      </c>
      <c r="M25" s="5">
        <f>EnergyLJ($A25,$C$2,$C$4,shape_factors!M$2,$C$3,shape_factors!M$3)</f>
        <v>-0.22328957703089664</v>
      </c>
      <c r="N25" s="5">
        <f>EnergyLJ($A25,$C$2,$C$4,shape_factors!N$2,$C$3,shape_factors!N$3)</f>
        <v>-7.1751688989618173E-2</v>
      </c>
      <c r="O25" s="5">
        <f>EnergyLJ($A25,$C$2,$C$4,shape_factors!O$2,$C$3,shape_factors!O$3)</f>
        <v>-5.1412554704580844E-2</v>
      </c>
      <c r="P25" s="5">
        <f>EnergyLJ($A25,$C$2,$C$4,shape_factors!P$2,$C$3,shape_factors!P$3)</f>
        <v>-7.8848341131077374E-2</v>
      </c>
      <c r="Q25" s="5">
        <f>EnergyLJ($A25,$C$2,$C$4,shape_factors!Q$2,$C$3,shape_factors!Q$3)</f>
        <v>-8.9102196428060915E-2</v>
      </c>
      <c r="R25" s="5">
        <f>EnergyLJ($A25,$C$2,$C$4,shape_factors!R$2,$C$3,shape_factors!R$3)</f>
        <v>-0.72474954789286772</v>
      </c>
      <c r="S25" s="5">
        <f>EnergyLJ($A25,$C$2,$C$4,shape_factors!S$2,$C$3,shape_factors!S$3)</f>
        <v>-0.13726271724688724</v>
      </c>
      <c r="T25" s="5">
        <f>EnergyLJ($A25,$C$2,$C$4,shape_factors!T$2,$C$3,shape_factors!T$3)</f>
        <v>-4.0829542940000789E-2</v>
      </c>
      <c r="U25" s="5">
        <f>EnergyLJ($A25,$C$2,$C$4,shape_factors!U$2,$C$3,shape_factors!U$3)</f>
        <v>-0.70839689561832453</v>
      </c>
    </row>
    <row r="26" spans="1:21" x14ac:dyDescent="0.25">
      <c r="A26">
        <v>5.8</v>
      </c>
      <c r="B26" s="5">
        <f>EnergyLJ($A26,$C$2,$C$4,shape_factors!B$2,$C$3,shape_factors!B$3)</f>
        <v>5.3701122306775408</v>
      </c>
      <c r="C26" s="5">
        <f>EnergyLJ($A26,$C$2,$C$4,shape_factors!C$2,$C$3,shape_factors!C$3)</f>
        <v>-0.72691613335658123</v>
      </c>
      <c r="D26" s="5">
        <f>EnergyLJ($A26,$C$2,$C$4,shape_factors!D$2,$C$3,shape_factors!D$3)</f>
        <v>21.464836040518374</v>
      </c>
      <c r="E26" s="5">
        <f>EnergyLJ($A26,$C$2,$C$4,shape_factors!E$2,$C$3,shape_factors!E$3)</f>
        <v>-1.2582613817313724</v>
      </c>
      <c r="F26" s="5">
        <f>EnergyLJ($A26,$C$2,$C$4,shape_factors!F$2,$C$3,shape_factors!F$3)</f>
        <v>-0.58465908844398173</v>
      </c>
      <c r="G26" s="5">
        <f>EnergyLJ($A26,$C$2,$C$4,shape_factors!G$2,$C$3,shape_factors!G$3)</f>
        <v>-0.88316446263846093</v>
      </c>
      <c r="H26" s="5">
        <f>EnergyLJ($A26,$C$2,$C$4,shape_factors!H$2,$C$3,shape_factors!H$3)</f>
        <v>2081.048354429196</v>
      </c>
      <c r="I26" s="5">
        <f>EnergyLJ($A26,$C$2,$C$4,shape_factors!I$2,$C$3,shape_factors!I$3)</f>
        <v>-1.0584968741309437</v>
      </c>
      <c r="J26" s="5">
        <f>EnergyLJ($A26,$C$2,$C$4,shape_factors!J$2,$C$3,shape_factors!J$3)</f>
        <v>-0.16546005208853481</v>
      </c>
      <c r="K26" s="5">
        <f>EnergyLJ($A26,$C$2,$C$4,shape_factors!K$2,$C$3,shape_factors!K$3)</f>
        <v>-0.25040444989522315</v>
      </c>
      <c r="L26" s="5">
        <f>EnergyLJ($A26,$C$2,$C$4,shape_factors!L$2,$C$3,shape_factors!L$3)</f>
        <v>-0.45878278101502029</v>
      </c>
      <c r="M26" s="5">
        <f>EnergyLJ($A26,$C$2,$C$4,shape_factors!M$2,$C$3,shape_factors!M$3)</f>
        <v>-0.18256936226004586</v>
      </c>
      <c r="N26" s="5">
        <f>EnergyLJ($A26,$C$2,$C$4,shape_factors!N$2,$C$3,shape_factors!N$3)</f>
        <v>-5.8290687850600445E-2</v>
      </c>
      <c r="O26" s="5">
        <f>EnergyLJ($A26,$C$2,$C$4,shape_factors!O$2,$C$3,shape_factors!O$3)</f>
        <v>-4.1733735980090239E-2</v>
      </c>
      <c r="P26" s="5">
        <f>EnergyLJ($A26,$C$2,$C$4,shape_factors!P$2,$C$3,shape_factors!P$3)</f>
        <v>-6.4074128083001086E-2</v>
      </c>
      <c r="Q26" s="5">
        <f>EnergyLJ($A26,$C$2,$C$4,shape_factors!Q$2,$C$3,shape_factors!Q$3)</f>
        <v>-7.2436531796723047E-2</v>
      </c>
      <c r="R26" s="5">
        <f>EnergyLJ($A26,$C$2,$C$4,shape_factors!R$2,$C$3,shape_factors!R$3)</f>
        <v>-0.61065051974450124</v>
      </c>
      <c r="S26" s="5">
        <f>EnergyLJ($A26,$C$2,$C$4,shape_factors!S$2,$C$3,shape_factors!S$3)</f>
        <v>-0.11181067916891552</v>
      </c>
      <c r="T26" s="5">
        <f>EnergyLJ($A26,$C$2,$C$4,shape_factors!T$2,$C$3,shape_factors!T$3)</f>
        <v>-3.3129372668771147E-2</v>
      </c>
      <c r="U26" s="5">
        <f>EnergyLJ($A26,$C$2,$C$4,shape_factors!U$2,$C$3,shape_factors!U$3)</f>
        <v>-0.596087744493076</v>
      </c>
    </row>
    <row r="27" spans="1:21" x14ac:dyDescent="0.25">
      <c r="A27">
        <v>6</v>
      </c>
      <c r="B27" s="5">
        <f>EnergyLJ($A27,$C$2,$C$4,shape_factors!B$2,$C$3,shape_factors!B$3)</f>
        <v>2.3286488557948246</v>
      </c>
      <c r="C27" s="5">
        <f>EnergyLJ($A27,$C$2,$C$4,shape_factors!C$2,$C$3,shape_factors!C$3)</f>
        <v>-0.61624388508592765</v>
      </c>
      <c r="D27" s="5">
        <f>EnergyLJ($A27,$C$2,$C$4,shape_factors!D$2,$C$3,shape_factors!D$3)</f>
        <v>12.304862375479663</v>
      </c>
      <c r="E27" s="5">
        <f>EnergyLJ($A27,$C$2,$C$4,shape_factors!E$2,$C$3,shape_factors!E$3)</f>
        <v>-1.2020999275617039</v>
      </c>
      <c r="F27" s="5">
        <f>EnergyLJ($A27,$C$2,$C$4,shape_factors!F$2,$C$3,shape_factors!F$3)</f>
        <v>-0.49062901004903448</v>
      </c>
      <c r="G27" s="5">
        <f>EnergyLJ($A27,$C$2,$C$4,shape_factors!G$2,$C$3,shape_factors!G$3)</f>
        <v>-0.75946464684540316</v>
      </c>
      <c r="H27" s="5">
        <f>EnergyLJ($A27,$C$2,$C$4,shape_factors!H$2,$C$3,shape_factors!H$3)</f>
        <v>1369.7255630521247</v>
      </c>
      <c r="I27" s="5">
        <f>EnergyLJ($A27,$C$2,$C$4,shape_factors!I$2,$C$3,shape_factors!I$3)</f>
        <v>-1.2345061682824914</v>
      </c>
      <c r="J27" s="5">
        <f>EnergyLJ($A27,$C$2,$C$4,shape_factors!J$2,$C$3,shape_factors!J$3)</f>
        <v>-0.13588034264341819</v>
      </c>
      <c r="K27" s="5">
        <f>EnergyLJ($A27,$C$2,$C$4,shape_factors!K$2,$C$3,shape_factors!K$3)</f>
        <v>-0.20639692035082952</v>
      </c>
      <c r="L27" s="5">
        <f>EnergyLJ($A27,$C$2,$C$4,shape_factors!L$2,$C$3,shape_factors!L$3)</f>
        <v>-0.38210633846659336</v>
      </c>
      <c r="M27" s="5">
        <f>EnergyLJ($A27,$C$2,$C$4,shape_factors!M$2,$C$3,shape_factors!M$3)</f>
        <v>-0.15003882222326048</v>
      </c>
      <c r="N27" s="5">
        <f>EnergyLJ($A27,$C$2,$C$4,shape_factors!N$2,$C$3,shape_factors!N$3)</f>
        <v>-4.7665606513292748E-2</v>
      </c>
      <c r="O27" s="5">
        <f>EnergyLJ($A27,$C$2,$C$4,shape_factors!O$2,$C$3,shape_factors!O$3)</f>
        <v>-3.4105175875849103E-2</v>
      </c>
      <c r="P27" s="5">
        <f>EnergyLJ($A27,$C$2,$C$4,shape_factors!P$2,$C$3,shape_factors!P$3)</f>
        <v>-5.2406459447450683E-2</v>
      </c>
      <c r="Q27" s="5">
        <f>EnergyLJ($A27,$C$2,$C$4,shape_factors!Q$2,$C$3,shape_factors!Q$3)</f>
        <v>-5.9265179238164503E-2</v>
      </c>
      <c r="R27" s="5">
        <f>EnergyLJ($A27,$C$2,$C$4,shape_factors!R$2,$C$3,shape_factors!R$3)</f>
        <v>-0.51331718239704782</v>
      </c>
      <c r="S27" s="5">
        <f>EnergyLJ($A27,$C$2,$C$4,shape_factors!S$2,$C$3,shape_factors!S$3)</f>
        <v>-9.1621297989226885E-2</v>
      </c>
      <c r="T27" s="5">
        <f>EnergyLJ($A27,$C$2,$C$4,shape_factors!T$2,$C$3,shape_factors!T$3)</f>
        <v>-2.7064860966321228E-2</v>
      </c>
      <c r="U27" s="5">
        <f>EnergyLJ($A27,$C$2,$C$4,shape_factors!U$2,$C$3,shape_factors!U$3)</f>
        <v>-0.50059219639536578</v>
      </c>
    </row>
    <row r="28" spans="1:21" x14ac:dyDescent="0.25">
      <c r="A28">
        <v>6.2</v>
      </c>
      <c r="B28" s="5">
        <f>EnergyLJ($A28,$C$2,$C$4,shape_factors!B$2,$C$3,shape_factors!B$3)</f>
        <v>0.57758399021775064</v>
      </c>
      <c r="C28" s="5">
        <f>EnergyLJ($A28,$C$2,$C$4,shape_factors!C$2,$C$3,shape_factors!C$3)</f>
        <v>-0.52122216790022868</v>
      </c>
      <c r="D28" s="5">
        <f>EnergyLJ($A28,$C$2,$C$4,shape_factors!D$2,$C$3,shape_factors!D$3)</f>
        <v>6.7195180413672251</v>
      </c>
      <c r="E28" s="5">
        <f>EnergyLJ($A28,$C$2,$C$4,shape_factors!E$2,$C$3,shape_factors!E$3)</f>
        <v>-1.1014985652288736</v>
      </c>
      <c r="F28" s="5">
        <f>EnergyLJ($A28,$C$2,$C$4,shape_factors!F$2,$C$3,shape_factors!F$3)</f>
        <v>-0.41183658241770388</v>
      </c>
      <c r="G28" s="5">
        <f>EnergyLJ($A28,$C$2,$C$4,shape_factors!G$2,$C$3,shape_factors!G$3)</f>
        <v>-0.64909475121352234</v>
      </c>
      <c r="H28" s="5">
        <f>EnergyLJ($A28,$C$2,$C$4,shape_factors!H$2,$C$3,shape_factors!H$3)</f>
        <v>911.59837279974226</v>
      </c>
      <c r="I28" s="5">
        <f>EnergyLJ($A28,$C$2,$C$4,shape_factors!I$2,$C$3,shape_factors!I$3)</f>
        <v>-1.2551946905184874</v>
      </c>
      <c r="J28" s="5">
        <f>EnergyLJ($A28,$C$2,$C$4,shape_factors!J$2,$C$3,shape_factors!J$3)</f>
        <v>-0.11218130459077988</v>
      </c>
      <c r="K28" s="5">
        <f>EnergyLJ($A28,$C$2,$C$4,shape_factors!K$2,$C$3,shape_factors!K$3)</f>
        <v>-0.17088873002135083</v>
      </c>
      <c r="L28" s="5">
        <f>EnergyLJ($A28,$C$2,$C$4,shape_factors!L$2,$C$3,shape_factors!L$3)</f>
        <v>-0.31891405274238993</v>
      </c>
      <c r="M28" s="5">
        <f>EnergyLJ($A28,$C$2,$C$4,shape_factors!M$2,$C$3,shape_factors!M$3)</f>
        <v>-0.1239400718306669</v>
      </c>
      <c r="N28" s="5">
        <f>EnergyLJ($A28,$C$2,$C$4,shape_factors!N$2,$C$3,shape_factors!N$3)</f>
        <v>-3.9220182033991254E-2</v>
      </c>
      <c r="O28" s="5">
        <f>EnergyLJ($A28,$C$2,$C$4,shape_factors!O$2,$C$3,shape_factors!O$3)</f>
        <v>-2.8048485663021504E-2</v>
      </c>
      <c r="P28" s="5">
        <f>EnergyLJ($A28,$C$2,$C$4,shape_factors!P$2,$C$3,shape_factors!P$3)</f>
        <v>-4.3128577368600478E-2</v>
      </c>
      <c r="Q28" s="5">
        <f>EnergyLJ($A28,$C$2,$C$4,shape_factors!Q$2,$C$3,shape_factors!Q$3)</f>
        <v>-4.8785428544273868E-2</v>
      </c>
      <c r="R28" s="5">
        <f>EnergyLJ($A28,$C$2,$C$4,shape_factors!R$2,$C$3,shape_factors!R$3)</f>
        <v>-0.43143565805169964</v>
      </c>
      <c r="S28" s="5">
        <f>EnergyLJ($A28,$C$2,$C$4,shape_factors!S$2,$C$3,shape_factors!S$3)</f>
        <v>-7.5511842083719263E-2</v>
      </c>
      <c r="T28" s="5">
        <f>EnergyLJ($A28,$C$2,$C$4,shape_factors!T$2,$C$3,shape_factors!T$3)</f>
        <v>-2.2252766420208351E-2</v>
      </c>
      <c r="U28" s="5">
        <f>EnergyLJ($A28,$C$2,$C$4,shape_factors!U$2,$C$3,shape_factors!U$3)</f>
        <v>-0.42043533452040255</v>
      </c>
    </row>
    <row r="29" spans="1:21" x14ac:dyDescent="0.25">
      <c r="A29">
        <v>6.4</v>
      </c>
      <c r="B29" s="5">
        <f>EnergyLJ($A29,$C$2,$C$4,shape_factors!B$2,$C$3,shape_factors!B$3)</f>
        <v>-0.40297030466063499</v>
      </c>
      <c r="C29" s="5">
        <f>EnergyLJ($A29,$C$2,$C$4,shape_factors!C$2,$C$3,shape_factors!C$3)</f>
        <v>-0.44073179839667365</v>
      </c>
      <c r="D29" s="5">
        <f>EnergyLJ($A29,$C$2,$C$4,shape_factors!D$2,$C$3,shape_factors!D$3)</f>
        <v>3.3202565715902828</v>
      </c>
      <c r="E29" s="5">
        <f>EnergyLJ($A29,$C$2,$C$4,shape_factors!E$2,$C$3,shape_factors!E$3)</f>
        <v>-0.9856716937642318</v>
      </c>
      <c r="F29" s="5">
        <f>EnergyLJ($A29,$C$2,$C$4,shape_factors!F$2,$C$3,shape_factors!F$3)</f>
        <v>-0.3462275983601773</v>
      </c>
      <c r="G29" s="5">
        <f>EnergyLJ($A29,$C$2,$C$4,shape_factors!G$2,$C$3,shape_factors!G$3)</f>
        <v>-0.55317070567698268</v>
      </c>
      <c r="H29" s="5">
        <f>EnergyLJ($A29,$C$2,$C$4,shape_factors!H$2,$C$3,shape_factors!H$3)</f>
        <v>612.7080562204851</v>
      </c>
      <c r="I29" s="5">
        <f>EnergyLJ($A29,$C$2,$C$4,shape_factors!I$2,$C$3,shape_factors!I$3)</f>
        <v>-1.1965002647997653</v>
      </c>
      <c r="J29" s="5">
        <f>EnergyLJ($A29,$C$2,$C$4,shape_factors!J$2,$C$3,shape_factors!J$3)</f>
        <v>-9.3098559560107347E-2</v>
      </c>
      <c r="K29" s="5">
        <f>EnergyLJ($A29,$C$2,$C$4,shape_factors!K$2,$C$3,shape_factors!K$3)</f>
        <v>-0.14214075212513774</v>
      </c>
      <c r="L29" s="5">
        <f>EnergyLJ($A29,$C$2,$C$4,shape_factors!L$2,$C$3,shape_factors!L$3)</f>
        <v>-0.26692890581917988</v>
      </c>
      <c r="M29" s="5">
        <f>EnergyLJ($A29,$C$2,$C$4,shape_factors!M$2,$C$3,shape_factors!M$3)</f>
        <v>-0.10290280070617465</v>
      </c>
      <c r="N29" s="5">
        <f>EnergyLJ($A29,$C$2,$C$4,shape_factors!N$2,$C$3,shape_factors!N$3)</f>
        <v>-3.2461977792826946E-2</v>
      </c>
      <c r="O29" s="5">
        <f>EnergyLJ($A29,$C$2,$C$4,shape_factors!O$2,$C$3,shape_factors!O$3)</f>
        <v>-2.3206168813311345E-2</v>
      </c>
      <c r="P29" s="5">
        <f>EnergyLJ($A29,$C$2,$C$4,shape_factors!P$2,$C$3,shape_factors!P$3)</f>
        <v>-3.5701856579238377E-2</v>
      </c>
      <c r="Q29" s="5">
        <f>EnergyLJ($A29,$C$2,$C$4,shape_factors!Q$2,$C$3,shape_factors!Q$3)</f>
        <v>-4.0392747175187642E-2</v>
      </c>
      <c r="R29" s="5">
        <f>EnergyLJ($A29,$C$2,$C$4,shape_factors!R$2,$C$3,shape_factors!R$3)</f>
        <v>-0.3630621598679204</v>
      </c>
      <c r="S29" s="5">
        <f>EnergyLJ($A29,$C$2,$C$4,shape_factors!S$2,$C$3,shape_factors!S$3)</f>
        <v>-6.2581725869050475E-2</v>
      </c>
      <c r="T29" s="5">
        <f>EnergyLJ($A29,$C$2,$C$4,shape_factors!T$2,$C$3,shape_factors!T$3)</f>
        <v>-1.8407284745114109E-2</v>
      </c>
      <c r="U29" s="5">
        <f>EnergyLJ($A29,$C$2,$C$4,shape_factors!U$2,$C$3,shape_factors!U$3)</f>
        <v>-0.3536085140849437</v>
      </c>
    </row>
    <row r="30" spans="1:21" x14ac:dyDescent="0.25">
      <c r="A30">
        <v>6.6</v>
      </c>
      <c r="B30" s="5">
        <f>EnergyLJ($A30,$C$2,$C$4,shape_factors!B$2,$C$3,shape_factors!B$3)</f>
        <v>-0.92308088504161201</v>
      </c>
      <c r="C30" s="5">
        <f>EnergyLJ($A30,$C$2,$C$4,shape_factors!C$2,$C$3,shape_factors!C$3)</f>
        <v>-0.37305203347118937</v>
      </c>
      <c r="D30" s="5">
        <f>EnergyLJ($A30,$C$2,$C$4,shape_factors!D$2,$C$3,shape_factors!D$3)</f>
        <v>1.2684475726199744</v>
      </c>
      <c r="E30" s="5">
        <f>EnergyLJ($A30,$C$2,$C$4,shape_factors!E$2,$C$3,shape_factors!E$3)</f>
        <v>-0.86974620273264069</v>
      </c>
      <c r="F30" s="5">
        <f>EnergyLJ($A30,$C$2,$C$4,shape_factors!F$2,$C$3,shape_factors!F$3)</f>
        <v>-0.29174732790432623</v>
      </c>
      <c r="G30" s="5">
        <f>EnergyLJ($A30,$C$2,$C$4,shape_factors!G$2,$C$3,shape_factors!G$3)</f>
        <v>-0.47104076938908751</v>
      </c>
      <c r="H30" s="5">
        <f>EnergyLJ($A30,$C$2,$C$4,shape_factors!H$2,$C$3,shape_factors!H$3)</f>
        <v>415.381540452514</v>
      </c>
      <c r="I30" s="5">
        <f>EnergyLJ($A30,$C$2,$C$4,shape_factors!I$2,$C$3,shape_factors!I$3)</f>
        <v>-1.1009996771106667</v>
      </c>
      <c r="J30" s="5">
        <f>EnergyLJ($A30,$C$2,$C$4,shape_factors!J$2,$C$3,shape_factors!J$3)</f>
        <v>-7.7653633434437194E-2</v>
      </c>
      <c r="K30" s="5">
        <f>EnergyLJ($A30,$C$2,$C$4,shape_factors!K$2,$C$3,shape_factors!K$3)</f>
        <v>-0.11877352015035229</v>
      </c>
      <c r="L30" s="5">
        <f>EnergyLJ($A30,$C$2,$C$4,shape_factors!L$2,$C$3,shape_factors!L$3)</f>
        <v>-0.22415200276433275</v>
      </c>
      <c r="M30" s="5">
        <f>EnergyLJ($A30,$C$2,$C$4,shape_factors!M$2,$C$3,shape_factors!M$3)</f>
        <v>-8.5861775984050676E-2</v>
      </c>
      <c r="N30" s="5">
        <f>EnergyLJ($A30,$C$2,$C$4,shape_factors!N$2,$C$3,shape_factors!N$3)</f>
        <v>-2.7018964401253929E-2</v>
      </c>
      <c r="O30" s="5">
        <f>EnergyLJ($A30,$C$2,$C$4,shape_factors!O$2,$C$3,shape_factors!O$3)</f>
        <v>-1.9309000999236121E-2</v>
      </c>
      <c r="P30" s="5">
        <f>EnergyLJ($A30,$C$2,$C$4,shape_factors!P$2,$C$3,shape_factors!P$3)</f>
        <v>-2.9718907515242841E-2</v>
      </c>
      <c r="Q30" s="5">
        <f>EnergyLJ($A30,$C$2,$C$4,shape_factors!Q$2,$C$3,shape_factors!Q$3)</f>
        <v>-3.3629127753414506E-2</v>
      </c>
      <c r="R30" s="5">
        <f>EnergyLJ($A30,$C$2,$C$4,shape_factors!R$2,$C$3,shape_factors!R$3)</f>
        <v>-0.30616786612714947</v>
      </c>
      <c r="S30" s="5">
        <f>EnergyLJ($A30,$C$2,$C$4,shape_factors!S$2,$C$3,shape_factors!S$3)</f>
        <v>-5.2142902877942349E-2</v>
      </c>
      <c r="T30" s="5">
        <f>EnergyLJ($A30,$C$2,$C$4,shape_factors!T$2,$C$3,shape_factors!T$3)</f>
        <v>-1.5313527914341424E-2</v>
      </c>
      <c r="U30" s="5">
        <f>EnergyLJ($A30,$C$2,$C$4,shape_factors!U$2,$C$3,shape_factors!U$3)</f>
        <v>-0.2980666591874333</v>
      </c>
    </row>
    <row r="31" spans="1:21" x14ac:dyDescent="0.25">
      <c r="A31">
        <v>6.8</v>
      </c>
      <c r="B31" s="5">
        <f>EnergyLJ($A31,$C$2,$C$4,shape_factors!B$2,$C$3,shape_factors!B$3)</f>
        <v>-1.1692923633096075</v>
      </c>
      <c r="C31" s="5">
        <f>EnergyLJ($A31,$C$2,$C$4,shape_factors!C$2,$C$3,shape_factors!C$3)</f>
        <v>-0.31635179075538278</v>
      </c>
      <c r="D31" s="5">
        <f>EnergyLJ($A31,$C$2,$C$4,shape_factors!D$2,$C$3,shape_factors!D$3)</f>
        <v>5.1625005931389453E-2</v>
      </c>
      <c r="E31" s="5">
        <f>EnergyLJ($A31,$C$2,$C$4,shape_factors!E$2,$C$3,shape_factors!E$3)</f>
        <v>-0.76108729987272505</v>
      </c>
      <c r="F31" s="5">
        <f>EnergyLJ($A31,$C$2,$C$4,shape_factors!F$2,$C$3,shape_factors!F$3)</f>
        <v>-0.24653275960946999</v>
      </c>
      <c r="G31" s="5">
        <f>EnergyLJ($A31,$C$2,$C$4,shape_factors!G$2,$C$3,shape_factors!G$3)</f>
        <v>-0.40131748889139801</v>
      </c>
      <c r="H31" s="5">
        <f>EnergyLJ($A31,$C$2,$C$4,shape_factors!H$2,$C$3,shape_factors!H$3)</f>
        <v>283.68569123532626</v>
      </c>
      <c r="I31" s="5">
        <f>EnergyLJ($A31,$C$2,$C$4,shape_factors!I$2,$C$3,shape_factors!I$3)</f>
        <v>-0.99225805396560085</v>
      </c>
      <c r="J31" s="5">
        <f>EnergyLJ($A31,$C$2,$C$4,shape_factors!J$2,$C$3,shape_factors!J$3)</f>
        <v>-6.5088304139509709E-2</v>
      </c>
      <c r="K31" s="5">
        <f>EnergyLJ($A31,$C$2,$C$4,shape_factors!K$2,$C$3,shape_factors!K$3)</f>
        <v>-9.9698518638017278E-2</v>
      </c>
      <c r="L31" s="5">
        <f>EnergyLJ($A31,$C$2,$C$4,shape_factors!L$2,$C$3,shape_factors!L$3)</f>
        <v>-0.18889652244922608</v>
      </c>
      <c r="M31" s="5">
        <f>EnergyLJ($A31,$C$2,$C$4,shape_factors!M$2,$C$3,shape_factors!M$3)</f>
        <v>-7.1988762300619832E-2</v>
      </c>
      <c r="N31" s="5">
        <f>EnergyLJ($A31,$C$2,$C$4,shape_factors!N$2,$C$3,shape_factors!N$3)</f>
        <v>-2.2608129051245807E-2</v>
      </c>
      <c r="O31" s="5">
        <f>EnergyLJ($A31,$C$2,$C$4,shape_factors!O$2,$C$3,shape_factors!O$3)</f>
        <v>-1.6152688751043826E-2</v>
      </c>
      <c r="P31" s="5">
        <f>EnergyLJ($A31,$C$2,$C$4,shape_factors!P$2,$C$3,shape_factors!P$3)</f>
        <v>-2.4869540399429232E-2</v>
      </c>
      <c r="Q31" s="5">
        <f>EnergyLJ($A31,$C$2,$C$4,shape_factors!Q$2,$C$3,shape_factors!Q$3)</f>
        <v>-2.8145381611084239E-2</v>
      </c>
      <c r="R31" s="5">
        <f>EnergyLJ($A31,$C$2,$C$4,shape_factors!R$2,$C$3,shape_factors!R$3)</f>
        <v>-0.25887516800671595</v>
      </c>
      <c r="S31" s="5">
        <f>EnergyLJ($A31,$C$2,$C$4,shape_factors!S$2,$C$3,shape_factors!S$3)</f>
        <v>-4.3667384850382913E-2</v>
      </c>
      <c r="T31" s="5">
        <f>EnergyLJ($A31,$C$2,$C$4,shape_factors!T$2,$C$3,shape_factors!T$3)</f>
        <v>-1.2808641194933208E-2</v>
      </c>
      <c r="U31" s="5">
        <f>EnergyLJ($A31,$C$2,$C$4,shape_factors!U$2,$C$3,shape_factors!U$3)</f>
        <v>-0.25193932852169043</v>
      </c>
    </row>
    <row r="32" spans="1:21" x14ac:dyDescent="0.25">
      <c r="A32">
        <v>7</v>
      </c>
      <c r="B32" s="5">
        <f>EnergyLJ($A32,$C$2,$C$4,shape_factors!B$2,$C$3,shape_factors!B$3)</f>
        <v>-1.2545385912836575</v>
      </c>
      <c r="C32" s="5">
        <f>EnergyLJ($A32,$C$2,$C$4,shape_factors!C$2,$C$3,shape_factors!C$3)</f>
        <v>-0.26891149011303744</v>
      </c>
      <c r="D32" s="5">
        <f>EnergyLJ($A32,$C$2,$C$4,shape_factors!D$2,$C$3,shape_factors!D$3)</f>
        <v>-0.6465408901714047</v>
      </c>
      <c r="E32" s="5">
        <f>EnergyLJ($A32,$C$2,$C$4,shape_factors!E$2,$C$3,shape_factors!E$3)</f>
        <v>-0.66282132120439419</v>
      </c>
      <c r="F32" s="5">
        <f>EnergyLJ($A32,$C$2,$C$4,shape_factors!F$2,$C$3,shape_factors!F$3)</f>
        <v>-0.20897474709877192</v>
      </c>
      <c r="G32" s="5">
        <f>EnergyLJ($A32,$C$2,$C$4,shape_factors!G$2,$C$3,shape_factors!G$3)</f>
        <v>-0.34239667075036034</v>
      </c>
      <c r="H32" s="5">
        <f>EnergyLJ($A32,$C$2,$C$4,shape_factors!H$2,$C$3,shape_factors!H$3)</f>
        <v>194.91805487169441</v>
      </c>
      <c r="I32" s="5">
        <f>EnergyLJ($A32,$C$2,$C$4,shape_factors!I$2,$C$3,shape_factors!I$3)</f>
        <v>-0.88296752646995291</v>
      </c>
      <c r="J32" s="5">
        <f>EnergyLJ($A32,$C$2,$C$4,shape_factors!J$2,$C$3,shape_factors!J$3)</f>
        <v>-5.4813367578126937E-2</v>
      </c>
      <c r="K32" s="5">
        <f>EnergyLJ($A32,$C$2,$C$4,shape_factors!K$2,$C$3,shape_factors!K$3)</f>
        <v>-8.4058214972968309E-2</v>
      </c>
      <c r="L32" s="5">
        <f>EnergyLJ($A32,$C$2,$C$4,shape_factors!L$2,$C$3,shape_factors!L$3)</f>
        <v>-0.15976947129938604</v>
      </c>
      <c r="M32" s="5">
        <f>EnergyLJ($A32,$C$2,$C$4,shape_factors!M$2,$C$3,shape_factors!M$3)</f>
        <v>-6.0638489767234537E-2</v>
      </c>
      <c r="N32" s="5">
        <f>EnergyLJ($A32,$C$2,$C$4,shape_factors!N$2,$C$3,shape_factors!N$3)</f>
        <v>-1.9012690060221927E-2</v>
      </c>
      <c r="O32" s="5">
        <f>EnergyLJ($A32,$C$2,$C$4,shape_factors!O$2,$C$3,shape_factors!O$3)</f>
        <v>-1.3581059048460211E-2</v>
      </c>
      <c r="P32" s="5">
        <f>EnergyLJ($A32,$C$2,$C$4,shape_factors!P$2,$C$3,shape_factors!P$3)</f>
        <v>-2.0915988057923482E-2</v>
      </c>
      <c r="Q32" s="5">
        <f>EnergyLJ($A32,$C$2,$C$4,shape_factors!Q$2,$C$3,shape_factors!Q$3)</f>
        <v>-2.3673570179554949E-2</v>
      </c>
      <c r="R32" s="5">
        <f>EnergyLJ($A32,$C$2,$C$4,shape_factors!R$2,$C$3,shape_factors!R$3)</f>
        <v>-0.21954290617114874</v>
      </c>
      <c r="S32" s="5">
        <f>EnergyLJ($A32,$C$2,$C$4,shape_factors!S$2,$C$3,shape_factors!S$3)</f>
        <v>-3.6747967551952074E-2</v>
      </c>
      <c r="T32" s="5">
        <f>EnergyLJ($A32,$C$2,$C$4,shape_factors!T$2,$C$3,shape_factors!T$3)</f>
        <v>-1.0768255677058459E-2</v>
      </c>
      <c r="U32" s="5">
        <f>EnergyLJ($A32,$C$2,$C$4,shape_factors!U$2,$C$3,shape_factors!U$3)</f>
        <v>-0.21360271349994073</v>
      </c>
    </row>
    <row r="33" spans="1:21" x14ac:dyDescent="0.25">
      <c r="A33">
        <v>7.2</v>
      </c>
      <c r="B33" s="5">
        <f>EnergyLJ($A33,$C$2,$C$4,shape_factors!B$2,$C$3,shape_factors!B$3)</f>
        <v>-1.2474215917418274</v>
      </c>
      <c r="C33" s="5">
        <f>EnergyLJ($A33,$C$2,$C$4,shape_factors!C$2,$C$3,shape_factors!C$3)</f>
        <v>-0.22920936886983495</v>
      </c>
      <c r="D33" s="5">
        <f>EnergyLJ($A33,$C$2,$C$4,shape_factors!D$2,$C$3,shape_factors!D$3)</f>
        <v>-1.0229565766787427</v>
      </c>
      <c r="E33" s="5">
        <f>EnergyLJ($A33,$C$2,$C$4,shape_factors!E$2,$C$3,shape_factors!E$3)</f>
        <v>-0.57580670865923722</v>
      </c>
      <c r="F33" s="5">
        <f>EnergyLJ($A33,$C$2,$C$4,shape_factors!F$2,$C$3,shape_factors!F$3)</f>
        <v>-0.17771995041163371</v>
      </c>
      <c r="G33" s="5">
        <f>EnergyLJ($A33,$C$2,$C$4,shape_factors!G$2,$C$3,shape_factors!G$3)</f>
        <v>-0.29270701338068872</v>
      </c>
      <c r="H33" s="5">
        <f>EnergyLJ($A33,$C$2,$C$4,shape_factors!H$2,$C$3,shape_factors!H$3)</f>
        <v>134.5471544503344</v>
      </c>
      <c r="I33" s="5">
        <f>EnergyLJ($A33,$C$2,$C$4,shape_factors!I$2,$C$3,shape_factors!I$3)</f>
        <v>-0.77960861981131369</v>
      </c>
      <c r="J33" s="5">
        <f>EnergyLJ($A33,$C$2,$C$4,shape_factors!J$2,$C$3,shape_factors!J$3)</f>
        <v>-4.6369247239383661E-2</v>
      </c>
      <c r="K33" s="5">
        <f>EnergyLJ($A33,$C$2,$C$4,shape_factors!K$2,$C$3,shape_factors!K$3)</f>
        <v>-7.1176642322865843E-2</v>
      </c>
      <c r="L33" s="5">
        <f>EnergyLJ($A33,$C$2,$C$4,shape_factors!L$2,$C$3,shape_factors!L$3)</f>
        <v>-0.13563431669559778</v>
      </c>
      <c r="M33" s="5">
        <f>EnergyLJ($A33,$C$2,$C$4,shape_factors!M$2,$C$3,shape_factors!M$3)</f>
        <v>-5.1306641204799247E-2</v>
      </c>
      <c r="N33" s="5">
        <f>EnergyLJ($A33,$C$2,$C$4,shape_factors!N$2,$C$3,shape_factors!N$3)</f>
        <v>-1.6065471388460578E-2</v>
      </c>
      <c r="O33" s="5">
        <f>EnergyLJ($A33,$C$2,$C$4,shape_factors!O$2,$C$3,shape_factors!O$3)</f>
        <v>-1.1473867754715967E-2</v>
      </c>
      <c r="P33" s="5">
        <f>EnergyLJ($A33,$C$2,$C$4,shape_factors!P$2,$C$3,shape_factors!P$3)</f>
        <v>-1.7674787003083225E-2</v>
      </c>
      <c r="Q33" s="5">
        <f>EnergyLJ($A33,$C$2,$C$4,shape_factors!Q$2,$C$3,shape_factors!Q$3)</f>
        <v>-2.0006778017641936E-2</v>
      </c>
      <c r="R33" s="5">
        <f>EnergyLJ($A33,$C$2,$C$4,shape_factors!R$2,$C$3,shape_factors!R$3)</f>
        <v>-0.18678019511420596</v>
      </c>
      <c r="S33" s="5">
        <f>EnergyLJ($A33,$C$2,$C$4,shape_factors!S$2,$C$3,shape_factors!S$3)</f>
        <v>-3.1068912484750667E-2</v>
      </c>
      <c r="T33" s="5">
        <f>EnergyLJ($A33,$C$2,$C$4,shape_factors!T$2,$C$3,shape_factors!T$3)</f>
        <v>-9.0966925204574341E-3</v>
      </c>
      <c r="U33" s="5">
        <f>EnergyLJ($A33,$C$2,$C$4,shape_factors!U$2,$C$3,shape_factors!U$3)</f>
        <v>-0.1816866297983335</v>
      </c>
    </row>
    <row r="34" spans="1:21" x14ac:dyDescent="0.25">
      <c r="A34">
        <v>7.4</v>
      </c>
      <c r="B34" s="5">
        <f>EnergyLJ($A34,$C$2,$C$4,shape_factors!B$2,$C$3,shape_factors!B$3)</f>
        <v>-1.1896086329713573</v>
      </c>
      <c r="C34" s="5">
        <f>EnergyLJ($A34,$C$2,$C$4,shape_factors!C$2,$C$3,shape_factors!C$3)</f>
        <v>-0.19594152166710913</v>
      </c>
      <c r="D34" s="5">
        <f>EnergyLJ($A34,$C$2,$C$4,shape_factors!D$2,$C$3,shape_factors!D$3)</f>
        <v>-1.2009979376765885</v>
      </c>
      <c r="E34" s="5">
        <f>EnergyLJ($A34,$C$2,$C$4,shape_factors!E$2,$C$3,shape_factors!E$3)</f>
        <v>-0.49973699038976804</v>
      </c>
      <c r="F34" s="5">
        <f>EnergyLJ($A34,$C$2,$C$4,shape_factors!F$2,$C$3,shape_factors!F$3)</f>
        <v>-0.1516473780175977</v>
      </c>
      <c r="G34" s="5">
        <f>EnergyLJ($A34,$C$2,$C$4,shape_factors!G$2,$C$3,shape_factors!G$3)</f>
        <v>-0.2508193534998378</v>
      </c>
      <c r="H34" s="5">
        <f>EnergyLJ($A34,$C$2,$C$4,shape_factors!H$2,$C$3,shape_factors!H$3)</f>
        <v>93.15758637550428</v>
      </c>
      <c r="I34" s="5">
        <f>EnergyLJ($A34,$C$2,$C$4,shape_factors!I$2,$C$3,shape_factors!I$3)</f>
        <v>-0.68513947793703545</v>
      </c>
      <c r="J34" s="5">
        <f>EnergyLJ($A34,$C$2,$C$4,shape_factors!J$2,$C$3,shape_factors!J$3)</f>
        <v>-3.9395932115796881E-2</v>
      </c>
      <c r="K34" s="5">
        <f>EnergyLJ($A34,$C$2,$C$4,shape_factors!K$2,$C$3,shape_factors!K$3)</f>
        <v>-6.0519883635616709E-2</v>
      </c>
      <c r="L34" s="5">
        <f>EnergyLJ($A34,$C$2,$C$4,shape_factors!L$2,$C$3,shape_factors!L$3)</f>
        <v>-0.11556977173342875</v>
      </c>
      <c r="M34" s="5">
        <f>EnergyLJ($A34,$C$2,$C$4,shape_factors!M$2,$C$3,shape_factors!M$3)</f>
        <v>-4.3597532335893203E-2</v>
      </c>
      <c r="N34" s="5">
        <f>EnergyLJ($A34,$C$2,$C$4,shape_factors!N$2,$C$3,shape_factors!N$3)</f>
        <v>-1.3636700045385839E-2</v>
      </c>
      <c r="O34" s="5">
        <f>EnergyLJ($A34,$C$2,$C$4,shape_factors!O$2,$C$3,shape_factors!O$3)</f>
        <v>-9.7378939214550781E-3</v>
      </c>
      <c r="P34" s="5">
        <f>EnergyLJ($A34,$C$2,$C$4,shape_factors!P$2,$C$3,shape_factors!P$3)</f>
        <v>-1.5003455679802621E-2</v>
      </c>
      <c r="Q34" s="5">
        <f>EnergyLJ($A34,$C$2,$C$4,shape_factors!Q$2,$C$3,shape_factors!Q$3)</f>
        <v>-1.6984202946260542E-2</v>
      </c>
      <c r="R34" s="5">
        <f>EnergyLJ($A34,$C$2,$C$4,shape_factors!R$2,$C$3,shape_factors!R$3)</f>
        <v>-0.15942884070931604</v>
      </c>
      <c r="S34" s="5">
        <f>EnergyLJ($A34,$C$2,$C$4,shape_factors!S$2,$C$3,shape_factors!S$3)</f>
        <v>-2.6384048790972472E-2</v>
      </c>
      <c r="T34" s="5">
        <f>EnergyLJ($A34,$C$2,$C$4,shape_factors!T$2,$C$3,shape_factors!T$3)</f>
        <v>-7.7198243108997488E-3</v>
      </c>
      <c r="U34" s="5">
        <f>EnergyLJ($A34,$C$2,$C$4,shape_factors!U$2,$C$3,shape_factors!U$3)</f>
        <v>-0.15505354034522456</v>
      </c>
    </row>
    <row r="35" spans="1:21" x14ac:dyDescent="0.25">
      <c r="A35">
        <v>7.6</v>
      </c>
      <c r="B35" s="5">
        <f>EnergyLJ($A35,$C$2,$C$4,shape_factors!B$2,$C$3,shape_factors!B$3)</f>
        <v>-1.106288528683264</v>
      </c>
      <c r="C35" s="5">
        <f>EnergyLJ($A35,$C$2,$C$4,shape_factors!C$2,$C$3,shape_factors!C$3)</f>
        <v>-0.16801137720381737</v>
      </c>
      <c r="D35" s="5">
        <f>EnergyLJ($A35,$C$2,$C$4,shape_factors!D$2,$C$3,shape_factors!D$3)</f>
        <v>-1.2583182285856729</v>
      </c>
      <c r="E35" s="5">
        <f>EnergyLJ($A35,$C$2,$C$4,shape_factors!E$2,$C$3,shape_factors!E$3)</f>
        <v>-0.43375449806856858</v>
      </c>
      <c r="F35" s="5">
        <f>EnergyLJ($A35,$C$2,$C$4,shape_factors!F$2,$C$3,shape_factors!F$3)</f>
        <v>-0.12983651231785318</v>
      </c>
      <c r="G35" s="5">
        <f>EnergyLJ($A35,$C$2,$C$4,shape_factors!G$2,$C$3,shape_factors!G$3)</f>
        <v>-0.21548410174935009</v>
      </c>
      <c r="H35" s="5">
        <f>EnergyLJ($A35,$C$2,$C$4,shape_factors!H$2,$C$3,shape_factors!H$3)</f>
        <v>64.578873423591304</v>
      </c>
      <c r="I35" s="5">
        <f>EnergyLJ($A35,$C$2,$C$4,shape_factors!I$2,$C$3,shape_factors!I$3)</f>
        <v>-0.60055405012380991</v>
      </c>
      <c r="J35" s="5">
        <f>EnergyLJ($A35,$C$2,$C$4,shape_factors!J$2,$C$3,shape_factors!J$3)</f>
        <v>-3.3610100360063254E-2</v>
      </c>
      <c r="K35" s="5">
        <f>EnergyLJ($A35,$C$2,$C$4,shape_factors!K$2,$C$3,shape_factors!K$3)</f>
        <v>-5.1664988021683129E-2</v>
      </c>
      <c r="L35" s="5">
        <f>EnergyLJ($A35,$C$2,$C$4,shape_factors!L$2,$C$3,shape_factors!L$3)</f>
        <v>-9.883129168337168E-2</v>
      </c>
      <c r="M35" s="5">
        <f>EnergyLJ($A35,$C$2,$C$4,shape_factors!M$2,$C$3,shape_factors!M$3)</f>
        <v>-3.7199373220651241E-2</v>
      </c>
      <c r="N35" s="5">
        <f>EnergyLJ($A35,$C$2,$C$4,shape_factors!N$2,$C$3,shape_factors!N$3)</f>
        <v>-1.1624993390645483E-2</v>
      </c>
      <c r="O35" s="5">
        <f>EnergyLJ($A35,$C$2,$C$4,shape_factors!O$2,$C$3,shape_factors!O$3)</f>
        <v>-8.3003870147411226E-3</v>
      </c>
      <c r="P35" s="5">
        <f>EnergyLJ($A35,$C$2,$C$4,shape_factors!P$2,$C$3,shape_factors!P$3)</f>
        <v>-1.2790641705203639E-2</v>
      </c>
      <c r="Q35" s="5">
        <f>EnergyLJ($A35,$C$2,$C$4,shape_factors!Q$2,$C$3,shape_factors!Q$3)</f>
        <v>-1.448010643385707E-2</v>
      </c>
      <c r="R35" s="5">
        <f>EnergyLJ($A35,$C$2,$C$4,shape_factors!R$2,$C$3,shape_factors!R$3)</f>
        <v>-0.13653414117312257</v>
      </c>
      <c r="S35" s="5">
        <f>EnergyLJ($A35,$C$2,$C$4,shape_factors!S$2,$C$3,shape_factors!S$3)</f>
        <v>-2.2500377750241465E-2</v>
      </c>
      <c r="T35" s="5">
        <f>EnergyLJ($A35,$C$2,$C$4,shape_factors!T$2,$C$3,shape_factors!T$3)</f>
        <v>-6.5798324382624809E-3</v>
      </c>
      <c r="U35" s="5">
        <f>EnergyLJ($A35,$C$2,$C$4,shape_factors!U$2,$C$3,shape_factors!U$3)</f>
        <v>-0.13276779658464763</v>
      </c>
    </row>
    <row r="36" spans="1:21" x14ac:dyDescent="0.25">
      <c r="A36">
        <v>7.8000000000000096</v>
      </c>
      <c r="B36" s="5">
        <f>EnergyLJ($A36,$C$2,$C$4,shape_factors!B$2,$C$3,shape_factors!B$3)</f>
        <v>-1.0125201298974522</v>
      </c>
      <c r="C36" s="5">
        <f>EnergyLJ($A36,$C$2,$C$4,shape_factors!C$2,$C$3,shape_factors!C$3)</f>
        <v>-0.14450680207745464</v>
      </c>
      <c r="D36" s="5">
        <f>EnergyLJ($A36,$C$2,$C$4,shape_factors!D$2,$C$3,shape_factors!D$3)</f>
        <v>-1.2438958800626012</v>
      </c>
      <c r="E36" s="5">
        <f>EnergyLJ($A36,$C$2,$C$4,shape_factors!E$2,$C$3,shape_factors!E$3)</f>
        <v>-0.37678698434389557</v>
      </c>
      <c r="F36" s="5">
        <f>EnergyLJ($A36,$C$2,$C$4,shape_factors!F$2,$C$3,shape_factors!F$3)</f>
        <v>-0.11153495566672482</v>
      </c>
      <c r="G36" s="5">
        <f>EnergyLJ($A36,$C$2,$C$4,shape_factors!G$2,$C$3,shape_factors!G$3)</f>
        <v>-0.18563332632206231</v>
      </c>
      <c r="H36" s="5">
        <f>EnergyLJ($A36,$C$2,$C$4,shape_factors!H$2,$C$3,shape_factors!H$3)</f>
        <v>44.723781531641635</v>
      </c>
      <c r="I36" s="5">
        <f>EnergyLJ($A36,$C$2,$C$4,shape_factors!I$2,$C$3,shape_factors!I$3)</f>
        <v>-0.52578561134104773</v>
      </c>
      <c r="J36" s="5">
        <f>EnergyLJ($A36,$C$2,$C$4,shape_factors!J$2,$C$3,shape_factors!J$3)</f>
        <v>-2.8787713359295163E-2</v>
      </c>
      <c r="K36" s="5">
        <f>EnergyLJ($A36,$C$2,$C$4,shape_factors!K$2,$C$3,shape_factors!K$3)</f>
        <v>-4.4275734865390458E-2</v>
      </c>
      <c r="L36" s="5">
        <f>EnergyLJ($A36,$C$2,$C$4,shape_factors!L$2,$C$3,shape_factors!L$3)</f>
        <v>-8.4817652957271034E-2</v>
      </c>
      <c r="M36" s="5">
        <f>EnergyLJ($A36,$C$2,$C$4,shape_factors!M$2,$C$3,shape_factors!M$3)</f>
        <v>-3.186536214011336E-2</v>
      </c>
      <c r="N36" s="5">
        <f>EnergyLJ($A36,$C$2,$C$4,shape_factors!N$2,$C$3,shape_factors!N$3)</f>
        <v>-9.9506594187682932E-3</v>
      </c>
      <c r="O36" s="5">
        <f>EnergyLJ($A36,$C$2,$C$4,shape_factors!O$2,$C$3,shape_factors!O$3)</f>
        <v>-7.1042106237588516E-3</v>
      </c>
      <c r="P36" s="5">
        <f>EnergyLJ($A36,$C$2,$C$4,shape_factors!P$2,$C$3,shape_factors!P$3)</f>
        <v>-1.0948789668926361E-2</v>
      </c>
      <c r="Q36" s="5">
        <f>EnergyLJ($A36,$C$2,$C$4,shape_factors!Q$2,$C$3,shape_factors!Q$3)</f>
        <v>-1.2395577477016591E-2</v>
      </c>
      <c r="R36" s="5">
        <f>EnergyLJ($A36,$C$2,$C$4,shape_factors!R$2,$C$3,shape_factors!R$3)</f>
        <v>-0.11731353140293656</v>
      </c>
      <c r="S36" s="5">
        <f>EnergyLJ($A36,$C$2,$C$4,shape_factors!S$2,$C$3,shape_factors!S$3)</f>
        <v>-1.9265752926738652E-2</v>
      </c>
      <c r="T36" s="5">
        <f>EnergyLJ($A36,$C$2,$C$4,shape_factors!T$2,$C$3,shape_factors!T$3)</f>
        <v>-5.6313277175478391E-3</v>
      </c>
      <c r="U36" s="5">
        <f>EnergyLJ($A36,$C$2,$C$4,shape_factors!U$2,$C$3,shape_factors!U$3)</f>
        <v>-0.11406368734821724</v>
      </c>
    </row>
    <row r="37" spans="1:21" x14ac:dyDescent="0.25">
      <c r="A37">
        <v>8.0000000000000107</v>
      </c>
      <c r="B37" s="5">
        <f>EnergyLJ($A37,$C$2,$C$4,shape_factors!B$2,$C$3,shape_factors!B$3)</f>
        <v>-0.91712049017892683</v>
      </c>
      <c r="C37" s="5">
        <f>EnergyLJ($A37,$C$2,$C$4,shape_factors!C$2,$C$3,shape_factors!C$3)</f>
        <v>-0.1246738501765926</v>
      </c>
      <c r="D37" s="5">
        <f>EnergyLJ($A37,$C$2,$C$4,shape_factors!D$2,$C$3,shape_factors!D$3)</f>
        <v>-1.1885972483389742</v>
      </c>
      <c r="E37" s="5">
        <f>EnergyLJ($A37,$C$2,$C$4,shape_factors!E$2,$C$3,shape_factors!E$3)</f>
        <v>-0.32772711994881049</v>
      </c>
      <c r="F37" s="5">
        <f>EnergyLJ($A37,$C$2,$C$4,shape_factors!F$2,$C$3,shape_factors!F$3)</f>
        <v>-9.6128983998737275E-2</v>
      </c>
      <c r="G37" s="5">
        <f>EnergyLJ($A37,$C$2,$C$4,shape_factors!G$2,$C$3,shape_factors!G$3)</f>
        <v>-0.16036673592243267</v>
      </c>
      <c r="H37" s="5">
        <f>EnergyLJ($A37,$C$2,$C$4,shape_factors!H$2,$C$3,shape_factors!H$3)</f>
        <v>30.857858890746815</v>
      </c>
      <c r="I37" s="5">
        <f>EnergyLJ($A37,$C$2,$C$4,shape_factors!I$2,$C$3,shape_factors!I$3)</f>
        <v>-0.46022862687664384</v>
      </c>
      <c r="J37" s="5">
        <f>EnergyLJ($A37,$C$2,$C$4,shape_factors!J$2,$C$3,shape_factors!J$3)</f>
        <v>-2.4750750383930709E-2</v>
      </c>
      <c r="K37" s="5">
        <f>EnergyLJ($A37,$C$2,$C$4,shape_factors!K$2,$C$3,shape_factors!K$3)</f>
        <v>-3.8083817277502208E-2</v>
      </c>
      <c r="L37" s="5">
        <f>EnergyLJ($A37,$C$2,$C$4,shape_factors!L$2,$C$3,shape_factors!L$3)</f>
        <v>-7.3043044185332931E-2</v>
      </c>
      <c r="M37" s="5">
        <f>EnergyLJ($A37,$C$2,$C$4,shape_factors!M$2,$C$3,shape_factors!M$3)</f>
        <v>-2.7399227695970228E-2</v>
      </c>
      <c r="N37" s="5">
        <f>EnergyLJ($A37,$C$2,$C$4,shape_factors!N$2,$C$3,shape_factors!N$3)</f>
        <v>-8.5506840547637328E-3</v>
      </c>
      <c r="O37" s="5">
        <f>EnergyLJ($A37,$C$2,$C$4,shape_factors!O$2,$C$3,shape_factors!O$3)</f>
        <v>-6.1042179571003975E-3</v>
      </c>
      <c r="P37" s="5">
        <f>EnergyLJ($A37,$C$2,$C$4,shape_factors!P$2,$C$3,shape_factors!P$3)</f>
        <v>-9.4086503580287674E-3</v>
      </c>
      <c r="Q37" s="5">
        <f>EnergyLJ($A37,$C$2,$C$4,shape_factors!Q$2,$C$3,shape_factors!Q$3)</f>
        <v>-1.0652356911502103E-2</v>
      </c>
      <c r="R37" s="5">
        <f>EnergyLJ($A37,$C$2,$C$4,shape_factors!R$2,$C$3,shape_factors!R$3)</f>
        <v>-0.10112728425367791</v>
      </c>
      <c r="S37" s="5">
        <f>EnergyLJ($A37,$C$2,$C$4,shape_factors!S$2,$C$3,shape_factors!S$3)</f>
        <v>-1.6559582617780819E-2</v>
      </c>
      <c r="T37" s="5">
        <f>EnergyLJ($A37,$C$2,$C$4,shape_factors!T$2,$C$3,shape_factors!T$3)</f>
        <v>-4.8384586181938931E-3</v>
      </c>
      <c r="U37" s="5">
        <f>EnergyLJ($A37,$C$2,$C$4,shape_factors!U$2,$C$3,shape_factors!U$3)</f>
        <v>-9.8316035812633498E-2</v>
      </c>
    </row>
    <row r="38" spans="1:21" x14ac:dyDescent="0.25">
      <c r="A38">
        <v>8.2000000000000099</v>
      </c>
      <c r="B38" s="5">
        <f>EnergyLJ($A38,$C$2,$C$4,shape_factors!B$2,$C$3,shape_factors!B$3)</f>
        <v>-0.8250634453736827</v>
      </c>
      <c r="C38" s="5">
        <f>EnergyLJ($A38,$C$2,$C$4,shape_factors!C$2,$C$3,shape_factors!C$3)</f>
        <v>-0.10789139404221625</v>
      </c>
      <c r="D38" s="5">
        <f>EnergyLJ($A38,$C$2,$C$4,shape_factors!D$2,$C$3,shape_factors!D$3)</f>
        <v>-1.1117840401031487</v>
      </c>
      <c r="E38" s="5">
        <f>EnergyLJ($A38,$C$2,$C$4,shape_factors!E$2,$C$3,shape_factors!E$3)</f>
        <v>-0.28552321588296947</v>
      </c>
      <c r="F38" s="5">
        <f>EnergyLJ($A38,$C$2,$C$4,shape_factors!F$2,$C$3,shape_factors!F$3)</f>
        <v>-8.311815514455112E-2</v>
      </c>
      <c r="G38" s="5">
        <f>EnergyLJ($A38,$C$2,$C$4,shape_factors!G$2,$C$3,shape_factors!G$3)</f>
        <v>-0.13893155784340669</v>
      </c>
      <c r="H38" s="5">
        <f>EnergyLJ($A38,$C$2,$C$4,shape_factors!H$2,$C$3,shape_factors!H$3)</f>
        <v>21.13457716671688</v>
      </c>
      <c r="I38" s="5">
        <f>EnergyLJ($A38,$C$2,$C$4,shape_factors!I$2,$C$3,shape_factors!I$3)</f>
        <v>-0.40303705062857542</v>
      </c>
      <c r="J38" s="5">
        <f>EnergyLJ($A38,$C$2,$C$4,shape_factors!J$2,$C$3,shape_factors!J$3)</f>
        <v>-2.1357070679781577E-2</v>
      </c>
      <c r="K38" s="5">
        <f>EnergyLJ($A38,$C$2,$C$4,shape_factors!K$2,$C$3,shape_factors!K$3)</f>
        <v>-3.2874253131344212E-2</v>
      </c>
      <c r="L38" s="5">
        <f>EnergyLJ($A38,$C$2,$C$4,shape_factors!L$2,$C$3,shape_factors!L$3)</f>
        <v>-6.3114266925434384E-2</v>
      </c>
      <c r="M38" s="5">
        <f>EnergyLJ($A38,$C$2,$C$4,shape_factors!M$2,$C$3,shape_factors!M$3)</f>
        <v>-2.3644149825419927E-2</v>
      </c>
      <c r="N38" s="5">
        <f>EnergyLJ($A38,$C$2,$C$4,shape_factors!N$2,$C$3,shape_factors!N$3)</f>
        <v>-7.3749564818972142E-3</v>
      </c>
      <c r="O38" s="5">
        <f>EnergyLJ($A38,$C$2,$C$4,shape_factors!O$2,$C$3,shape_factors!O$3)</f>
        <v>-5.2645280163835509E-3</v>
      </c>
      <c r="P38" s="5">
        <f>EnergyLJ($A38,$C$2,$C$4,shape_factors!P$2,$C$3,shape_factors!P$3)</f>
        <v>-8.1151431097675527E-3</v>
      </c>
      <c r="Q38" s="5">
        <f>EnergyLJ($A38,$C$2,$C$4,shape_factors!Q$2,$C$3,shape_factors!Q$3)</f>
        <v>-9.1881787257286143E-3</v>
      </c>
      <c r="R38" s="5">
        <f>EnergyLJ($A38,$C$2,$C$4,shape_factors!R$2,$C$3,shape_factors!R$3)</f>
        <v>-8.7452861954759917E-2</v>
      </c>
      <c r="S38" s="5">
        <f>EnergyLJ($A38,$C$2,$C$4,shape_factors!S$2,$C$3,shape_factors!S$3)</f>
        <v>-1.4285779539521377E-2</v>
      </c>
      <c r="T38" s="5">
        <f>EnergyLJ($A38,$C$2,$C$4,shape_factors!T$2,$C$3,shape_factors!T$3)</f>
        <v>-4.1727403131552789E-3</v>
      </c>
      <c r="U38" s="5">
        <f>EnergyLJ($A38,$C$2,$C$4,shape_factors!U$2,$C$3,shape_factors!U$3)</f>
        <v>-8.5014681930819694E-2</v>
      </c>
    </row>
    <row r="39" spans="1:21" x14ac:dyDescent="0.25">
      <c r="A39">
        <v>8.4000000000000092</v>
      </c>
      <c r="B39" s="5">
        <f>EnergyLJ($A39,$C$2,$C$4,shape_factors!B$2,$C$3,shape_factors!B$3)</f>
        <v>-0.73896757391483714</v>
      </c>
      <c r="C39" s="5">
        <f>EnergyLJ($A39,$C$2,$C$4,shape_factors!C$2,$C$3,shape_factors!C$3)</f>
        <v>-9.3648411884369231E-2</v>
      </c>
      <c r="D39" s="5">
        <f>EnergyLJ($A39,$C$2,$C$4,shape_factors!D$2,$C$3,shape_factors!D$3)</f>
        <v>-1.0254816802362645</v>
      </c>
      <c r="E39" s="5">
        <f>EnergyLJ($A39,$C$2,$C$4,shape_factors!E$2,$C$3,shape_factors!E$3)</f>
        <v>-0.24922029092142442</v>
      </c>
      <c r="F39" s="5">
        <f>EnergyLJ($A39,$C$2,$C$4,shape_factors!F$2,$C$3,shape_factors!F$3)</f>
        <v>-7.2094062898330841E-2</v>
      </c>
      <c r="G39" s="5">
        <f>EnergyLJ($A39,$C$2,$C$4,shape_factors!G$2,$C$3,shape_factors!G$3)</f>
        <v>-0.12070133105905867</v>
      </c>
      <c r="H39" s="5">
        <f>EnergyLJ($A39,$C$2,$C$4,shape_factors!H$2,$C$3,shape_factors!H$3)</f>
        <v>14.296127309474437</v>
      </c>
      <c r="I39" s="5">
        <f>EnergyLJ($A39,$C$2,$C$4,shape_factors!I$2,$C$3,shape_factors!I$3)</f>
        <v>-0.35329140437577145</v>
      </c>
      <c r="J39" s="5">
        <f>EnergyLJ($A39,$C$2,$C$4,shape_factors!J$2,$C$3,shape_factors!J$3)</f>
        <v>-1.8492638338901898E-2</v>
      </c>
      <c r="K39" s="5">
        <f>EnergyLJ($A39,$C$2,$C$4,shape_factors!K$2,$C$3,shape_factors!K$3)</f>
        <v>-2.847406823194441E-2</v>
      </c>
      <c r="L39" s="5">
        <f>EnergyLJ($A39,$C$2,$C$4,shape_factors!L$2,$C$3,shape_factors!L$3)</f>
        <v>-5.4712347802980961E-2</v>
      </c>
      <c r="M39" s="5">
        <f>EnergyLJ($A39,$C$2,$C$4,shape_factors!M$2,$C$3,shape_factors!M$3)</f>
        <v>-2.0474244708772512E-2</v>
      </c>
      <c r="N39" s="5">
        <f>EnergyLJ($A39,$C$2,$C$4,shape_factors!N$2,$C$3,shape_factors!N$3)</f>
        <v>-6.3834087206621959E-3</v>
      </c>
      <c r="O39" s="5">
        <f>EnergyLJ($A39,$C$2,$C$4,shape_factors!O$2,$C$3,shape_factors!O$3)</f>
        <v>-4.5564649256261292E-3</v>
      </c>
      <c r="P39" s="5">
        <f>EnergyLJ($A39,$C$2,$C$4,shape_factors!P$2,$C$3,shape_factors!P$3)</f>
        <v>-7.02421847594931E-3</v>
      </c>
      <c r="Q39" s="5">
        <f>EnergyLJ($A39,$C$2,$C$4,shape_factors!Q$2,$C$3,shape_factors!Q$3)</f>
        <v>-7.9532345934922744E-3</v>
      </c>
      <c r="R39" s="5">
        <f>EnergyLJ($A39,$C$2,$C$4,shape_factors!R$2,$C$3,shape_factors!R$3)</f>
        <v>-7.5863246242000013E-2</v>
      </c>
      <c r="S39" s="5">
        <f>EnergyLJ($A39,$C$2,$C$4,shape_factors!S$2,$C$3,shape_factors!S$3)</f>
        <v>-1.2367387588552849E-2</v>
      </c>
      <c r="T39" s="5">
        <f>EnergyLJ($A39,$C$2,$C$4,shape_factors!T$2,$C$3,shape_factors!T$3)</f>
        <v>-3.6114136661790255E-3</v>
      </c>
      <c r="U39" s="5">
        <f>EnergyLJ($A39,$C$2,$C$4,shape_factors!U$2,$C$3,shape_factors!U$3)</f>
        <v>-7.3743042374963277E-2</v>
      </c>
    </row>
    <row r="40" spans="1:21" x14ac:dyDescent="0.25">
      <c r="A40">
        <v>8.6000000000000103</v>
      </c>
      <c r="B40" s="5">
        <f>EnergyLJ($A40,$C$2,$C$4,shape_factors!B$2,$C$3,shape_factors!B$3)</f>
        <v>-0.66002271468493945</v>
      </c>
      <c r="C40" s="5">
        <f>EnergyLJ($A40,$C$2,$C$4,shape_factors!C$2,$C$3,shape_factors!C$3)</f>
        <v>-8.152446779711793E-2</v>
      </c>
      <c r="D40" s="5">
        <f>EnergyLJ($A40,$C$2,$C$4,shape_factors!D$2,$C$3,shape_factors!D$3)</f>
        <v>-0.93702838879605699</v>
      </c>
      <c r="E40" s="5">
        <f>EnergyLJ($A40,$C$2,$C$4,shape_factors!E$2,$C$3,shape_factors!E$3)</f>
        <v>-0.2179739174954792</v>
      </c>
      <c r="F40" s="5">
        <f>EnergyLJ($A40,$C$2,$C$4,shape_factors!F$2,$C$3,shape_factors!F$3)</f>
        <v>-6.2722872596076784E-2</v>
      </c>
      <c r="G40" s="5">
        <f>EnergyLJ($A40,$C$2,$C$4,shape_factors!G$2,$C$3,shape_factors!G$3)</f>
        <v>-0.1051559762679083</v>
      </c>
      <c r="H40" s="5">
        <f>EnergyLJ($A40,$C$2,$C$4,shape_factors!H$2,$C$3,shape_factors!H$3)</f>
        <v>9.4787650048068315</v>
      </c>
      <c r="I40" s="5">
        <f>EnergyLJ($A40,$C$2,$C$4,shape_factors!I$2,$C$3,shape_factors!I$3)</f>
        <v>-0.3100889621195837</v>
      </c>
      <c r="J40" s="5">
        <f>EnergyLJ($A40,$C$2,$C$4,shape_factors!J$2,$C$3,shape_factors!J$3)</f>
        <v>-1.6065535401935858E-2</v>
      </c>
      <c r="K40" s="5">
        <f>EnergyLJ($A40,$C$2,$C$4,shape_factors!K$2,$C$3,shape_factors!K$3)</f>
        <v>-2.474350246221009E-2</v>
      </c>
      <c r="L40" s="5">
        <f>EnergyLJ($A40,$C$2,$C$4,shape_factors!L$2,$C$3,shape_factors!L$3)</f>
        <v>-4.7577817187483114E-2</v>
      </c>
      <c r="M40" s="5">
        <f>EnergyLJ($A40,$C$2,$C$4,shape_factors!M$2,$C$3,shape_factors!M$3)</f>
        <v>-1.7787996737175141E-2</v>
      </c>
      <c r="N40" s="5">
        <f>EnergyLJ($A40,$C$2,$C$4,shape_factors!N$2,$C$3,shape_factors!N$3)</f>
        <v>-5.5438346050239399E-3</v>
      </c>
      <c r="O40" s="5">
        <f>EnergyLJ($A40,$C$2,$C$4,shape_factors!O$2,$C$3,shape_factors!O$3)</f>
        <v>-3.9569888661786842E-3</v>
      </c>
      <c r="P40" s="5">
        <f>EnergyLJ($A40,$C$2,$C$4,shape_factors!P$2,$C$3,shape_factors!P$3)</f>
        <v>-6.1004648860398707E-3</v>
      </c>
      <c r="Q40" s="5">
        <f>EnergyLJ($A40,$C$2,$C$4,shape_factors!Q$2,$C$3,shape_factors!Q$3)</f>
        <v>-6.9074748912465664E-3</v>
      </c>
      <c r="R40" s="5">
        <f>EnergyLJ($A40,$C$2,$C$4,shape_factors!R$2,$C$3,shape_factors!R$3)</f>
        <v>-6.6009006024607284E-2</v>
      </c>
      <c r="S40" s="5">
        <f>EnergyLJ($A40,$C$2,$C$4,shape_factors!S$2,$C$3,shape_factors!S$3)</f>
        <v>-1.0742465553659049E-2</v>
      </c>
      <c r="T40" s="5">
        <f>EnergyLJ($A40,$C$2,$C$4,shape_factors!T$2,$C$3,shape_factors!T$3)</f>
        <v>-3.136196586011576E-3</v>
      </c>
      <c r="U40" s="5">
        <f>EnergyLJ($A40,$C$2,$C$4,shape_factors!U$2,$C$3,shape_factors!U$3)</f>
        <v>-6.416043579764355E-2</v>
      </c>
    </row>
    <row r="41" spans="1:21" x14ac:dyDescent="0.25">
      <c r="A41">
        <v>8.8000000000000096</v>
      </c>
      <c r="B41" s="5">
        <f>EnergyLJ($A41,$C$2,$C$4,shape_factors!B$2,$C$3,shape_factors!B$3)</f>
        <v>-0.58856778994149206</v>
      </c>
      <c r="C41" s="5">
        <f>EnergyLJ($A41,$C$2,$C$4,shape_factors!C$2,$C$3,shape_factors!C$3)</f>
        <v>-7.1173332389739469E-2</v>
      </c>
      <c r="D41" s="5">
        <f>EnergyLJ($A41,$C$2,$C$4,shape_factors!D$2,$C$3,shape_factors!D$3)</f>
        <v>-0.85076915124602726</v>
      </c>
      <c r="E41" s="5">
        <f>EnergyLJ($A41,$C$2,$C$4,shape_factors!E$2,$C$3,shape_factors!E$3)</f>
        <v>-0.19104968466982319</v>
      </c>
      <c r="F41" s="5">
        <f>EnergyLJ($A41,$C$2,$C$4,shape_factors!F$2,$C$3,shape_factors!F$3)</f>
        <v>-5.4731116742990235E-2</v>
      </c>
      <c r="G41" s="5">
        <f>EnergyLJ($A41,$C$2,$C$4,shape_factors!G$2,$C$3,shape_factors!G$3)</f>
        <v>-9.1864106336778939E-2</v>
      </c>
      <c r="H41" s="5">
        <f>EnergyLJ($A41,$C$2,$C$4,shape_factors!H$2,$C$3,shape_factors!H$3)</f>
        <v>6.0848852077315971</v>
      </c>
      <c r="I41" s="5">
        <f>EnergyLJ($A41,$C$2,$C$4,shape_factors!I$2,$C$3,shape_factors!I$3)</f>
        <v>-0.27258915851025894</v>
      </c>
      <c r="J41" s="5">
        <f>EnergyLJ($A41,$C$2,$C$4,shape_factors!J$2,$C$3,shape_factors!J$3)</f>
        <v>-1.4001332111293783E-2</v>
      </c>
      <c r="K41" s="5">
        <f>EnergyLJ($A41,$C$2,$C$4,shape_factors!K$2,$C$3,shape_factors!K$3)</f>
        <v>-2.1569158888265726E-2</v>
      </c>
      <c r="L41" s="5">
        <f>EnergyLJ($A41,$C$2,$C$4,shape_factors!L$2,$C$3,shape_factors!L$3)</f>
        <v>-4.149896916035023E-2</v>
      </c>
      <c r="M41" s="5">
        <f>EnergyLJ($A41,$C$2,$C$4,shape_factors!M$2,$C$3,shape_factors!M$3)</f>
        <v>-1.5503172182157002E-2</v>
      </c>
      <c r="N41" s="5">
        <f>EnergyLJ($A41,$C$2,$C$4,shape_factors!N$2,$C$3,shape_factors!N$3)</f>
        <v>-4.8302167790859061E-3</v>
      </c>
      <c r="O41" s="5">
        <f>EnergyLJ($A41,$C$2,$C$4,shape_factors!O$2,$C$3,shape_factors!O$3)</f>
        <v>-3.4474938712532716E-3</v>
      </c>
      <c r="P41" s="5">
        <f>EnergyLJ($A41,$C$2,$C$4,shape_factors!P$2,$C$3,shape_factors!P$3)</f>
        <v>-5.3152720366938903E-3</v>
      </c>
      <c r="Q41" s="5">
        <f>EnergyLJ($A41,$C$2,$C$4,shape_factors!Q$2,$C$3,shape_factors!Q$3)</f>
        <v>-6.0185363083434156E-3</v>
      </c>
      <c r="R41" s="5">
        <f>EnergyLJ($A41,$C$2,$C$4,shape_factors!R$2,$C$3,shape_factors!R$3)</f>
        <v>-5.7603641680031542E-2</v>
      </c>
      <c r="S41" s="5">
        <f>EnergyLJ($A41,$C$2,$C$4,shape_factors!S$2,$C$3,shape_factors!S$3)</f>
        <v>-9.3609173068871145E-3</v>
      </c>
      <c r="T41" s="5">
        <f>EnergyLJ($A41,$C$2,$C$4,shape_factors!T$2,$C$3,shape_factors!T$3)</f>
        <v>-2.7323278849247659E-3</v>
      </c>
      <c r="U41" s="5">
        <f>EnergyLJ($A41,$C$2,$C$4,shape_factors!U$2,$C$3,shape_factors!U$3)</f>
        <v>-5.598767733433499E-2</v>
      </c>
    </row>
    <row r="42" spans="1:21" x14ac:dyDescent="0.25">
      <c r="A42">
        <v>9.0000000000000107</v>
      </c>
      <c r="B42" s="5">
        <f>EnergyLJ($A42,$C$2,$C$4,shape_factors!B$2,$C$3,shape_factors!B$3)</f>
        <v>-0.52445075944737118</v>
      </c>
      <c r="C42" s="5">
        <f>EnergyLJ($A42,$C$2,$C$4,shape_factors!C$2,$C$3,shape_factors!C$3)</f>
        <v>-6.2309436636051742E-2</v>
      </c>
      <c r="D42" s="5">
        <f>EnergyLJ($A42,$C$2,$C$4,shape_factors!D$2,$C$3,shape_factors!D$3)</f>
        <v>-0.76914425438615253</v>
      </c>
      <c r="E42" s="5">
        <f>EnergyLJ($A42,$C$2,$C$4,shape_factors!E$2,$C$3,shape_factors!E$3)</f>
        <v>-0.167815574065839</v>
      </c>
      <c r="F42" s="5">
        <f>EnergyLJ($A42,$C$2,$C$4,shape_factors!F$2,$C$3,shape_factors!F$3)</f>
        <v>-4.7894213628371714E-2</v>
      </c>
      <c r="G42" s="5">
        <f>EnergyLJ($A42,$C$2,$C$4,shape_factors!G$2,$C$3,shape_factors!G$3)</f>
        <v>-8.0467825989050251E-2</v>
      </c>
      <c r="H42" s="5">
        <f>EnergyLJ($A42,$C$2,$C$4,shape_factors!H$2,$C$3,shape_factors!H$3)</f>
        <v>3.6981420202601827</v>
      </c>
      <c r="I42" s="5">
        <f>EnergyLJ($A42,$C$2,$C$4,shape_factors!I$2,$C$3,shape_factors!I$3)</f>
        <v>-0.24003326472139125</v>
      </c>
      <c r="J42" s="5">
        <f>EnergyLJ($A42,$C$2,$C$4,shape_factors!J$2,$C$3,shape_factors!J$3)</f>
        <v>-1.2239490697182404E-2</v>
      </c>
      <c r="K42" s="5">
        <f>EnergyLJ($A42,$C$2,$C$4,shape_factors!K$2,$C$3,shape_factors!K$3)</f>
        <v>-1.8858649878607043E-2</v>
      </c>
      <c r="L42" s="5">
        <f>EnergyLJ($A42,$C$2,$C$4,shape_factors!L$2,$C$3,shape_factors!L$3)</f>
        <v>-3.6302514224097492E-2</v>
      </c>
      <c r="M42" s="5">
        <f>EnergyLJ($A42,$C$2,$C$4,shape_factors!M$2,$C$3,shape_factors!M$3)</f>
        <v>-1.3552863719671527E-2</v>
      </c>
      <c r="N42" s="5">
        <f>EnergyLJ($A42,$C$2,$C$4,shape_factors!N$2,$C$3,shape_factors!N$3)</f>
        <v>-4.2214358947026175E-3</v>
      </c>
      <c r="O42" s="5">
        <f>EnergyLJ($A42,$C$2,$C$4,shape_factors!O$2,$C$3,shape_factors!O$3)</f>
        <v>-3.0128811591548584E-3</v>
      </c>
      <c r="P42" s="5">
        <f>EnergyLJ($A42,$C$2,$C$4,shape_factors!P$2,$C$3,shape_factors!P$3)</f>
        <v>-4.645413375556684E-3</v>
      </c>
      <c r="Q42" s="5">
        <f>EnergyLJ($A42,$C$2,$C$4,shape_factors!Q$2,$C$3,shape_factors!Q$3)</f>
        <v>-5.2601415584845133E-3</v>
      </c>
      <c r="R42" s="5">
        <f>EnergyLJ($A42,$C$2,$C$4,shape_factors!R$2,$C$3,shape_factors!R$3)</f>
        <v>-5.0411695732108394E-2</v>
      </c>
      <c r="S42" s="5">
        <f>EnergyLJ($A42,$C$2,$C$4,shape_factors!S$2,$C$3,shape_factors!S$3)</f>
        <v>-8.182038184752086E-3</v>
      </c>
      <c r="T42" s="5">
        <f>EnergyLJ($A42,$C$2,$C$4,shape_factors!T$2,$C$3,shape_factors!T$3)</f>
        <v>-2.3878306425321135E-3</v>
      </c>
      <c r="U42" s="5">
        <f>EnergyLJ($A42,$C$2,$C$4,shape_factors!U$2,$C$3,shape_factors!U$3)</f>
        <v>-4.8995416326019982E-2</v>
      </c>
    </row>
    <row r="43" spans="1:21" x14ac:dyDescent="0.25">
      <c r="A43">
        <v>9.2000000000000099</v>
      </c>
      <c r="B43" s="5">
        <f>EnergyLJ($A43,$C$2,$C$4,shape_factors!B$2,$C$3,shape_factors!B$3)</f>
        <v>-0.46725182335721177</v>
      </c>
      <c r="C43" s="5">
        <f>EnergyLJ($A43,$C$2,$C$4,shape_factors!C$2,$C$3,shape_factors!C$3)</f>
        <v>-5.469676782736612E-2</v>
      </c>
      <c r="D43" s="5">
        <f>EnergyLJ($A43,$C$2,$C$4,shape_factors!D$2,$C$3,shape_factors!D$3)</f>
        <v>-0.6933911967392834</v>
      </c>
      <c r="E43" s="5">
        <f>EnergyLJ($A43,$C$2,$C$4,shape_factors!E$2,$C$3,shape_factors!E$3)</f>
        <v>-0.14773133490774679</v>
      </c>
      <c r="F43" s="5">
        <f>EnergyLJ($A43,$C$2,$C$4,shape_factors!F$2,$C$3,shape_factors!F$3)</f>
        <v>-4.2027217897205559E-2</v>
      </c>
      <c r="G43" s="5">
        <f>EnergyLJ($A43,$C$2,$C$4,shape_factors!G$2,$C$3,shape_factors!G$3)</f>
        <v>-7.0669924092383332E-2</v>
      </c>
      <c r="H43" s="5">
        <f>EnergyLJ($A43,$C$2,$C$4,shape_factors!H$2,$C$3,shape_factors!H$3)</f>
        <v>2.0266175580175134</v>
      </c>
      <c r="I43" s="5">
        <f>EnergyLJ($A43,$C$2,$C$4,shape_factors!I$2,$C$3,shape_factors!I$3)</f>
        <v>-0.21174962255218371</v>
      </c>
      <c r="J43" s="5">
        <f>EnergyLJ($A43,$C$2,$C$4,shape_factors!J$2,$C$3,shape_factors!J$3)</f>
        <v>-1.073055929583328E-2</v>
      </c>
      <c r="K43" s="5">
        <f>EnergyLJ($A43,$C$2,$C$4,shape_factors!K$2,$C$3,shape_factors!K$3)</f>
        <v>-1.6536398539101112E-2</v>
      </c>
      <c r="L43" s="5">
        <f>EnergyLJ($A43,$C$2,$C$4,shape_factors!L$2,$C$3,shape_factors!L$3)</f>
        <v>-3.1846137747895041E-2</v>
      </c>
      <c r="M43" s="5">
        <f>EnergyLJ($A43,$C$2,$C$4,shape_factors!M$2,$C$3,shape_factors!M$3)</f>
        <v>-1.1882401032841714E-2</v>
      </c>
      <c r="N43" s="5">
        <f>EnergyLJ($A43,$C$2,$C$4,shape_factors!N$2,$C$3,shape_factors!N$3)</f>
        <v>-3.7002690744129076E-3</v>
      </c>
      <c r="O43" s="5">
        <f>EnergyLJ($A43,$C$2,$C$4,shape_factors!O$2,$C$3,shape_factors!O$3)</f>
        <v>-2.6408407129872315E-3</v>
      </c>
      <c r="P43" s="5">
        <f>EnergyLJ($A43,$C$2,$C$4,shape_factors!P$2,$C$3,shape_factors!P$3)</f>
        <v>-4.0719459310789262E-3</v>
      </c>
      <c r="Q43" s="5">
        <f>EnergyLJ($A43,$C$2,$C$4,shape_factors!Q$2,$C$3,shape_factors!Q$3)</f>
        <v>-4.6108568359779388E-3</v>
      </c>
      <c r="R43" s="5">
        <f>EnergyLJ($A43,$C$2,$C$4,shape_factors!R$2,$C$3,shape_factors!R$3)</f>
        <v>-4.423914789940666E-2</v>
      </c>
      <c r="S43" s="5">
        <f>EnergyLJ($A43,$C$2,$C$4,shape_factors!S$2,$C$3,shape_factors!S$3)</f>
        <v>-7.1726060199164606E-3</v>
      </c>
      <c r="T43" s="5">
        <f>EnergyLJ($A43,$C$2,$C$4,shape_factors!T$2,$C$3,shape_factors!T$3)</f>
        <v>-2.0929413485764668E-3</v>
      </c>
      <c r="U43" s="5">
        <f>EnergyLJ($A43,$C$2,$C$4,shape_factors!U$2,$C$3,shape_factors!U$3)</f>
        <v>-4.2994729739012028E-2</v>
      </c>
    </row>
    <row r="44" spans="1:21" x14ac:dyDescent="0.25">
      <c r="A44">
        <v>9.4000000000000092</v>
      </c>
      <c r="B44" s="5">
        <f>EnergyLJ($A44,$C$2,$C$4,shape_factors!B$2,$C$3,shape_factors!B$3)</f>
        <v>-0.4164205367907296</v>
      </c>
      <c r="C44" s="5">
        <f>EnergyLJ($A44,$C$2,$C$4,shape_factors!C$2,$C$3,shape_factors!C$3)</f>
        <v>-4.8139815236374603E-2</v>
      </c>
      <c r="D44" s="5">
        <f>EnergyLJ($A44,$C$2,$C$4,shape_factors!D$2,$C$3,shape_factors!D$3)</f>
        <v>-0.62399810764968411</v>
      </c>
      <c r="E44" s="5">
        <f>EnergyLJ($A44,$C$2,$C$4,shape_factors!E$2,$C$3,shape_factors!E$3)</f>
        <v>-0.13033708725140106</v>
      </c>
      <c r="F44" s="5">
        <f>EnergyLJ($A44,$C$2,$C$4,shape_factors!F$2,$C$3,shape_factors!F$3)</f>
        <v>-3.6977379736517824E-2</v>
      </c>
      <c r="G44" s="5">
        <f>EnergyLJ($A44,$C$2,$C$4,shape_factors!G$2,$C$3,shape_factors!G$3)</f>
        <v>-6.2223212935512785E-2</v>
      </c>
      <c r="H44" s="5">
        <f>EnergyLJ($A44,$C$2,$C$4,shape_factors!H$2,$C$3,shape_factors!H$3)</f>
        <v>0.8644437167955572</v>
      </c>
      <c r="I44" s="5">
        <f>EnergyLJ($A44,$C$2,$C$4,shape_factors!I$2,$C$3,shape_factors!I$3)</f>
        <v>-0.18715110697077778</v>
      </c>
      <c r="J44" s="5">
        <f>EnergyLJ($A44,$C$2,$C$4,shape_factors!J$2,$C$3,shape_factors!J$3)</f>
        <v>-9.4339724261178516E-3</v>
      </c>
      <c r="K44" s="5">
        <f>EnergyLJ($A44,$C$2,$C$4,shape_factors!K$2,$C$3,shape_factors!K$3)</f>
        <v>-1.4540333924526092E-2</v>
      </c>
      <c r="L44" s="5">
        <f>EnergyLJ($A44,$C$2,$C$4,shape_factors!L$2,$C$3,shape_factors!L$3)</f>
        <v>-2.8012569861657888E-2</v>
      </c>
      <c r="M44" s="5">
        <f>EnergyLJ($A44,$C$2,$C$4,shape_factors!M$2,$C$3,shape_factors!M$3)</f>
        <v>-1.0446927253505135E-2</v>
      </c>
      <c r="N44" s="5">
        <f>EnergyLJ($A44,$C$2,$C$4,shape_factors!N$2,$C$3,shape_factors!N$3)</f>
        <v>-3.2526085794999035E-3</v>
      </c>
      <c r="O44" s="5">
        <f>EnergyLJ($A44,$C$2,$C$4,shape_factors!O$2,$C$3,shape_factors!O$3)</f>
        <v>-2.3212912021150153E-3</v>
      </c>
      <c r="P44" s="5">
        <f>EnergyLJ($A44,$C$2,$C$4,shape_factors!P$2,$C$3,shape_factors!P$3)</f>
        <v>-3.579351825415016E-3</v>
      </c>
      <c r="Q44" s="5">
        <f>EnergyLJ($A44,$C$2,$C$4,shape_factors!Q$2,$C$3,shape_factors!Q$3)</f>
        <v>-4.0531218887904941E-3</v>
      </c>
      <c r="R44" s="5">
        <f>EnergyLJ($A44,$C$2,$C$4,shape_factors!R$2,$C$3,shape_factors!R$3)</f>
        <v>-3.892567118621338E-2</v>
      </c>
      <c r="S44" s="5">
        <f>EnergyLJ($A44,$C$2,$C$4,shape_factors!S$2,$C$3,shape_factors!S$3)</f>
        <v>-6.3053884614486071E-3</v>
      </c>
      <c r="T44" s="5">
        <f>EnergyLJ($A44,$C$2,$C$4,shape_factors!T$2,$C$3,shape_factors!T$3)</f>
        <v>-1.8396650209598373E-3</v>
      </c>
      <c r="U44" s="5">
        <f>EnergyLJ($A44,$C$2,$C$4,shape_factors!U$2,$C$3,shape_factors!U$3)</f>
        <v>-3.7829547667208321E-2</v>
      </c>
    </row>
    <row r="45" spans="1:21" x14ac:dyDescent="0.25">
      <c r="A45">
        <v>9.6000000000000103</v>
      </c>
      <c r="B45" s="5">
        <f>EnergyLJ($A45,$C$2,$C$4,shape_factors!B$2,$C$3,shape_factors!B$3)</f>
        <v>-0.37135867523944494</v>
      </c>
      <c r="C45" s="5">
        <f>EnergyLJ($A45,$C$2,$C$4,shape_factors!C$2,$C$3,shape_factors!C$3)</f>
        <v>-4.2476208347095749E-2</v>
      </c>
      <c r="D45" s="5">
        <f>EnergyLJ($A45,$C$2,$C$4,shape_factors!D$2,$C$3,shape_factors!D$3)</f>
        <v>-0.56099658622546134</v>
      </c>
      <c r="E45" s="5">
        <f>EnergyLJ($A45,$C$2,$C$4,shape_factors!E$2,$C$3,shape_factors!E$3)</f>
        <v>-0.1152423131751143</v>
      </c>
      <c r="F45" s="5">
        <f>EnergyLJ($A45,$C$2,$C$4,shape_factors!F$2,$C$3,shape_factors!F$3)</f>
        <v>-3.2618159557369554E-2</v>
      </c>
      <c r="G45" s="5">
        <f>EnergyLJ($A45,$C$2,$C$4,shape_factors!G$2,$C$3,shape_factors!G$3)</f>
        <v>-5.4921721881503183E-2</v>
      </c>
      <c r="H45" s="5">
        <f>EnergyLJ($A45,$C$2,$C$4,shape_factors!H$2,$C$3,shape_factors!H$3)</f>
        <v>6.567456153363338E-2</v>
      </c>
      <c r="I45" s="5">
        <f>EnergyLJ($A45,$C$2,$C$4,shape_factors!I$2,$C$3,shape_factors!I$3)</f>
        <v>-0.16572872421252607</v>
      </c>
      <c r="J45" s="5">
        <f>EnergyLJ($A45,$C$2,$C$4,shape_factors!J$2,$C$3,shape_factors!J$3)</f>
        <v>-8.3163191068088577E-3</v>
      </c>
      <c r="K45" s="5">
        <f>EnergyLJ($A45,$C$2,$C$4,shape_factors!K$2,$C$3,shape_factors!K$3)</f>
        <v>-1.2819279742611206E-2</v>
      </c>
      <c r="L45" s="5">
        <f>EnergyLJ($A45,$C$2,$C$4,shape_factors!L$2,$C$3,shape_factors!L$3)</f>
        <v>-2.4704851746205715E-2</v>
      </c>
      <c r="M45" s="5">
        <f>EnergyLJ($A45,$C$2,$C$4,shape_factors!M$2,$C$3,shape_factors!M$3)</f>
        <v>-9.2094893761553182E-3</v>
      </c>
      <c r="N45" s="5">
        <f>EnergyLJ($A45,$C$2,$C$4,shape_factors!N$2,$C$3,shape_factors!N$3)</f>
        <v>-2.8668490605107356E-3</v>
      </c>
      <c r="O45" s="5">
        <f>EnergyLJ($A45,$C$2,$C$4,shape_factors!O$2,$C$3,shape_factors!O$3)</f>
        <v>-2.0459410041717466E-3</v>
      </c>
      <c r="P45" s="5">
        <f>EnergyLJ($A45,$C$2,$C$4,shape_factors!P$2,$C$3,shape_factors!P$3)</f>
        <v>-3.1548648782449306E-3</v>
      </c>
      <c r="Q45" s="5">
        <f>EnergyLJ($A45,$C$2,$C$4,shape_factors!Q$2,$C$3,shape_factors!Q$3)</f>
        <v>-3.5724889808426033E-3</v>
      </c>
      <c r="R45" s="5">
        <f>EnergyLJ($A45,$C$2,$C$4,shape_factors!R$2,$C$3,shape_factors!R$3)</f>
        <v>-3.4338391713266629E-2</v>
      </c>
      <c r="S45" s="5">
        <f>EnergyLJ($A45,$C$2,$C$4,shape_factors!S$2,$C$3,shape_factors!S$3)</f>
        <v>-5.557970073740078E-3</v>
      </c>
      <c r="T45" s="5">
        <f>EnergyLJ($A45,$C$2,$C$4,shape_factors!T$2,$C$3,shape_factors!T$3)</f>
        <v>-1.6214266209920722E-3</v>
      </c>
      <c r="U45" s="5">
        <f>EnergyLJ($A45,$C$2,$C$4,shape_factors!U$2,$C$3,shape_factors!U$3)</f>
        <v>-3.3370555787326582E-2</v>
      </c>
    </row>
    <row r="46" spans="1:21" x14ac:dyDescent="0.25">
      <c r="A46">
        <v>9.8000000000000096</v>
      </c>
      <c r="B46" s="5">
        <f>EnergyLJ($A46,$C$2,$C$4,shape_factors!B$2,$C$3,shape_factors!B$3)</f>
        <v>-0.33146896166710099</v>
      </c>
      <c r="C46" s="5">
        <f>EnergyLJ($A46,$C$2,$C$4,shape_factors!C$2,$C$3,shape_factors!C$3)</f>
        <v>-3.7570738634885886E-2</v>
      </c>
      <c r="D46" s="5">
        <f>EnergyLJ($A46,$C$2,$C$4,shape_factors!D$2,$C$3,shape_factors!D$3)</f>
        <v>-0.50415031887750938</v>
      </c>
      <c r="E46" s="5">
        <f>EnergyLJ($A46,$C$2,$C$4,shape_factors!E$2,$C$3,shape_factors!E$3)</f>
        <v>-0.10211578655481716</v>
      </c>
      <c r="F46" s="5">
        <f>EnergyLJ($A46,$C$2,$C$4,shape_factors!F$2,$C$3,shape_factors!F$3)</f>
        <v>-2.884440941660283E-2</v>
      </c>
      <c r="G46" s="5">
        <f>EnergyLJ($A46,$C$2,$C$4,shape_factors!G$2,$C$3,shape_factors!G$3)</f>
        <v>-4.8593456227375001E-2</v>
      </c>
      <c r="H46" s="5">
        <f>EnergyLJ($A46,$C$2,$C$4,shape_factors!H$2,$C$3,shape_factors!H$3)</f>
        <v>-0.47363778035782383</v>
      </c>
      <c r="I46" s="5">
        <f>EnergyLJ($A46,$C$2,$C$4,shape_factors!I$2,$C$3,shape_factors!I$3)</f>
        <v>-0.14704359839156872</v>
      </c>
      <c r="J46" s="5">
        <f>EnergyLJ($A46,$C$2,$C$4,shape_factors!J$2,$C$3,shape_factors!J$3)</f>
        <v>-7.3499730947547016E-3</v>
      </c>
      <c r="K46" s="5">
        <f>EnergyLJ($A46,$C$2,$C$4,shape_factors!K$2,$C$3,shape_factors!K$3)</f>
        <v>-1.13308829346457E-2</v>
      </c>
      <c r="L46" s="5">
        <f>EnergyLJ($A46,$C$2,$C$4,shape_factors!L$2,$C$3,shape_factors!L$3)</f>
        <v>-2.1842548556908162E-2</v>
      </c>
      <c r="M46" s="5">
        <f>EnergyLJ($A46,$C$2,$C$4,shape_factors!M$2,$C$3,shape_factors!M$3)</f>
        <v>-8.1395270778801612E-3</v>
      </c>
      <c r="N46" s="5">
        <f>EnergyLJ($A46,$C$2,$C$4,shape_factors!N$2,$C$3,shape_factors!N$3)</f>
        <v>-2.5334045783291315E-3</v>
      </c>
      <c r="O46" s="5">
        <f>EnergyLJ($A46,$C$2,$C$4,shape_factors!O$2,$C$3,shape_factors!O$3)</f>
        <v>-1.8079423680176807E-3</v>
      </c>
      <c r="P46" s="5">
        <f>EnergyLJ($A46,$C$2,$C$4,shape_factors!P$2,$C$3,shape_factors!P$3)</f>
        <v>-2.7879397318265582E-3</v>
      </c>
      <c r="Q46" s="5">
        <f>EnergyLJ($A46,$C$2,$C$4,shape_factors!Q$2,$C$3,shape_factors!Q$3)</f>
        <v>-3.1570227709787394E-3</v>
      </c>
      <c r="R46" s="5">
        <f>EnergyLJ($A46,$C$2,$C$4,shape_factors!R$2,$C$3,shape_factors!R$3)</f>
        <v>-3.036685772542989E-2</v>
      </c>
      <c r="S46" s="5">
        <f>EnergyLJ($A46,$C$2,$C$4,shape_factors!S$2,$C$3,shape_factors!S$3)</f>
        <v>-4.9118262994699447E-3</v>
      </c>
      <c r="T46" s="5">
        <f>EnergyLJ($A46,$C$2,$C$4,shape_factors!T$2,$C$3,shape_factors!T$3)</f>
        <v>-1.4327965005972404E-3</v>
      </c>
      <c r="U46" s="5">
        <f>EnergyLJ($A46,$C$2,$C$4,shape_factors!U$2,$C$3,shape_factors!U$3)</f>
        <v>-2.9510283353686134E-2</v>
      </c>
    </row>
    <row r="47" spans="1:21" x14ac:dyDescent="0.25">
      <c r="A47">
        <v>10</v>
      </c>
      <c r="B47" s="5">
        <f>EnergyLJ($A47,$C$2,$C$4,shape_factors!B$2,$C$3,shape_factors!B$3)</f>
        <v>-0.29618240631078191</v>
      </c>
      <c r="C47" s="5">
        <f>EnergyLJ($A47,$C$2,$C$4,shape_factors!C$2,$C$3,shape_factors!C$3)</f>
        <v>-3.3310505275372555E-2</v>
      </c>
      <c r="D47" s="5">
        <f>EnergyLJ($A47,$C$2,$C$4,shape_factors!D$2,$C$3,shape_factors!D$3)</f>
        <v>-0.45307584305863097</v>
      </c>
      <c r="E47" s="5">
        <f>EnergyLJ($A47,$C$2,$C$4,shape_factors!E$2,$C$3,shape_factors!E$3)</f>
        <v>-9.0676651635955383E-2</v>
      </c>
      <c r="F47" s="5">
        <f>EnergyLJ($A47,$C$2,$C$4,shape_factors!F$2,$C$3,shape_factors!F$3)</f>
        <v>-2.5568487929080674E-2</v>
      </c>
      <c r="G47" s="5">
        <f>EnergyLJ($A47,$C$2,$C$4,shape_factors!G$2,$C$3,shape_factors!G$3)</f>
        <v>-4.3094458264263912E-2</v>
      </c>
      <c r="H47" s="5">
        <f>EnergyLJ($A47,$C$2,$C$4,shape_factors!H$2,$C$3,shape_factors!H$3)</f>
        <v>-0.82782861750434156</v>
      </c>
      <c r="I47" s="5">
        <f>EnergyLJ($A47,$C$2,$C$4,shape_factors!I$2,$C$3,shape_factors!I$3)</f>
        <v>-0.13071861099503904</v>
      </c>
      <c r="J47" s="5">
        <f>EnergyLJ($A47,$C$2,$C$4,shape_factors!J$2,$C$3,shape_factors!J$3)</f>
        <v>-6.5120047712777449E-3</v>
      </c>
      <c r="K47" s="5">
        <f>EnergyLJ($A47,$C$2,$C$4,shape_factors!K$2,$C$3,shape_factors!K$3)</f>
        <v>-1.0039964038593297E-2</v>
      </c>
      <c r="L47" s="5">
        <f>EnergyLJ($A47,$C$2,$C$4,shape_factors!L$2,$C$3,shape_factors!L$3)</f>
        <v>-1.9358711867414023E-2</v>
      </c>
      <c r="M47" s="5">
        <f>EnergyLJ($A47,$C$2,$C$4,shape_factors!M$2,$C$3,shape_factors!M$3)</f>
        <v>-7.2116716757072525E-3</v>
      </c>
      <c r="N47" s="5">
        <f>EnergyLJ($A47,$C$2,$C$4,shape_factors!N$2,$C$3,shape_factors!N$3)</f>
        <v>-2.2443260504642899E-3</v>
      </c>
      <c r="O47" s="5">
        <f>EnergyLJ($A47,$C$2,$C$4,shape_factors!O$2,$C$3,shape_factors!O$3)</f>
        <v>-1.6016176031592726E-3</v>
      </c>
      <c r="P47" s="5">
        <f>EnergyLJ($A47,$C$2,$C$4,shape_factors!P$2,$C$3,shape_factors!P$3)</f>
        <v>-2.4698312969040621E-3</v>
      </c>
      <c r="Q47" s="5">
        <f>EnergyLJ($A47,$C$2,$C$4,shape_factors!Q$2,$C$3,shape_factors!Q$3)</f>
        <v>-2.7968247986657892E-3</v>
      </c>
      <c r="R47" s="5">
        <f>EnergyLJ($A47,$C$2,$C$4,shape_factors!R$2,$C$3,shape_factors!R$3)</f>
        <v>-2.6918978429467902E-2</v>
      </c>
      <c r="S47" s="5">
        <f>EnergyLJ($A47,$C$2,$C$4,shape_factors!S$2,$C$3,shape_factors!S$3)</f>
        <v>-4.3515889289998033E-3</v>
      </c>
      <c r="T47" s="5">
        <f>EnergyLJ($A47,$C$2,$C$4,shape_factors!T$2,$C$3,shape_factors!T$3)</f>
        <v>-1.2692730775829119E-3</v>
      </c>
      <c r="U47" s="5">
        <f>EnergyLJ($A47,$C$2,$C$4,shape_factors!U$2,$C$3,shape_factors!U$3)</f>
        <v>-2.6159140738797316E-2</v>
      </c>
    </row>
    <row r="48" spans="1:21" x14ac:dyDescent="0.25">
      <c r="A48">
        <v>10.199999999999999</v>
      </c>
      <c r="B48" s="5">
        <f>EnergyLJ($A48,$C$2,$C$4,shape_factors!B$2,$C$3,shape_factors!B$3)</f>
        <v>-0.26497236259768375</v>
      </c>
      <c r="C48" s="5">
        <f>EnergyLJ($A48,$C$2,$C$4,shape_factors!C$2,$C$3,shape_factors!C$3)</f>
        <v>-2.9600970572551122E-2</v>
      </c>
      <c r="D48" s="5">
        <f>EnergyLJ($A48,$C$2,$C$4,shape_factors!D$2,$C$3,shape_factors!D$3)</f>
        <v>-0.40731905924856893</v>
      </c>
      <c r="E48" s="5">
        <f>EnergyLJ($A48,$C$2,$C$4,shape_factors!E$2,$C$3,shape_factors!E$3)</f>
        <v>-8.0686676662501289E-2</v>
      </c>
      <c r="F48" s="5">
        <f>EnergyLJ($A48,$C$2,$C$4,shape_factors!F$2,$C$3,shape_factors!F$3)</f>
        <v>-2.2717121672284228E-2</v>
      </c>
      <c r="G48" s="5">
        <f>EnergyLJ($A48,$C$2,$C$4,shape_factors!G$2,$C$3,shape_factors!G$3)</f>
        <v>-3.8303941838799462E-2</v>
      </c>
      <c r="H48" s="5">
        <f>EnergyLJ($A48,$C$2,$C$4,shape_factors!H$2,$C$3,shape_factors!H$3)</f>
        <v>-1.0502375627106844</v>
      </c>
      <c r="I48" s="5">
        <f>EnergyLJ($A48,$C$2,$C$4,shape_factors!I$2,$C$3,shape_factors!I$3)</f>
        <v>-0.11643036998832203</v>
      </c>
      <c r="J48" s="5">
        <f>EnergyLJ($A48,$C$2,$C$4,shape_factors!J$2,$C$3,shape_factors!J$3)</f>
        <v>-5.7833130501352466E-3</v>
      </c>
      <c r="K48" s="5">
        <f>EnergyLJ($A48,$C$2,$C$4,shape_factors!K$2,$C$3,shape_factors!K$3)</f>
        <v>-8.9171982923236023E-3</v>
      </c>
      <c r="L48" s="5">
        <f>EnergyLJ($A48,$C$2,$C$4,shape_factors!L$2,$C$3,shape_factors!L$3)</f>
        <v>-1.7197436418903214E-2</v>
      </c>
      <c r="M48" s="5">
        <f>EnergyLJ($A48,$C$2,$C$4,shape_factors!M$2,$C$3,shape_factors!M$3)</f>
        <v>-6.40478753844683E-3</v>
      </c>
      <c r="N48" s="5">
        <f>EnergyLJ($A48,$C$2,$C$4,shape_factors!N$2,$C$3,shape_factors!N$3)</f>
        <v>-1.9929968127310018E-3</v>
      </c>
      <c r="O48" s="5">
        <f>EnergyLJ($A48,$C$2,$C$4,shape_factors!O$2,$C$3,shape_factors!O$3)</f>
        <v>-1.4222412598493051E-3</v>
      </c>
      <c r="P48" s="5">
        <f>EnergyLJ($A48,$C$2,$C$4,shape_factors!P$2,$C$3,shape_factors!P$3)</f>
        <v>-2.1932600301535327E-3</v>
      </c>
      <c r="Q48" s="5">
        <f>EnergyLJ($A48,$C$2,$C$4,shape_factors!Q$2,$C$3,shape_factors!Q$3)</f>
        <v>-2.4836549469120154E-3</v>
      </c>
      <c r="R48" s="5">
        <f>EnergyLJ($A48,$C$2,$C$4,shape_factors!R$2,$C$3,shape_factors!R$3)</f>
        <v>-2.3917739921983969E-2</v>
      </c>
      <c r="S48" s="5">
        <f>EnergyLJ($A48,$C$2,$C$4,shape_factors!S$2,$C$3,shape_factors!S$3)</f>
        <v>-3.8644608430756754E-3</v>
      </c>
      <c r="T48" s="5">
        <f>EnergyLJ($A48,$C$2,$C$4,shape_factors!T$2,$C$3,shape_factors!T$3)</f>
        <v>-1.1271099836662989E-3</v>
      </c>
      <c r="U48" s="5">
        <f>EnergyLJ($A48,$C$2,$C$4,shape_factors!U$2,$C$3,shape_factors!U$3)</f>
        <v>-2.3242216958787993E-2</v>
      </c>
    </row>
    <row r="49" spans="1:21" x14ac:dyDescent="0.25">
      <c r="A49">
        <v>10.4</v>
      </c>
      <c r="B49" s="5">
        <f>EnergyLJ($A49,$C$2,$C$4,shape_factors!B$2,$C$3,shape_factors!B$3)</f>
        <v>-0.23736045203990699</v>
      </c>
      <c r="C49" s="5">
        <f>EnergyLJ($A49,$C$2,$C$4,shape_factors!C$2,$C$3,shape_factors!C$3)</f>
        <v>-2.6362750369482626E-2</v>
      </c>
      <c r="D49" s="5">
        <f>EnergyLJ($A49,$C$2,$C$4,shape_factors!D$2,$C$3,shape_factors!D$3)</f>
        <v>-0.36640288297127627</v>
      </c>
      <c r="E49" s="5">
        <f>EnergyLJ($A49,$C$2,$C$4,shape_factors!E$2,$C$3,shape_factors!E$3)</f>
        <v>-7.1943615251426507E-2</v>
      </c>
      <c r="F49" s="5">
        <f>EnergyLJ($A49,$C$2,$C$4,shape_factors!F$2,$C$3,shape_factors!F$3)</f>
        <v>-2.0228863831154967E-2</v>
      </c>
      <c r="G49" s="5">
        <f>EnergyLJ($A49,$C$2,$C$4,shape_factors!G$2,$C$3,shape_factors!G$3)</f>
        <v>-3.412030680786346E-2</v>
      </c>
      <c r="H49" s="5">
        <f>EnergyLJ($A49,$C$2,$C$4,shape_factors!H$2,$C$3,shape_factors!H$3)</f>
        <v>-1.1792420811689419</v>
      </c>
      <c r="I49" s="5">
        <f>EnergyLJ($A49,$C$2,$C$4,shape_factors!I$2,$C$3,shape_factors!I$3)</f>
        <v>-0.10390183961192309</v>
      </c>
      <c r="J49" s="5">
        <f>EnergyLJ($A49,$C$2,$C$4,shape_factors!J$2,$C$3,shape_factors!J$3)</f>
        <v>-5.1479299123969825E-3</v>
      </c>
      <c r="K49" s="5">
        <f>EnergyLJ($A49,$C$2,$C$4,shape_factors!K$2,$C$3,shape_factors!K$3)</f>
        <v>-7.9380570668853428E-3</v>
      </c>
      <c r="L49" s="5">
        <f>EnergyLJ($A49,$C$2,$C$4,shape_factors!L$2,$C$3,shape_factors!L$3)</f>
        <v>-1.5311889036141306E-2</v>
      </c>
      <c r="M49" s="5">
        <f>EnergyLJ($A49,$C$2,$C$4,shape_factors!M$2,$C$3,shape_factors!M$3)</f>
        <v>-5.701203844850406E-3</v>
      </c>
      <c r="N49" s="5">
        <f>EnergyLJ($A49,$C$2,$C$4,shape_factors!N$2,$C$3,shape_factors!N$3)</f>
        <v>-1.7738892446376995E-3</v>
      </c>
      <c r="O49" s="5">
        <f>EnergyLJ($A49,$C$2,$C$4,shape_factors!O$2,$C$3,shape_factors!O$3)</f>
        <v>-1.2658660543327881E-3</v>
      </c>
      <c r="P49" s="5">
        <f>EnergyLJ($A49,$C$2,$C$4,shape_factors!P$2,$C$3,shape_factors!P$3)</f>
        <v>-1.9521443198131235E-3</v>
      </c>
      <c r="Q49" s="5">
        <f>EnergyLJ($A49,$C$2,$C$4,shape_factors!Q$2,$C$3,shape_factors!Q$3)</f>
        <v>-2.2106287485771175E-3</v>
      </c>
      <c r="R49" s="5">
        <f>EnergyLJ($A49,$C$2,$C$4,shape_factors!R$2,$C$3,shape_factors!R$3)</f>
        <v>-2.1298543843155746E-2</v>
      </c>
      <c r="S49" s="5">
        <f>EnergyLJ($A49,$C$2,$C$4,shape_factors!S$2,$C$3,shape_factors!S$3)</f>
        <v>-3.4397476530582355E-3</v>
      </c>
      <c r="T49" s="5">
        <f>EnergyLJ($A49,$C$2,$C$4,shape_factors!T$2,$C$3,shape_factors!T$3)</f>
        <v>-1.0031779492176954E-3</v>
      </c>
      <c r="U49" s="5">
        <f>EnergyLJ($A49,$C$2,$C$4,shape_factors!U$2,$C$3,shape_factors!U$3)</f>
        <v>-2.0696685661081238E-2</v>
      </c>
    </row>
    <row r="50" spans="1:21" x14ac:dyDescent="0.25">
      <c r="A50">
        <v>10.6</v>
      </c>
      <c r="B50" s="5">
        <f>EnergyLJ($A50,$C$2,$C$4,shape_factors!B$2,$C$3,shape_factors!B$3)</f>
        <v>-0.21291762970129666</v>
      </c>
      <c r="C50" s="5">
        <f>EnergyLJ($A50,$C$2,$C$4,shape_factors!C$2,$C$3,shape_factors!C$3)</f>
        <v>-2.3528997923682553E-2</v>
      </c>
      <c r="D50" s="5">
        <f>EnergyLJ($A50,$C$2,$C$4,shape_factors!D$2,$C$3,shape_factors!D$3)</f>
        <v>-0.32985611362924749</v>
      </c>
      <c r="E50" s="5">
        <f>EnergyLJ($A50,$C$2,$C$4,shape_factors!E$2,$C$3,shape_factors!E$3)</f>
        <v>-6.4275566096086867E-2</v>
      </c>
      <c r="F50" s="5">
        <f>EnergyLJ($A50,$C$2,$C$4,shape_factors!F$2,$C$3,shape_factors!F$3)</f>
        <v>-1.8052031238826073E-2</v>
      </c>
      <c r="G50" s="5">
        <f>EnergyLJ($A50,$C$2,$C$4,shape_factors!G$2,$C$3,shape_factors!G$3)</f>
        <v>-3.0457872221995703E-2</v>
      </c>
      <c r="H50" s="5">
        <f>EnergyLJ($A50,$C$2,$C$4,shape_factors!H$2,$C$3,shape_factors!H$3)</f>
        <v>-1.2425077483295079</v>
      </c>
      <c r="I50" s="5">
        <f>EnergyLJ($A50,$C$2,$C$4,shape_factors!I$2,$C$3,shape_factors!I$3)</f>
        <v>-9.2895762305678656E-2</v>
      </c>
      <c r="J50" s="5">
        <f>EnergyLJ($A50,$C$2,$C$4,shape_factors!J$2,$C$3,shape_factors!J$3)</f>
        <v>-4.5924609630109015E-3</v>
      </c>
      <c r="K50" s="5">
        <f>EnergyLJ($A50,$C$2,$C$4,shape_factors!K$2,$C$3,shape_factors!K$3)</f>
        <v>-7.0819549907589503E-3</v>
      </c>
      <c r="L50" s="5">
        <f>EnergyLJ($A50,$C$2,$C$4,shape_factors!L$2,$C$3,shape_factors!L$3)</f>
        <v>-1.3662713559162517E-2</v>
      </c>
      <c r="M50" s="5">
        <f>EnergyLJ($A50,$C$2,$C$4,shape_factors!M$2,$C$3,shape_factors!M$3)</f>
        <v>-5.0860964056650719E-3</v>
      </c>
      <c r="N50" s="5">
        <f>EnergyLJ($A50,$C$2,$C$4,shape_factors!N$2,$C$3,shape_factors!N$3)</f>
        <v>-1.5823693581410105E-3</v>
      </c>
      <c r="O50" s="5">
        <f>EnergyLJ($A50,$C$2,$C$4,shape_factors!O$2,$C$3,shape_factors!O$3)</f>
        <v>-1.1291831384723351E-3</v>
      </c>
      <c r="P50" s="5">
        <f>EnergyLJ($A50,$C$2,$C$4,shape_factors!P$2,$C$3,shape_factors!P$3)</f>
        <v>-1.7413855909923009E-3</v>
      </c>
      <c r="Q50" s="5">
        <f>EnergyLJ($A50,$C$2,$C$4,shape_factors!Q$2,$C$3,shape_factors!Q$3)</f>
        <v>-1.9719742888032058E-3</v>
      </c>
      <c r="R50" s="5">
        <f>EnergyLJ($A50,$C$2,$C$4,shape_factors!R$2,$C$3,shape_factors!R$3)</f>
        <v>-1.9007045506409054E-2</v>
      </c>
      <c r="S50" s="5">
        <f>EnergyLJ($A50,$C$2,$C$4,shape_factors!S$2,$C$3,shape_factors!S$3)</f>
        <v>-3.0684813015572883E-3</v>
      </c>
      <c r="T50" s="5">
        <f>EnergyLJ($A50,$C$2,$C$4,shape_factors!T$2,$C$3,shape_factors!T$3)</f>
        <v>-8.9485395337520889E-4</v>
      </c>
      <c r="U50" s="5">
        <f>EnergyLJ($A50,$C$2,$C$4,shape_factors!U$2,$C$3,shape_factors!U$3)</f>
        <v>-1.8469698779818491E-2</v>
      </c>
    </row>
    <row r="51" spans="1:21" x14ac:dyDescent="0.25">
      <c r="A51">
        <v>10.8</v>
      </c>
      <c r="B51" s="5">
        <f>EnergyLJ($A51,$C$2,$C$4,shape_factors!B$2,$C$3,shape_factors!B$3)</f>
        <v>-0.19126245853312207</v>
      </c>
      <c r="C51" s="5">
        <f>EnergyLJ($A51,$C$2,$C$4,shape_factors!C$2,$C$3,shape_factors!C$3)</f>
        <v>-2.1043267132330762E-2</v>
      </c>
      <c r="D51" s="5">
        <f>EnergyLJ($A51,$C$2,$C$4,shape_factors!D$2,$C$3,shape_factors!D$3)</f>
        <v>-0.2972301360714979</v>
      </c>
      <c r="E51" s="5">
        <f>EnergyLJ($A51,$C$2,$C$4,shape_factors!E$2,$C$3,shape_factors!E$3)</f>
        <v>-5.7536208075053941E-2</v>
      </c>
      <c r="F51" s="5">
        <f>EnergyLJ($A51,$C$2,$C$4,shape_factors!F$2,$C$3,shape_factors!F$3)</f>
        <v>-1.6143025266775274E-2</v>
      </c>
      <c r="G51" s="5">
        <f>EnergyLJ($A51,$C$2,$C$4,shape_factors!G$2,$C$3,shape_factors!G$3)</f>
        <v>-2.7244195522907733E-2</v>
      </c>
      <c r="H51" s="5">
        <f>EnergyLJ($A51,$C$2,$C$4,shape_factors!H$2,$C$3,shape_factors!H$3)</f>
        <v>-1.2599992575242598</v>
      </c>
      <c r="I51" s="5">
        <f>EnergyLJ($A51,$C$2,$C$4,shape_factors!I$2,$C$3,shape_factors!I$3)</f>
        <v>-8.3208892357440223E-2</v>
      </c>
      <c r="J51" s="5">
        <f>EnergyLJ($A51,$C$2,$C$4,shape_factors!J$2,$C$3,shape_factors!J$3)</f>
        <v>-4.1056336163759954E-3</v>
      </c>
      <c r="K51" s="5">
        <f>EnergyLJ($A51,$C$2,$C$4,shape_factors!K$2,$C$3,shape_factors!K$3)</f>
        <v>-6.3315602136616257E-3</v>
      </c>
      <c r="L51" s="5">
        <f>EnergyLJ($A51,$C$2,$C$4,shape_factors!L$2,$C$3,shape_factors!L$3)</f>
        <v>-1.2216736007053055E-2</v>
      </c>
      <c r="M51" s="5">
        <f>EnergyLJ($A51,$C$2,$C$4,shape_factors!M$2,$C$3,shape_factors!M$3)</f>
        <v>-4.5469882803903993E-3</v>
      </c>
      <c r="N51" s="5">
        <f>EnergyLJ($A51,$C$2,$C$4,shape_factors!N$2,$C$3,shape_factors!N$3)</f>
        <v>-1.4145392346113393E-3</v>
      </c>
      <c r="O51" s="5">
        <f>EnergyLJ($A51,$C$2,$C$4,shape_factors!O$2,$C$3,shape_factors!O$3)</f>
        <v>-1.0094094599056055E-3</v>
      </c>
      <c r="P51" s="5">
        <f>EnergyLJ($A51,$C$2,$C$4,shape_factors!P$2,$C$3,shape_factors!P$3)</f>
        <v>-1.5566950183003214E-3</v>
      </c>
      <c r="Q51" s="5">
        <f>EnergyLJ($A51,$C$2,$C$4,shape_factors!Q$2,$C$3,shape_factors!Q$3)</f>
        <v>-1.7628361514295677E-3</v>
      </c>
      <c r="R51" s="5">
        <f>EnergyLJ($A51,$C$2,$C$4,shape_factors!R$2,$C$3,shape_factors!R$3)</f>
        <v>-1.6997393237579664E-2</v>
      </c>
      <c r="S51" s="5">
        <f>EnergyLJ($A51,$C$2,$C$4,shape_factors!S$2,$C$3,shape_factors!S$3)</f>
        <v>-2.7431163263553849E-3</v>
      </c>
      <c r="T51" s="5">
        <f>EnergyLJ($A51,$C$2,$C$4,shape_factors!T$2,$C$3,shape_factors!T$3)</f>
        <v>-7.9993187640689371E-4</v>
      </c>
      <c r="U51" s="5">
        <f>EnergyLJ($A51,$C$2,$C$4,shape_factors!U$2,$C$3,shape_factors!U$3)</f>
        <v>-1.651667166969081E-2</v>
      </c>
    </row>
    <row r="52" spans="1:21" x14ac:dyDescent="0.25">
      <c r="A52">
        <v>11</v>
      </c>
      <c r="B52" s="5">
        <f>EnergyLJ($A52,$C$2,$C$4,shape_factors!B$2,$C$3,shape_factors!B$3)</f>
        <v>-0.17205788979814582</v>
      </c>
      <c r="C52" s="5">
        <f>EnergyLJ($A52,$C$2,$C$4,shape_factors!C$2,$C$3,shape_factors!C$3)</f>
        <v>-1.8857763313010711E-2</v>
      </c>
      <c r="D52" s="5">
        <f>EnergyLJ($A52,$C$2,$C$4,shape_factors!D$2,$C$3,shape_factors!D$3)</f>
        <v>-0.26810780567849407</v>
      </c>
      <c r="E52" s="5">
        <f>EnergyLJ($A52,$C$2,$C$4,shape_factors!E$2,$C$3,shape_factors!E$3)</f>
        <v>-5.1600789569447678E-2</v>
      </c>
      <c r="F52" s="5">
        <f>EnergyLJ($A52,$C$2,$C$4,shape_factors!F$2,$C$3,shape_factors!F$3)</f>
        <v>-1.446496133773684E-2</v>
      </c>
      <c r="G52" s="5">
        <f>EnergyLJ($A52,$C$2,$C$4,shape_factors!G$2,$C$3,shape_factors!G$3)</f>
        <v>-2.441786922561856E-2</v>
      </c>
      <c r="H52" s="5">
        <f>EnergyLJ($A52,$C$2,$C$4,shape_factors!H$2,$C$3,shape_factors!H$3)</f>
        <v>-1.2461247880778299</v>
      </c>
      <c r="I52" s="5">
        <f>EnergyLJ($A52,$C$2,$C$4,shape_factors!I$2,$C$3,shape_factors!I$3)</f>
        <v>-7.4667001470969815E-2</v>
      </c>
      <c r="J52" s="5">
        <f>EnergyLJ($A52,$C$2,$C$4,shape_factors!J$2,$C$3,shape_factors!J$3)</f>
        <v>-3.6779307950754007E-3</v>
      </c>
      <c r="K52" s="5">
        <f>EnergyLJ($A52,$C$2,$C$4,shape_factors!K$2,$C$3,shape_factors!K$3)</f>
        <v>-5.6722345511425127E-3</v>
      </c>
      <c r="L52" s="5">
        <f>EnergyLJ($A52,$C$2,$C$4,shape_factors!L$2,$C$3,shape_factors!L$3)</f>
        <v>-1.0945910138590541E-2</v>
      </c>
      <c r="M52" s="5">
        <f>EnergyLJ($A52,$C$2,$C$4,shape_factors!M$2,$C$3,shape_factors!M$3)</f>
        <v>-4.0733448160351323E-3</v>
      </c>
      <c r="N52" s="5">
        <f>EnergyLJ($A52,$C$2,$C$4,shape_factors!N$2,$C$3,shape_factors!N$3)</f>
        <v>-1.2671094618393549E-3</v>
      </c>
      <c r="O52" s="5">
        <f>EnergyLJ($A52,$C$2,$C$4,shape_factors!O$2,$C$3,shape_factors!O$3)</f>
        <v>-9.0419658779951882E-4</v>
      </c>
      <c r="P52" s="5">
        <f>EnergyLJ($A52,$C$2,$C$4,shape_factors!P$2,$C$3,shape_factors!P$3)</f>
        <v>-1.3944532221804903E-3</v>
      </c>
      <c r="Q52" s="5">
        <f>EnergyLJ($A52,$C$2,$C$4,shape_factors!Q$2,$C$3,shape_factors!Q$3)</f>
        <v>-1.5791166656093595E-3</v>
      </c>
      <c r="R52" s="5">
        <f>EnergyLJ($A52,$C$2,$C$4,shape_factors!R$2,$C$3,shape_factors!R$3)</f>
        <v>-1.52307905967643E-2</v>
      </c>
      <c r="S52" s="5">
        <f>EnergyLJ($A52,$C$2,$C$4,shape_factors!S$2,$C$3,shape_factors!S$3)</f>
        <v>-2.4572837868239231E-3</v>
      </c>
      <c r="T52" s="5">
        <f>EnergyLJ($A52,$C$2,$C$4,shape_factors!T$2,$C$3,shape_factors!T$3)</f>
        <v>-7.1655018665707873E-4</v>
      </c>
      <c r="U52" s="5">
        <f>EnergyLJ($A52,$C$2,$C$4,shape_factors!U$2,$C$3,shape_factors!U$3)</f>
        <v>-1.4799883124740516E-2</v>
      </c>
    </row>
    <row r="53" spans="1:21" x14ac:dyDescent="0.25">
      <c r="A53">
        <v>11.2</v>
      </c>
      <c r="B53" s="5">
        <f>EnergyLJ($A53,$C$2,$C$4,shape_factors!B$2,$C$3,shape_factors!B$3)</f>
        <v>-0.15500735255276149</v>
      </c>
      <c r="C53" s="5">
        <f>EnergyLJ($A53,$C$2,$C$4,shape_factors!C$2,$C$3,shape_factors!C$3)</f>
        <v>-1.6931907779399267E-2</v>
      </c>
      <c r="D53" s="5">
        <f>EnergyLJ($A53,$C$2,$C$4,shape_factors!D$2,$C$3,shape_factors!D$3)</f>
        <v>-0.24210737872709712</v>
      </c>
      <c r="E53" s="5">
        <f>EnergyLJ($A53,$C$2,$C$4,shape_factors!E$2,$C$3,shape_factors!E$3)</f>
        <v>-4.6362760025215957E-2</v>
      </c>
      <c r="F53" s="5">
        <f>EnergyLJ($A53,$C$2,$C$4,shape_factors!F$2,$C$3,shape_factors!F$3)</f>
        <v>-1.2986547153592123E-2</v>
      </c>
      <c r="G53" s="5">
        <f>EnergyLJ($A53,$C$2,$C$4,shape_factors!G$2,$C$3,shape_factors!G$3)</f>
        <v>-2.1926706718764222E-2</v>
      </c>
      <c r="H53" s="5">
        <f>EnergyLJ($A53,$C$2,$C$4,shape_factors!H$2,$C$3,shape_factors!H$3)</f>
        <v>-1.2112706757461082</v>
      </c>
      <c r="I53" s="5">
        <f>EnergyLJ($A53,$C$2,$C$4,shape_factors!I$2,$C$3,shape_factors!I$3)</f>
        <v>-6.7120587971901041E-2</v>
      </c>
      <c r="J53" s="5">
        <f>EnergyLJ($A53,$C$2,$C$4,shape_factors!J$2,$C$3,shape_factors!J$3)</f>
        <v>-3.3012928431890463E-3</v>
      </c>
      <c r="K53" s="5">
        <f>EnergyLJ($A53,$C$2,$C$4,shape_factors!K$2,$C$3,shape_factors!K$3)</f>
        <v>-5.0915774185364068E-3</v>
      </c>
      <c r="L53" s="5">
        <f>EnergyLJ($A53,$C$2,$C$4,shape_factors!L$2,$C$3,shape_factors!L$3)</f>
        <v>-9.8264560645566681E-3</v>
      </c>
      <c r="M53" s="5">
        <f>EnergyLJ($A53,$C$2,$C$4,shape_factors!M$2,$C$3,shape_factors!M$3)</f>
        <v>-3.656244033056743E-3</v>
      </c>
      <c r="N53" s="5">
        <f>EnergyLJ($A53,$C$2,$C$4,shape_factors!N$2,$C$3,shape_factors!N$3)</f>
        <v>-1.1372954531780341E-3</v>
      </c>
      <c r="O53" s="5">
        <f>EnergyLJ($A53,$C$2,$C$4,shape_factors!O$2,$C$3,shape_factors!O$3)</f>
        <v>-8.1155662154474466E-4</v>
      </c>
      <c r="P53" s="5">
        <f>EnergyLJ($A53,$C$2,$C$4,shape_factors!P$2,$C$3,shape_factors!P$3)</f>
        <v>-1.2515962253897396E-3</v>
      </c>
      <c r="Q53" s="5">
        <f>EnergyLJ($A53,$C$2,$C$4,shape_factors!Q$2,$C$3,shape_factors!Q$3)</f>
        <v>-1.4173468537806459E-3</v>
      </c>
      <c r="R53" s="5">
        <f>EnergyLJ($A53,$C$2,$C$4,shape_factors!R$2,$C$3,shape_factors!R$3)</f>
        <v>-1.3674319013596432E-2</v>
      </c>
      <c r="S53" s="5">
        <f>EnergyLJ($A53,$C$2,$C$4,shape_factors!S$2,$C$3,shape_factors!S$3)</f>
        <v>-2.2055911399160794E-3</v>
      </c>
      <c r="T53" s="5">
        <f>EnergyLJ($A53,$C$2,$C$4,shape_factors!T$2,$C$3,shape_factors!T$3)</f>
        <v>-6.4313318198939951E-4</v>
      </c>
      <c r="U53" s="5">
        <f>EnergyLJ($A53,$C$2,$C$4,shape_factors!U$2,$C$3,shape_factors!U$3)</f>
        <v>-1.3287329246538008E-2</v>
      </c>
    </row>
    <row r="54" spans="1:21" x14ac:dyDescent="0.25">
      <c r="A54">
        <v>11.4</v>
      </c>
      <c r="B54" s="5">
        <f>EnergyLJ($A54,$C$2,$C$4,shape_factors!B$2,$C$3,shape_factors!B$3)</f>
        <v>-0.13985063886708707</v>
      </c>
      <c r="C54" s="5">
        <f>EnergyLJ($A54,$C$2,$C$4,shape_factors!C$2,$C$3,shape_factors!C$3)</f>
        <v>-1.5231156947395526E-2</v>
      </c>
      <c r="D54" s="5">
        <f>EnergyLJ($A54,$C$2,$C$4,shape_factors!D$2,$C$3,shape_factors!D$3)</f>
        <v>-0.21888336749071696</v>
      </c>
      <c r="E54" s="5">
        <f>EnergyLJ($A54,$C$2,$C$4,shape_factors!E$2,$C$3,shape_factors!E$3)</f>
        <v>-4.1730944151080238E-2</v>
      </c>
      <c r="F54" s="5">
        <f>EnergyLJ($A54,$C$2,$C$4,shape_factors!F$2,$C$3,shape_factors!F$3)</f>
        <v>-1.1681161861539969E-2</v>
      </c>
      <c r="G54" s="5">
        <f>EnergyLJ($A54,$C$2,$C$4,shape_factors!G$2,$C$3,shape_factors!G$3)</f>
        <v>-1.9726245416286464E-2</v>
      </c>
      <c r="H54" s="5">
        <f>EnergyLJ($A54,$C$2,$C$4,shape_factors!H$2,$C$3,shape_factors!H$3)</f>
        <v>-1.162904718036031</v>
      </c>
      <c r="I54" s="5">
        <f>EnergyLJ($A54,$C$2,$C$4,shape_factors!I$2,$C$3,shape_factors!I$3)</f>
        <v>-6.0441210761918281E-2</v>
      </c>
      <c r="J54" s="5">
        <f>EnergyLJ($A54,$C$2,$C$4,shape_factors!J$2,$C$3,shape_factors!J$3)</f>
        <v>-2.9688740680227418E-3</v>
      </c>
      <c r="K54" s="5">
        <f>EnergyLJ($A54,$C$2,$C$4,shape_factors!K$2,$C$3,shape_factors!K$3)</f>
        <v>-4.5790530098583186E-3</v>
      </c>
      <c r="L54" s="5">
        <f>EnergyLJ($A54,$C$2,$C$4,shape_factors!L$2,$C$3,shape_factors!L$3)</f>
        <v>-8.8381543577647336E-3</v>
      </c>
      <c r="M54" s="5">
        <f>EnergyLJ($A54,$C$2,$C$4,shape_factors!M$2,$C$3,shape_factors!M$3)</f>
        <v>-3.2881073698200767E-3</v>
      </c>
      <c r="N54" s="5">
        <f>EnergyLJ($A54,$C$2,$C$4,shape_factors!N$2,$C$3,shape_factors!N$3)</f>
        <v>-1.0227328579989555E-3</v>
      </c>
      <c r="O54" s="5">
        <f>EnergyLJ($A54,$C$2,$C$4,shape_factors!O$2,$C$3,shape_factors!O$3)</f>
        <v>-7.298017518883558E-4</v>
      </c>
      <c r="P54" s="5">
        <f>EnergyLJ($A54,$C$2,$C$4,shape_factors!P$2,$C$3,shape_factors!P$3)</f>
        <v>-1.1255224037252255E-3</v>
      </c>
      <c r="Q54" s="5">
        <f>EnergyLJ($A54,$C$2,$C$4,shape_factors!Q$2,$C$3,shape_factors!Q$3)</f>
        <v>-1.2745811282529203E-3</v>
      </c>
      <c r="R54" s="5">
        <f>EnergyLJ($A54,$C$2,$C$4,shape_factors!R$2,$C$3,shape_factors!R$3)</f>
        <v>-1.2299970954568328E-2</v>
      </c>
      <c r="S54" s="5">
        <f>EnergyLJ($A54,$C$2,$C$4,shape_factors!S$2,$C$3,shape_factors!S$3)</f>
        <v>-1.9834588803908817E-3</v>
      </c>
      <c r="T54" s="5">
        <f>EnergyLJ($A54,$C$2,$C$4,shape_factors!T$2,$C$3,shape_factors!T$3)</f>
        <v>-5.7834306230849044E-4</v>
      </c>
      <c r="U54" s="5">
        <f>EnergyLJ($A54,$C$2,$C$4,shape_factors!U$2,$C$3,shape_factors!U$3)</f>
        <v>-1.1951782459303376E-2</v>
      </c>
    </row>
    <row r="55" spans="1:21" x14ac:dyDescent="0.25">
      <c r="A55">
        <v>11.6</v>
      </c>
      <c r="B55" s="5">
        <f>EnergyLJ($A55,$C$2,$C$4,shape_factors!B$2,$C$3,shape_factors!B$3)</f>
        <v>-0.12635986988158171</v>
      </c>
      <c r="C55" s="5">
        <f>EnergyLJ($A55,$C$2,$C$4,shape_factors!C$2,$C$3,shape_factors!C$3)</f>
        <v>-1.3726028324409709E-2</v>
      </c>
      <c r="D55" s="5">
        <f>EnergyLJ($A55,$C$2,$C$4,shape_factors!D$2,$C$3,shape_factors!D$3)</f>
        <v>-0.19812554979496189</v>
      </c>
      <c r="E55" s="5">
        <f>EnergyLJ($A55,$C$2,$C$4,shape_factors!E$2,$C$3,shape_factors!E$3)</f>
        <v>-3.762717220346206E-2</v>
      </c>
      <c r="F55" s="5">
        <f>EnergyLJ($A55,$C$2,$C$4,shape_factors!F$2,$C$3,shape_factors!F$3)</f>
        <v>-1.0526097986709074E-2</v>
      </c>
      <c r="G55" s="5">
        <f>EnergyLJ($A55,$C$2,$C$4,shape_factors!G$2,$C$3,shape_factors!G$3)</f>
        <v>-1.7778509047882057E-2</v>
      </c>
      <c r="H55" s="5">
        <f>EnergyLJ($A55,$C$2,$C$4,shape_factors!H$2,$C$3,shape_factors!H$3)</f>
        <v>-1.1063726545428105</v>
      </c>
      <c r="I55" s="5">
        <f>EnergyLJ($A55,$C$2,$C$4,shape_factors!I$2,$C$3,shape_factors!I$3)</f>
        <v>-5.4518368497348063E-2</v>
      </c>
      <c r="J55" s="5">
        <f>EnergyLJ($A55,$C$2,$C$4,shape_factors!J$2,$C$3,shape_factors!J$3)</f>
        <v>-2.6748431968337963E-3</v>
      </c>
      <c r="K55" s="5">
        <f>EnergyLJ($A55,$C$2,$C$4,shape_factors!K$2,$C$3,shape_factors!K$3)</f>
        <v>-4.1256844853312944E-3</v>
      </c>
      <c r="L55" s="5">
        <f>EnergyLJ($A55,$C$2,$C$4,shape_factors!L$2,$C$3,shape_factors!L$3)</f>
        <v>-7.9637657942718838E-3</v>
      </c>
      <c r="M55" s="5">
        <f>EnergyLJ($A55,$C$2,$C$4,shape_factors!M$2,$C$3,shape_factors!M$3)</f>
        <v>-2.9624789610955475E-3</v>
      </c>
      <c r="N55" s="5">
        <f>EnergyLJ($A55,$C$2,$C$4,shape_factors!N$2,$C$3,shape_factors!N$3)</f>
        <v>-9.214082953284393E-4</v>
      </c>
      <c r="O55" s="5">
        <f>EnergyLJ($A55,$C$2,$C$4,shape_factors!O$2,$C$3,shape_factors!O$3)</f>
        <v>-6.5749477732022035E-4</v>
      </c>
      <c r="P55" s="5">
        <f>EnergyLJ($A55,$C$2,$C$4,shape_factors!P$2,$C$3,shape_factors!P$3)</f>
        <v>-1.0140162886506179E-3</v>
      </c>
      <c r="Q55" s="5">
        <f>EnergyLJ($A55,$C$2,$C$4,shape_factors!Q$2,$C$3,shape_factors!Q$3)</f>
        <v>-1.1483110528643493E-3</v>
      </c>
      <c r="R55" s="5">
        <f>EnergyLJ($A55,$C$2,$C$4,shape_factors!R$2,$C$3,shape_factors!R$3)</f>
        <v>-1.1083853727227035E-2</v>
      </c>
      <c r="S55" s="5">
        <f>EnergyLJ($A55,$C$2,$C$4,shape_factors!S$2,$C$3,shape_factors!S$3)</f>
        <v>-1.7869867116445119E-3</v>
      </c>
      <c r="T55" s="5">
        <f>EnergyLJ($A55,$C$2,$C$4,shape_factors!T$2,$C$3,shape_factors!T$3)</f>
        <v>-5.2104069232543522E-4</v>
      </c>
      <c r="U55" s="5">
        <f>EnergyLJ($A55,$C$2,$C$4,shape_factors!U$2,$C$3,shape_factors!U$3)</f>
        <v>-1.0770016742761198E-2</v>
      </c>
    </row>
    <row r="56" spans="1:21" x14ac:dyDescent="0.25">
      <c r="A56">
        <v>11.8</v>
      </c>
      <c r="B56" s="5">
        <f>EnergyLJ($A56,$C$2,$C$4,shape_factors!B$2,$C$3,shape_factors!B$3)</f>
        <v>-0.11433570026469855</v>
      </c>
      <c r="C56" s="5">
        <f>EnergyLJ($A56,$C$2,$C$4,shape_factors!C$2,$C$3,shape_factors!C$3)</f>
        <v>-1.2391295030207927E-2</v>
      </c>
      <c r="D56" s="5">
        <f>EnergyLJ($A56,$C$2,$C$4,shape_factors!D$2,$C$3,shape_factors!D$3)</f>
        <v>-0.17955693231008393</v>
      </c>
      <c r="E56" s="5">
        <f>EnergyLJ($A56,$C$2,$C$4,shape_factors!E$2,$C$3,shape_factors!E$3)</f>
        <v>-3.3984292316121004E-2</v>
      </c>
      <c r="F56" s="5">
        <f>EnergyLJ($A56,$C$2,$C$4,shape_factors!F$2,$C$3,shape_factors!F$3)</f>
        <v>-9.5019355686649185E-3</v>
      </c>
      <c r="G56" s="5">
        <f>EnergyLJ($A56,$C$2,$C$4,shape_factors!G$2,$C$3,shape_factors!G$3)</f>
        <v>-1.6050981884516431E-2</v>
      </c>
      <c r="H56" s="5">
        <f>EnergyLJ($A56,$C$2,$C$4,shape_factors!H$2,$C$3,shape_factors!H$3)</f>
        <v>-1.045475309014134</v>
      </c>
      <c r="I56" s="5">
        <f>EnergyLJ($A56,$C$2,$C$4,shape_factors!I$2,$C$3,shape_factors!I$3)</f>
        <v>-4.9256849080060512E-2</v>
      </c>
      <c r="J56" s="5">
        <f>EnergyLJ($A56,$C$2,$C$4,shape_factors!J$2,$C$3,shape_factors!J$3)</f>
        <v>-2.4142192671652903E-3</v>
      </c>
      <c r="K56" s="5">
        <f>EnergyLJ($A56,$C$2,$C$4,shape_factors!K$2,$C$3,shape_factors!K$3)</f>
        <v>-3.7238022890990689E-3</v>
      </c>
      <c r="L56" s="5">
        <f>EnergyLJ($A56,$C$2,$C$4,shape_factors!L$2,$C$3,shape_factors!L$3)</f>
        <v>-7.1885529067833194E-3</v>
      </c>
      <c r="M56" s="5">
        <f>EnergyLJ($A56,$C$2,$C$4,shape_factors!M$2,$C$3,shape_factors!M$3)</f>
        <v>-2.6738440860969823E-3</v>
      </c>
      <c r="N56" s="5">
        <f>EnergyLJ($A56,$C$2,$C$4,shape_factors!N$2,$C$3,shape_factors!N$3)</f>
        <v>-8.3160243426968811E-4</v>
      </c>
      <c r="O56" s="5">
        <f>EnergyLJ($A56,$C$2,$C$4,shape_factors!O$2,$C$3,shape_factors!O$3)</f>
        <v>-5.9340844594986495E-4</v>
      </c>
      <c r="P56" s="5">
        <f>EnergyLJ($A56,$C$2,$C$4,shape_factors!P$2,$C$3,shape_factors!P$3)</f>
        <v>-9.1518594946253019E-4</v>
      </c>
      <c r="Q56" s="5">
        <f>EnergyLJ($A56,$C$2,$C$4,shape_factors!Q$2,$C$3,shape_factors!Q$3)</f>
        <v>-1.0363944691910087E-3</v>
      </c>
      <c r="R56" s="5">
        <f>EnergyLJ($A56,$C$2,$C$4,shape_factors!R$2,$C$3,shape_factors!R$3)</f>
        <v>-1.0005531950427846E-2</v>
      </c>
      <c r="S56" s="5">
        <f>EnergyLJ($A56,$C$2,$C$4,shape_factors!S$2,$C$3,shape_factors!S$3)</f>
        <v>-1.6128435271469785E-3</v>
      </c>
      <c r="T56" s="5">
        <f>EnergyLJ($A56,$C$2,$C$4,shape_factors!T$2,$C$3,shape_factors!T$3)</f>
        <v>-4.7025336439808382E-4</v>
      </c>
      <c r="U56" s="5">
        <f>EnergyLJ($A56,$C$2,$C$4,shape_factors!U$2,$C$3,shape_factors!U$3)</f>
        <v>-9.722167901687959E-3</v>
      </c>
    </row>
    <row r="57" spans="1:21" x14ac:dyDescent="0.25">
      <c r="A57">
        <v>12</v>
      </c>
      <c r="B57" s="5">
        <f>EnergyLJ($A57,$C$2,$C$4,shape_factors!B$2,$C$3,shape_factors!B$3)</f>
        <v>-0.10360383890413132</v>
      </c>
      <c r="C57" s="5">
        <f>EnergyLJ($A57,$C$2,$C$4,shape_factors!C$2,$C$3,shape_factors!C$3)</f>
        <v>-1.1205317932097456E-2</v>
      </c>
      <c r="D57" s="5">
        <f>EnergyLJ($A57,$C$2,$C$4,shape_factors!D$2,$C$3,shape_factors!D$3)</f>
        <v>-0.16293118160142878</v>
      </c>
      <c r="E57" s="5">
        <f>EnergyLJ($A57,$C$2,$C$4,shape_factors!E$2,$C$3,shape_factors!E$3)</f>
        <v>-3.0744502190200737E-2</v>
      </c>
      <c r="F57" s="5">
        <f>EnergyLJ($A57,$C$2,$C$4,shape_factors!F$2,$C$3,shape_factors!F$3)</f>
        <v>-8.5920239747110348E-3</v>
      </c>
      <c r="G57" s="5">
        <f>EnergyLJ($A57,$C$2,$C$4,shape_factors!G$2,$C$3,shape_factors!G$3)</f>
        <v>-1.4515756607639339E-2</v>
      </c>
      <c r="H57" s="5">
        <f>EnergyLJ($A57,$C$2,$C$4,shape_factors!H$2,$C$3,shape_factors!H$3)</f>
        <v>-0.98288819533877037</v>
      </c>
      <c r="I57" s="5">
        <f>EnergyLJ($A57,$C$2,$C$4,shape_factors!I$2,$C$3,shape_factors!I$3)</f>
        <v>-4.4574481612629446E-2</v>
      </c>
      <c r="J57" s="5">
        <f>EnergyLJ($A57,$C$2,$C$4,shape_factors!J$2,$C$3,shape_factors!J$3)</f>
        <v>-2.1827362105711805E-3</v>
      </c>
      <c r="K57" s="5">
        <f>EnergyLJ($A57,$C$2,$C$4,shape_factors!K$2,$C$3,shape_factors!K$3)</f>
        <v>-3.3668363452771639E-3</v>
      </c>
      <c r="L57" s="5">
        <f>EnergyLJ($A57,$C$2,$C$4,shape_factors!L$2,$C$3,shape_factors!L$3)</f>
        <v>-6.4998842995317562E-3</v>
      </c>
      <c r="M57" s="5">
        <f>EnergyLJ($A57,$C$2,$C$4,shape_factors!M$2,$C$3,shape_factors!M$3)</f>
        <v>-2.4174793415709336E-3</v>
      </c>
      <c r="N57" s="5">
        <f>EnergyLJ($A57,$C$2,$C$4,shape_factors!N$2,$C$3,shape_factors!N$3)</f>
        <v>-7.5184306050129232E-4</v>
      </c>
      <c r="O57" s="5">
        <f>EnergyLJ($A57,$C$2,$C$4,shape_factors!O$2,$C$3,shape_factors!O$3)</f>
        <v>-5.3649193415429856E-4</v>
      </c>
      <c r="P57" s="5">
        <f>EnergyLJ($A57,$C$2,$C$4,shape_factors!P$2,$C$3,shape_factors!P$3)</f>
        <v>-8.2741135927874175E-4</v>
      </c>
      <c r="Q57" s="5">
        <f>EnergyLJ($A57,$C$2,$C$4,shape_factors!Q$2,$C$3,shape_factors!Q$3)</f>
        <v>-9.3699705152714948E-4</v>
      </c>
      <c r="R57" s="5">
        <f>EnergyLJ($A57,$C$2,$C$4,shape_factors!R$2,$C$3,shape_factors!R$3)</f>
        <v>-9.0474830138034933E-3</v>
      </c>
      <c r="S57" s="5">
        <f>EnergyLJ($A57,$C$2,$C$4,shape_factors!S$2,$C$3,shape_factors!S$3)</f>
        <v>-1.4581766613281824E-3</v>
      </c>
      <c r="T57" s="5">
        <f>EnergyLJ($A57,$C$2,$C$4,shape_factors!T$2,$C$3,shape_factors!T$3)</f>
        <v>-4.2514822148750838E-4</v>
      </c>
      <c r="U57" s="5">
        <f>EnergyLJ($A57,$C$2,$C$4,shape_factors!U$2,$C$3,shape_factors!U$3)</f>
        <v>-8.7912038403807902E-3</v>
      </c>
    </row>
    <row r="58" spans="1:21" x14ac:dyDescent="0.25">
      <c r="A58">
        <v>12.2</v>
      </c>
      <c r="B58" s="5">
        <f>EnergyLJ($A58,$C$2,$C$4,shape_factors!B$2,$C$3,shape_factors!B$3)</f>
        <v>-9.4011914739630914E-2</v>
      </c>
      <c r="C58" s="5">
        <f>EnergyLJ($A58,$C$2,$C$4,shape_factors!C$2,$C$3,shape_factors!C$3)</f>
        <v>-1.0149490424727499E-2</v>
      </c>
      <c r="D58" s="5">
        <f>EnergyLJ($A58,$C$2,$C$4,shape_factors!D$2,$C$3,shape_factors!D$3)</f>
        <v>-0.14802984812430053</v>
      </c>
      <c r="E58" s="5">
        <f>EnergyLJ($A58,$C$2,$C$4,shape_factors!E$2,$C$3,shape_factors!E$3)</f>
        <v>-2.7857947451564467E-2</v>
      </c>
      <c r="F58" s="5">
        <f>EnergyLJ($A58,$C$2,$C$4,shape_factors!F$2,$C$3,shape_factors!F$3)</f>
        <v>-7.7820516577041246E-3</v>
      </c>
      <c r="G58" s="5">
        <f>EnergyLJ($A58,$C$2,$C$4,shape_factors!G$2,$C$3,shape_factors!G$3)</f>
        <v>-1.3148824732491078E-2</v>
      </c>
      <c r="H58" s="5">
        <f>EnergyLJ($A58,$C$2,$C$4,shape_factors!H$2,$C$3,shape_factors!H$3)</f>
        <v>-0.92046747822580244</v>
      </c>
      <c r="I58" s="5">
        <f>EnergyLJ($A58,$C$2,$C$4,shape_factors!I$2,$C$3,shape_factors!I$3)</f>
        <v>-4.0400230873980918E-2</v>
      </c>
      <c r="J58" s="5">
        <f>EnergyLJ($A58,$C$2,$C$4,shape_factors!J$2,$C$3,shape_factors!J$3)</f>
        <v>-1.9767307531191555E-3</v>
      </c>
      <c r="K58" s="5">
        <f>EnergyLJ($A58,$C$2,$C$4,shape_factors!K$2,$C$3,shape_factors!K$3)</f>
        <v>-3.0491439424525702E-3</v>
      </c>
      <c r="L58" s="5">
        <f>EnergyLJ($A58,$C$2,$C$4,shape_factors!L$2,$C$3,shape_factors!L$3)</f>
        <v>-5.8869064429000013E-3</v>
      </c>
      <c r="M58" s="5">
        <f>EnergyLJ($A58,$C$2,$C$4,shape_factors!M$2,$C$3,shape_factors!M$3)</f>
        <v>-2.1893285998149932E-3</v>
      </c>
      <c r="N58" s="5">
        <f>EnergyLJ($A58,$C$2,$C$4,shape_factors!N$2,$C$3,shape_factors!N$3)</f>
        <v>-6.8086624899128313E-4</v>
      </c>
      <c r="O58" s="5">
        <f>EnergyLJ($A58,$C$2,$C$4,shape_factors!O$2,$C$3,shape_factors!O$3)</f>
        <v>-4.8584311759333878E-4</v>
      </c>
      <c r="P58" s="5">
        <f>EnergyLJ($A58,$C$2,$C$4,shape_factors!P$2,$C$3,shape_factors!P$3)</f>
        <v>-7.4930167766116553E-4</v>
      </c>
      <c r="Q58" s="5">
        <f>EnergyLJ($A58,$C$2,$C$4,shape_factors!Q$2,$C$3,shape_factors!Q$3)</f>
        <v>-8.485439523233647E-4</v>
      </c>
      <c r="R58" s="5">
        <f>EnergyLJ($A58,$C$2,$C$4,shape_factors!R$2,$C$3,shape_factors!R$3)</f>
        <v>-8.1946448556170191E-3</v>
      </c>
      <c r="S58" s="5">
        <f>EnergyLJ($A58,$C$2,$C$4,shape_factors!S$2,$C$3,shape_factors!S$3)</f>
        <v>-1.3205367906720129E-3</v>
      </c>
      <c r="T58" s="5">
        <f>EnergyLJ($A58,$C$2,$C$4,shape_factors!T$2,$C$3,shape_factors!T$3)</f>
        <v>-3.850102736189345E-4</v>
      </c>
      <c r="U58" s="5">
        <f>EnergyLJ($A58,$C$2,$C$4,shape_factors!U$2,$C$3,shape_factors!U$3)</f>
        <v>-7.9624846979870108E-3</v>
      </c>
    </row>
    <row r="59" spans="1:21" x14ac:dyDescent="0.25">
      <c r="A59">
        <v>12.4</v>
      </c>
      <c r="B59" s="5">
        <f>EnergyLJ($A59,$C$2,$C$4,shape_factors!B$2,$C$3,shape_factors!B$3)</f>
        <v>-8.5426687498485698E-2</v>
      </c>
      <c r="C59" s="5">
        <f>EnergyLJ($A59,$C$2,$C$4,shape_factors!C$2,$C$3,shape_factors!C$3)</f>
        <v>-9.2077756468593539E-3</v>
      </c>
      <c r="D59" s="5">
        <f>EnergyLJ($A59,$C$2,$C$4,shape_factors!D$2,$C$3,shape_factors!D$3)</f>
        <v>-0.13465958371623299</v>
      </c>
      <c r="E59" s="5">
        <f>EnergyLJ($A59,$C$2,$C$4,shape_factors!E$2,$C$3,shape_factors!E$3)</f>
        <v>-2.5281542592607047E-2</v>
      </c>
      <c r="F59" s="5">
        <f>EnergyLJ($A59,$C$2,$C$4,shape_factors!F$2,$C$3,shape_factors!F$3)</f>
        <v>-7.0596879426371075E-3</v>
      </c>
      <c r="G59" s="5">
        <f>EnergyLJ($A59,$C$2,$C$4,shape_factors!G$2,$C$3,shape_factors!G$3)</f>
        <v>-1.1929484310754392E-2</v>
      </c>
      <c r="H59" s="5">
        <f>EnergyLJ($A59,$C$2,$C$4,shape_factors!H$2,$C$3,shape_factors!H$3)</f>
        <v>-0.85947361643793485</v>
      </c>
      <c r="I59" s="5">
        <f>EnergyLJ($A59,$C$2,$C$4,shape_factors!I$2,$C$3,shape_factors!I$3)</f>
        <v>-3.6672582220737111E-2</v>
      </c>
      <c r="J59" s="5">
        <f>EnergyLJ($A59,$C$2,$C$4,shape_factors!J$2,$C$3,shape_factors!J$3)</f>
        <v>-1.7930493280930654E-3</v>
      </c>
      <c r="K59" s="5">
        <f>EnergyLJ($A59,$C$2,$C$4,shape_factors!K$2,$C$3,shape_factors!K$3)</f>
        <v>-2.7658667411979711E-3</v>
      </c>
      <c r="L59" s="5">
        <f>EnergyLJ($A59,$C$2,$C$4,shape_factors!L$2,$C$3,shape_factors!L$3)</f>
        <v>-5.3402706530517726E-3</v>
      </c>
      <c r="M59" s="5">
        <f>EnergyLJ($A59,$C$2,$C$4,shape_factors!M$2,$C$3,shape_factors!M$3)</f>
        <v>-1.9858999946833142E-3</v>
      </c>
      <c r="N59" s="5">
        <f>EnergyLJ($A59,$C$2,$C$4,shape_factors!N$2,$C$3,shape_factors!N$3)</f>
        <v>-6.1758414018377617E-4</v>
      </c>
      <c r="O59" s="5">
        <f>EnergyLJ($A59,$C$2,$C$4,shape_factors!O$2,$C$3,shape_factors!O$3)</f>
        <v>-4.4068556013171587E-4</v>
      </c>
      <c r="P59" s="5">
        <f>EnergyLJ($A59,$C$2,$C$4,shape_factors!P$2,$C$3,shape_factors!P$3)</f>
        <v>-6.7965979725241891E-4</v>
      </c>
      <c r="Q59" s="5">
        <f>EnergyLJ($A59,$C$2,$C$4,shape_factors!Q$2,$C$3,shape_factors!Q$3)</f>
        <v>-7.6967966849281048E-4</v>
      </c>
      <c r="R59" s="5">
        <f>EnergyLJ($A59,$C$2,$C$4,shape_factors!R$2,$C$3,shape_factors!R$3)</f>
        <v>-7.434039376746868E-3</v>
      </c>
      <c r="S59" s="5">
        <f>EnergyLJ($A59,$C$2,$C$4,shape_factors!S$2,$C$3,shape_factors!S$3)</f>
        <v>-1.1978155896670308E-3</v>
      </c>
      <c r="T59" s="5">
        <f>EnergyLJ($A59,$C$2,$C$4,shape_factors!T$2,$C$3,shape_factors!T$3)</f>
        <v>-3.4922415549960796E-4</v>
      </c>
      <c r="U59" s="5">
        <f>EnergyLJ($A59,$C$2,$C$4,shape_factors!U$2,$C$3,shape_factors!U$3)</f>
        <v>-7.2233965927834118E-3</v>
      </c>
    </row>
    <row r="60" spans="1:21" x14ac:dyDescent="0.25">
      <c r="A60">
        <v>12.6</v>
      </c>
      <c r="B60" s="5">
        <f>EnergyLJ($A60,$C$2,$C$4,shape_factors!B$2,$C$3,shape_factors!B$3)</f>
        <v>-7.7731586558750135E-2</v>
      </c>
      <c r="C60" s="5">
        <f>EnergyLJ($A60,$C$2,$C$4,shape_factors!C$2,$C$3,shape_factors!C$3)</f>
        <v>-8.3663197453268372E-3</v>
      </c>
      <c r="D60" s="5">
        <f>EnergyLJ($A60,$C$2,$C$4,shape_factors!D$2,$C$3,shape_factors!D$3)</f>
        <v>-0.12264947131832882</v>
      </c>
      <c r="E60" s="5">
        <f>EnergyLJ($A60,$C$2,$C$4,shape_factors!E$2,$C$3,shape_factors!E$3)</f>
        <v>-2.2977977734777465E-2</v>
      </c>
      <c r="F60" s="5">
        <f>EnergyLJ($A60,$C$2,$C$4,shape_factors!F$2,$C$3,shape_factors!F$3)</f>
        <v>-6.4142839706360505E-3</v>
      </c>
      <c r="G60" s="5">
        <f>EnergyLJ($A60,$C$2,$C$4,shape_factors!G$2,$C$3,shape_factors!G$3)</f>
        <v>-1.0839844332775598E-2</v>
      </c>
      <c r="H60" s="5">
        <f>EnergyLJ($A60,$C$2,$C$4,shape_factors!H$2,$C$3,shape_factors!H$3)</f>
        <v>-0.80073515633515446</v>
      </c>
      <c r="I60" s="5">
        <f>EnergyLJ($A60,$C$2,$C$4,shape_factors!I$2,$C$3,shape_factors!I$3)</f>
        <v>-3.3338172147930861E-2</v>
      </c>
      <c r="J60" s="5">
        <f>EnergyLJ($A60,$C$2,$C$4,shape_factors!J$2,$C$3,shape_factors!J$3)</f>
        <v>-1.6289705423095662E-3</v>
      </c>
      <c r="K60" s="5">
        <f>EnergyLJ($A60,$C$2,$C$4,shape_factors!K$2,$C$3,shape_factors!K$3)</f>
        <v>-2.512811623454275E-3</v>
      </c>
      <c r="L60" s="5">
        <f>EnergyLJ($A60,$C$2,$C$4,shape_factors!L$2,$C$3,shape_factors!L$3)</f>
        <v>-4.851905335605782E-3</v>
      </c>
      <c r="M60" s="5">
        <f>EnergyLJ($A60,$C$2,$C$4,shape_factors!M$2,$C$3,shape_factors!M$3)</f>
        <v>-1.8041801126756688E-3</v>
      </c>
      <c r="N60" s="5">
        <f>EnergyLJ($A60,$C$2,$C$4,shape_factors!N$2,$C$3,shape_factors!N$3)</f>
        <v>-5.6105811388199695E-4</v>
      </c>
      <c r="O60" s="5">
        <f>EnergyLJ($A60,$C$2,$C$4,shape_factors!O$2,$C$3,shape_factors!O$3)</f>
        <v>-4.0034935871072008E-4</v>
      </c>
      <c r="P60" s="5">
        <f>EnergyLJ($A60,$C$2,$C$4,shape_factors!P$2,$C$3,shape_factors!P$3)</f>
        <v>-6.1745282829673014E-4</v>
      </c>
      <c r="Q60" s="5">
        <f>EnergyLJ($A60,$C$2,$C$4,shape_factors!Q$2,$C$3,shape_factors!Q$3)</f>
        <v>-6.9923462819847649E-4</v>
      </c>
      <c r="R60" s="5">
        <f>EnergyLJ($A60,$C$2,$C$4,shape_factors!R$2,$C$3,shape_factors!R$3)</f>
        <v>-6.7544579928861892E-3</v>
      </c>
      <c r="S60" s="5">
        <f>EnergyLJ($A60,$C$2,$C$4,shape_factors!S$2,$C$3,shape_factors!S$3)</f>
        <v>-1.0881938168942112E-3</v>
      </c>
      <c r="T60" s="5">
        <f>EnergyLJ($A60,$C$2,$C$4,shape_factors!T$2,$C$3,shape_factors!T$3)</f>
        <v>-3.1725894159116485E-4</v>
      </c>
      <c r="U60" s="5">
        <f>EnergyLJ($A60,$C$2,$C$4,shape_factors!U$2,$C$3,shape_factors!U$3)</f>
        <v>-6.5630458293514616E-3</v>
      </c>
    </row>
    <row r="61" spans="1:21" x14ac:dyDescent="0.25">
      <c r="A61">
        <v>12.8</v>
      </c>
      <c r="B61" s="5">
        <f>EnergyLJ($A61,$C$2,$C$4,shape_factors!B$2,$C$3,shape_factors!B$3)</f>
        <v>-7.0824552583902023E-2</v>
      </c>
      <c r="C61" s="5">
        <f>EnergyLJ($A61,$C$2,$C$4,shape_factors!C$2,$C$3,shape_factors!C$3)</f>
        <v>-7.613127862221898E-3</v>
      </c>
      <c r="D61" s="5">
        <f>EnergyLJ($A61,$C$2,$C$4,shape_factors!D$2,$C$3,shape_factors!D$3)</f>
        <v>-0.11184853239850726</v>
      </c>
      <c r="E61" s="5">
        <f>EnergyLJ($A61,$C$2,$C$4,shape_factors!E$2,$C$3,shape_factors!E$3)</f>
        <v>-2.0914880611380651E-2</v>
      </c>
      <c r="F61" s="5">
        <f>EnergyLJ($A61,$C$2,$C$4,shape_factors!F$2,$C$3,shape_factors!F$3)</f>
        <v>-5.8366223631219757E-3</v>
      </c>
      <c r="G61" s="5">
        <f>EnergyLJ($A61,$C$2,$C$4,shape_factors!G$2,$C$3,shape_factors!G$3)</f>
        <v>-9.8644090424504557E-3</v>
      </c>
      <c r="H61" s="5">
        <f>EnergyLJ($A61,$C$2,$C$4,shape_factors!H$2,$C$3,shape_factors!H$3)</f>
        <v>-0.74476886190263047</v>
      </c>
      <c r="I61" s="5">
        <f>EnergyLJ($A61,$C$2,$C$4,shape_factors!I$2,$C$3,shape_factors!I$3)</f>
        <v>-3.0350626339820858E-2</v>
      </c>
      <c r="J61" s="5">
        <f>EnergyLJ($A61,$C$2,$C$4,shape_factors!J$2,$C$3,shape_factors!J$3)</f>
        <v>-1.4821404075412285E-3</v>
      </c>
      <c r="K61" s="5">
        <f>EnergyLJ($A61,$C$2,$C$4,shape_factors!K$2,$C$3,shape_factors!K$3)</f>
        <v>-2.2863511215136675E-3</v>
      </c>
      <c r="L61" s="5">
        <f>EnergyLJ($A61,$C$2,$C$4,shape_factors!L$2,$C$3,shape_factors!L$3)</f>
        <v>-4.4148254641466992E-3</v>
      </c>
      <c r="M61" s="5">
        <f>EnergyLJ($A61,$C$2,$C$4,shape_factors!M$2,$C$3,shape_factors!M$3)</f>
        <v>-1.6415623062552046E-3</v>
      </c>
      <c r="N61" s="5">
        <f>EnergyLJ($A61,$C$2,$C$4,shape_factors!N$2,$C$3,shape_factors!N$3)</f>
        <v>-5.1047638982381998E-4</v>
      </c>
      <c r="O61" s="5">
        <f>EnergyLJ($A61,$C$2,$C$4,shape_factors!O$2,$C$3,shape_factors!O$3)</f>
        <v>-3.6425515016388801E-4</v>
      </c>
      <c r="P61" s="5">
        <f>EnergyLJ($A61,$C$2,$C$4,shape_factors!P$2,$C$3,shape_factors!P$3)</f>
        <v>-5.6178745305509432E-4</v>
      </c>
      <c r="Q61" s="5">
        <f>EnergyLJ($A61,$C$2,$C$4,shape_factors!Q$2,$C$3,shape_factors!Q$3)</f>
        <v>-6.3619728968453181E-4</v>
      </c>
      <c r="R61" s="5">
        <f>EnergyLJ($A61,$C$2,$C$4,shape_factors!R$2,$C$3,shape_factors!R$3)</f>
        <v>-6.1461983749003368E-3</v>
      </c>
      <c r="S61" s="5">
        <f>EnergyLJ($A61,$C$2,$C$4,shape_factors!S$2,$C$3,shape_factors!S$3)</f>
        <v>-9.9009795807181167E-4</v>
      </c>
      <c r="T61" s="5">
        <f>EnergyLJ($A61,$C$2,$C$4,shape_factors!T$2,$C$3,shape_factors!T$3)</f>
        <v>-2.8865546820334515E-4</v>
      </c>
      <c r="U61" s="5">
        <f>EnergyLJ($A61,$C$2,$C$4,shape_factors!U$2,$C$3,shape_factors!U$3)</f>
        <v>-5.9720029066372381E-3</v>
      </c>
    </row>
    <row r="62" spans="1:21" x14ac:dyDescent="0.25">
      <c r="A62">
        <v>13</v>
      </c>
      <c r="B62" s="5">
        <f>EnergyLJ($A62,$C$2,$C$4,shape_factors!B$2,$C$3,shape_factors!B$3)</f>
        <v>-6.4616152925767681E-2</v>
      </c>
      <c r="C62" s="5">
        <f>EnergyLJ($A62,$C$2,$C$4,shape_factors!C$2,$C$3,shape_factors!C$3)</f>
        <v>-6.9377919878147332E-3</v>
      </c>
      <c r="D62" s="5">
        <f>EnergyLJ($A62,$C$2,$C$4,shape_factors!D$2,$C$3,shape_factors!D$3)</f>
        <v>-0.10212344333141041</v>
      </c>
      <c r="E62" s="5">
        <f>EnergyLJ($A62,$C$2,$C$4,shape_factors!E$2,$C$3,shape_factors!E$3)</f>
        <v>-1.9064108326995212E-2</v>
      </c>
      <c r="F62" s="5">
        <f>EnergyLJ($A62,$C$2,$C$4,shape_factors!F$2,$C$3,shape_factors!F$3)</f>
        <v>-5.3187071198001826E-3</v>
      </c>
      <c r="G62" s="5">
        <f>EnergyLJ($A62,$C$2,$C$4,shape_factors!G$2,$C$3,shape_factors!G$3)</f>
        <v>-8.9897284450288634E-3</v>
      </c>
      <c r="H62" s="5">
        <f>EnergyLJ($A62,$C$2,$C$4,shape_factors!H$2,$C$3,shape_factors!H$3)</f>
        <v>-0.69186789159280437</v>
      </c>
      <c r="I62" s="5">
        <f>EnergyLJ($A62,$C$2,$C$4,shape_factors!I$2,$C$3,shape_factors!I$3)</f>
        <v>-2.7669572842720206E-2</v>
      </c>
      <c r="J62" s="5">
        <f>EnergyLJ($A62,$C$2,$C$4,shape_factors!J$2,$C$3,shape_factors!J$3)</f>
        <v>-1.3505180811942419E-3</v>
      </c>
      <c r="K62" s="5">
        <f>EnergyLJ($A62,$C$2,$C$4,shape_factors!K$2,$C$3,shape_factors!K$3)</f>
        <v>-2.0833399754147542E-3</v>
      </c>
      <c r="L62" s="5">
        <f>EnergyLJ($A62,$C$2,$C$4,shape_factors!L$2,$C$3,shape_factors!L$3)</f>
        <v>-4.0229727763039253E-3</v>
      </c>
      <c r="M62" s="5">
        <f>EnergyLJ($A62,$C$2,$C$4,shape_factors!M$2,$C$3,shape_factors!M$3)</f>
        <v>-1.4957866349816582E-3</v>
      </c>
      <c r="N62" s="5">
        <f>EnergyLJ($A62,$C$2,$C$4,shape_factors!N$2,$C$3,shape_factors!N$3)</f>
        <v>-4.6513527025882111E-4</v>
      </c>
      <c r="O62" s="5">
        <f>EnergyLJ($A62,$C$2,$C$4,shape_factors!O$2,$C$3,shape_factors!O$3)</f>
        <v>-3.3190071922307665E-4</v>
      </c>
      <c r="P62" s="5">
        <f>EnergyLJ($A62,$C$2,$C$4,shape_factors!P$2,$C$3,shape_factors!P$3)</f>
        <v>-5.1188928699895993E-4</v>
      </c>
      <c r="Q62" s="5">
        <f>EnergyLJ($A62,$C$2,$C$4,shape_factors!Q$2,$C$3,shape_factors!Q$3)</f>
        <v>-5.7969077545257748E-4</v>
      </c>
      <c r="R62" s="5">
        <f>EnergyLJ($A62,$C$2,$C$4,shape_factors!R$2,$C$3,shape_factors!R$3)</f>
        <v>-5.6008434706742334E-3</v>
      </c>
      <c r="S62" s="5">
        <f>EnergyLJ($A62,$C$2,$C$4,shape_factors!S$2,$C$3,shape_factors!S$3)</f>
        <v>-9.0216391150768909E-4</v>
      </c>
      <c r="T62" s="5">
        <f>EnergyLJ($A62,$C$2,$C$4,shape_factors!T$2,$C$3,shape_factors!T$3)</f>
        <v>-2.6301571789746241E-4</v>
      </c>
      <c r="U62" s="5">
        <f>EnergyLJ($A62,$C$2,$C$4,shape_factors!U$2,$C$3,shape_factors!U$3)</f>
        <v>-5.4420876563739803E-3</v>
      </c>
    </row>
    <row r="63" spans="1:21" x14ac:dyDescent="0.25">
      <c r="A63">
        <v>13.2</v>
      </c>
      <c r="B63" s="5">
        <f>EnergyLJ($A63,$C$2,$C$4,shape_factors!B$2,$C$3,shape_factors!B$3)</f>
        <v>-5.9027941128639919E-2</v>
      </c>
      <c r="C63" s="5">
        <f>EnergyLJ($A63,$C$2,$C$4,shape_factors!C$2,$C$3,shape_factors!C$3)</f>
        <v>-6.3312618100533156E-3</v>
      </c>
      <c r="D63" s="5">
        <f>EnergyLJ($A63,$C$2,$C$4,shape_factors!D$2,$C$3,shape_factors!D$3)</f>
        <v>-9.3356470434998479E-2</v>
      </c>
      <c r="E63" s="5">
        <f>EnergyLJ($A63,$C$2,$C$4,shape_factors!E$2,$C$3,shape_factors!E$3)</f>
        <v>-1.7401147745525491E-2</v>
      </c>
      <c r="F63" s="5">
        <f>EnergyLJ($A63,$C$2,$C$4,shape_factors!F$2,$C$3,shape_factors!F$3)</f>
        <v>-4.8535868317238469E-3</v>
      </c>
      <c r="G63" s="5">
        <f>EnergyLJ($A63,$C$2,$C$4,shape_factors!G$2,$C$3,shape_factors!G$3)</f>
        <v>-8.2041037716802205E-3</v>
      </c>
      <c r="H63" s="5">
        <f>EnergyLJ($A63,$C$2,$C$4,shape_factors!H$2,$C$3,shape_factors!H$3)</f>
        <v>-0.64216652786057937</v>
      </c>
      <c r="I63" s="5">
        <f>EnergyLJ($A63,$C$2,$C$4,shape_factors!I$2,$C$3,shape_factors!I$3)</f>
        <v>-2.5259803013408914E-2</v>
      </c>
      <c r="J63" s="5">
        <f>EnergyLJ($A63,$C$2,$C$4,shape_factors!J$2,$C$3,shape_factors!J$3)</f>
        <v>-1.2323302852953225E-3</v>
      </c>
      <c r="K63" s="5">
        <f>EnergyLJ($A63,$C$2,$C$4,shape_factors!K$2,$C$3,shape_factors!K$3)</f>
        <v>-1.901045015387426E-3</v>
      </c>
      <c r="L63" s="5">
        <f>EnergyLJ($A63,$C$2,$C$4,shape_factors!L$2,$C$3,shape_factors!L$3)</f>
        <v>-3.6710813819826969E-3</v>
      </c>
      <c r="M63" s="5">
        <f>EnergyLJ($A63,$C$2,$C$4,shape_factors!M$2,$C$3,shape_factors!M$3)</f>
        <v>-1.3648894095706779E-3</v>
      </c>
      <c r="N63" s="5">
        <f>EnergyLJ($A63,$C$2,$C$4,shape_factors!N$2,$C$3,shape_factors!N$3)</f>
        <v>-4.2442338823962393E-4</v>
      </c>
      <c r="O63" s="5">
        <f>EnergyLJ($A63,$C$2,$C$4,shape_factors!O$2,$C$3,shape_factors!O$3)</f>
        <v>-3.0284975307707612E-4</v>
      </c>
      <c r="P63" s="5">
        <f>EnergyLJ($A63,$C$2,$C$4,shape_factors!P$2,$C$3,shape_factors!P$3)</f>
        <v>-4.6708554686790107E-4</v>
      </c>
      <c r="Q63" s="5">
        <f>EnergyLJ($A63,$C$2,$C$4,shape_factors!Q$2,$C$3,shape_factors!Q$3)</f>
        <v>-5.2895324970477788E-4</v>
      </c>
      <c r="R63" s="5">
        <f>EnergyLJ($A63,$C$2,$C$4,shape_factors!R$2,$C$3,shape_factors!R$3)</f>
        <v>-5.1110755445837978E-3</v>
      </c>
      <c r="S63" s="5">
        <f>EnergyLJ($A63,$C$2,$C$4,shape_factors!S$2,$C$3,shape_factors!S$3)</f>
        <v>-8.2320648727688675E-4</v>
      </c>
      <c r="T63" s="5">
        <f>EnergyLJ($A63,$C$2,$C$4,shape_factors!T$2,$C$3,shape_factors!T$3)</f>
        <v>-2.3999390567044018E-4</v>
      </c>
      <c r="U63" s="5">
        <f>EnergyLJ($A63,$C$2,$C$4,shape_factors!U$2,$C$3,shape_factors!U$3)</f>
        <v>-4.9661884419213717E-3</v>
      </c>
    </row>
    <row r="64" spans="1:21" x14ac:dyDescent="0.25">
      <c r="A64">
        <v>13.4</v>
      </c>
      <c r="B64" s="5">
        <f>EnergyLJ($A64,$C$2,$C$4,shape_factors!B$2,$C$3,shape_factors!B$3)</f>
        <v>-5.3991031933330498E-2</v>
      </c>
      <c r="C64" s="5">
        <f>EnergyLJ($A64,$C$2,$C$4,shape_factors!C$2,$C$3,shape_factors!C$3)</f>
        <v>-5.7856512978485247E-3</v>
      </c>
      <c r="D64" s="5">
        <f>EnergyLJ($A64,$C$2,$C$4,shape_factors!D$2,$C$3,shape_factors!D$3)</f>
        <v>-8.544362019483788E-2</v>
      </c>
      <c r="E64" s="5">
        <f>EnergyLJ($A64,$C$2,$C$4,shape_factors!E$2,$C$3,shape_factors!E$3)</f>
        <v>-1.5904606926910092E-2</v>
      </c>
      <c r="F64" s="5">
        <f>EnergyLJ($A64,$C$2,$C$4,shape_factors!F$2,$C$3,shape_factors!F$3)</f>
        <v>-4.4352055535034612E-3</v>
      </c>
      <c r="G64" s="5">
        <f>EnergyLJ($A64,$C$2,$C$4,shape_factors!G$2,$C$3,shape_factors!G$3)</f>
        <v>-7.4973386788856639E-3</v>
      </c>
      <c r="H64" s="5">
        <f>EnergyLJ($A64,$C$2,$C$4,shape_factors!H$2,$C$3,shape_factors!H$3)</f>
        <v>-0.59568766062543532</v>
      </c>
      <c r="I64" s="5">
        <f>EnergyLJ($A64,$C$2,$C$4,shape_factors!I$2,$C$3,shape_factors!I$3)</f>
        <v>-2.309055719656937E-2</v>
      </c>
      <c r="J64" s="5">
        <f>EnergyLJ($A64,$C$2,$C$4,shape_factors!J$2,$C$3,shape_factors!J$3)</f>
        <v>-1.126032912959348E-3</v>
      </c>
      <c r="K64" s="5">
        <f>EnergyLJ($A64,$C$2,$C$4,shape_factors!K$2,$C$3,shape_factors!K$3)</f>
        <v>-1.7370860851198581E-3</v>
      </c>
      <c r="L64" s="5">
        <f>EnergyLJ($A64,$C$2,$C$4,shape_factors!L$2,$C$3,shape_factors!L$3)</f>
        <v>-3.3545644524603994E-3</v>
      </c>
      <c r="M64" s="5">
        <f>EnergyLJ($A64,$C$2,$C$4,shape_factors!M$2,$C$3,shape_factors!M$3)</f>
        <v>-1.2471606899035494E-3</v>
      </c>
      <c r="N64" s="5">
        <f>EnergyLJ($A64,$C$2,$C$4,shape_factors!N$2,$C$3,shape_factors!N$3)</f>
        <v>-3.8780844397353302E-4</v>
      </c>
      <c r="O64" s="5">
        <f>EnergyLJ($A64,$C$2,$C$4,shape_factors!O$2,$C$3,shape_factors!O$3)</f>
        <v>-2.767223726567404E-4</v>
      </c>
      <c r="P64" s="5">
        <f>EnergyLJ($A64,$C$2,$C$4,shape_factors!P$2,$C$3,shape_factors!P$3)</f>
        <v>-4.2679045614788202E-4</v>
      </c>
      <c r="Q64" s="5">
        <f>EnergyLJ($A64,$C$2,$C$4,shape_factors!Q$2,$C$3,shape_factors!Q$3)</f>
        <v>-4.8332139458590918E-4</v>
      </c>
      <c r="R64" s="5">
        <f>EnergyLJ($A64,$C$2,$C$4,shape_factors!R$2,$C$3,shape_factors!R$3)</f>
        <v>-4.6705192947898606E-3</v>
      </c>
      <c r="S64" s="5">
        <f>EnergyLJ($A64,$C$2,$C$4,shape_factors!S$2,$C$3,shape_factors!S$3)</f>
        <v>-7.5219372011126051E-4</v>
      </c>
      <c r="T64" s="5">
        <f>EnergyLJ($A64,$C$2,$C$4,shape_factors!T$2,$C$3,shape_factors!T$3)</f>
        <v>-2.1928897366525264E-4</v>
      </c>
      <c r="U64" s="5">
        <f>EnergyLJ($A64,$C$2,$C$4,shape_factors!U$2,$C$3,shape_factors!U$3)</f>
        <v>-4.5381096372524915E-3</v>
      </c>
    </row>
    <row r="65" spans="1:21" x14ac:dyDescent="0.25">
      <c r="A65">
        <v>13.6</v>
      </c>
      <c r="B65" s="5">
        <f>EnergyLJ($A65,$C$2,$C$4,shape_factors!B$2,$C$3,shape_factors!B$3)</f>
        <v>-4.9444865178534178E-2</v>
      </c>
      <c r="C65" s="5">
        <f>EnergyLJ($A65,$C$2,$C$4,shape_factors!C$2,$C$3,shape_factors!C$3)</f>
        <v>-5.2940750560483679E-3</v>
      </c>
      <c r="D65" s="5">
        <f>EnergyLJ($A65,$C$2,$C$4,shape_factors!D$2,$C$3,shape_factors!D$3)</f>
        <v>-7.8292993552666168E-2</v>
      </c>
      <c r="E65" s="5">
        <f>EnergyLJ($A65,$C$2,$C$4,shape_factors!E$2,$C$3,shape_factors!E$3)</f>
        <v>-1.4555782990726074E-2</v>
      </c>
      <c r="F65" s="5">
        <f>EnergyLJ($A65,$C$2,$C$4,shape_factors!F$2,$C$3,shape_factors!F$3)</f>
        <v>-4.0582766987025901E-3</v>
      </c>
      <c r="G65" s="5">
        <f>EnergyLJ($A65,$C$2,$C$4,shape_factors!G$2,$C$3,shape_factors!G$3)</f>
        <v>-6.8605285971690957E-3</v>
      </c>
      <c r="H65" s="5">
        <f>EnergyLJ($A65,$C$2,$C$4,shape_factors!H$2,$C$3,shape_factors!H$3)</f>
        <v>-0.55237756123067128</v>
      </c>
      <c r="I65" s="5">
        <f>EnergyLJ($A65,$C$2,$C$4,shape_factors!I$2,$C$3,shape_factors!I$3)</f>
        <v>-2.1134915738533329E-2</v>
      </c>
      <c r="J65" s="5">
        <f>EnergyLJ($A65,$C$2,$C$4,shape_factors!J$2,$C$3,shape_factors!J$3)</f>
        <v>-1.030278604666526E-3</v>
      </c>
      <c r="K65" s="5">
        <f>EnergyLJ($A65,$C$2,$C$4,shape_factors!K$2,$C$3,shape_factors!K$3)</f>
        <v>-1.5893861389675748E-3</v>
      </c>
      <c r="L65" s="5">
        <f>EnergyLJ($A65,$C$2,$C$4,shape_factors!L$2,$C$3,shape_factors!L$3)</f>
        <v>-3.0694184443426889E-3</v>
      </c>
      <c r="M65" s="5">
        <f>EnergyLJ($A65,$C$2,$C$4,shape_factors!M$2,$C$3,shape_factors!M$3)</f>
        <v>-1.1411083899775139E-3</v>
      </c>
      <c r="N65" s="5">
        <f>EnergyLJ($A65,$C$2,$C$4,shape_factors!N$2,$C$3,shape_factors!N$3)</f>
        <v>-3.5482600674589598E-4</v>
      </c>
      <c r="O65" s="5">
        <f>EnergyLJ($A65,$C$2,$C$4,shape_factors!O$2,$C$3,shape_factors!O$3)</f>
        <v>-2.5318713884325681E-4</v>
      </c>
      <c r="P65" s="5">
        <f>EnergyLJ($A65,$C$2,$C$4,shape_factors!P$2,$C$3,shape_factors!P$3)</f>
        <v>-3.9049292319478016E-4</v>
      </c>
      <c r="Q65" s="5">
        <f>EnergyLJ($A65,$C$2,$C$4,shape_factors!Q$2,$C$3,shape_factors!Q$3)</f>
        <v>-4.4221645918439374E-4</v>
      </c>
      <c r="R65" s="5">
        <f>EnergyLJ($A65,$C$2,$C$4,shape_factors!R$2,$C$3,shape_factors!R$3)</f>
        <v>-4.2736091784424234E-3</v>
      </c>
      <c r="S65" s="5">
        <f>EnergyLJ($A65,$C$2,$C$4,shape_factors!S$2,$C$3,shape_factors!S$3)</f>
        <v>-6.8822517952811144E-4</v>
      </c>
      <c r="T65" s="5">
        <f>EnergyLJ($A65,$C$2,$C$4,shape_factors!T$2,$C$3,shape_factors!T$3)</f>
        <v>-2.0063825510613663E-4</v>
      </c>
      <c r="U65" s="5">
        <f>EnergyLJ($A65,$C$2,$C$4,shape_factors!U$2,$C$3,shape_factors!U$3)</f>
        <v>-4.1524426476707687E-3</v>
      </c>
    </row>
    <row r="66" spans="1:21" x14ac:dyDescent="0.25">
      <c r="A66">
        <v>13.8</v>
      </c>
      <c r="B66" s="5">
        <f>EnergyLJ($A66,$C$2,$C$4,shape_factors!B$2,$C$3,shape_factors!B$3)</f>
        <v>-4.5336134429196782E-2</v>
      </c>
      <c r="C66" s="5">
        <f>EnergyLJ($A66,$C$2,$C$4,shape_factors!C$2,$C$3,shape_factors!C$3)</f>
        <v>-4.850509545651094E-3</v>
      </c>
      <c r="D66" s="5">
        <f>EnergyLJ($A66,$C$2,$C$4,shape_factors!D$2,$C$3,shape_factors!D$3)</f>
        <v>-7.1823329070111269E-2</v>
      </c>
      <c r="E66" s="5">
        <f>EnergyLJ($A66,$C$2,$C$4,shape_factors!E$2,$C$3,shape_factors!E$3)</f>
        <v>-1.3338294235151673E-2</v>
      </c>
      <c r="F66" s="5">
        <f>EnergyLJ($A66,$C$2,$C$4,shape_factors!F$2,$C$3,shape_factors!F$3)</f>
        <v>-3.7181761484396583E-3</v>
      </c>
      <c r="G66" s="5">
        <f>EnergyLJ($A66,$C$2,$C$4,shape_factors!G$2,$C$3,shape_factors!G$3)</f>
        <v>-6.2858819757398458E-3</v>
      </c>
      <c r="H66" s="5">
        <f>EnergyLJ($A66,$C$2,$C$4,shape_factors!H$2,$C$3,shape_factors!H$3)</f>
        <v>-0.51213127615099741</v>
      </c>
      <c r="I66" s="5">
        <f>EnergyLJ($A66,$C$2,$C$4,shape_factors!I$2,$C$3,shape_factors!I$3)</f>
        <v>-1.9369279032932962E-2</v>
      </c>
      <c r="J66" s="5">
        <f>EnergyLJ($A66,$C$2,$C$4,shape_factors!J$2,$C$3,shape_factors!J$3)</f>
        <v>-9.4388929677352508E-4</v>
      </c>
      <c r="K66" s="5">
        <f>EnergyLJ($A66,$C$2,$C$4,shape_factors!K$2,$C$3,shape_factors!K$3)</f>
        <v>-1.4561289828002395E-3</v>
      </c>
      <c r="L66" s="5">
        <f>EnergyLJ($A66,$C$2,$C$4,shape_factors!L$2,$C$3,shape_factors!L$3)</f>
        <v>-2.8121419472214469E-3</v>
      </c>
      <c r="M66" s="5">
        <f>EnergyLJ($A66,$C$2,$C$4,shape_factors!M$2,$C$3,shape_factors!M$3)</f>
        <v>-1.0454278861374783E-3</v>
      </c>
      <c r="N66" s="5">
        <f>EnergyLJ($A66,$C$2,$C$4,shape_factors!N$2,$C$3,shape_factors!N$3)</f>
        <v>-3.2507003652521753E-4</v>
      </c>
      <c r="O66" s="5">
        <f>EnergyLJ($A66,$C$2,$C$4,shape_factors!O$2,$C$3,shape_factors!O$3)</f>
        <v>-2.31954286538991E-4</v>
      </c>
      <c r="P66" s="5">
        <f>EnergyLJ($A66,$C$2,$C$4,shape_factors!P$2,$C$3,shape_factors!P$3)</f>
        <v>-3.5774611147970696E-4</v>
      </c>
      <c r="Q66" s="5">
        <f>EnergyLJ($A66,$C$2,$C$4,shape_factors!Q$2,$C$3,shape_factors!Q$3)</f>
        <v>-4.0513245058785988E-4</v>
      </c>
      <c r="R66" s="5">
        <f>EnergyLJ($A66,$C$2,$C$4,shape_factors!R$2,$C$3,shape_factors!R$3)</f>
        <v>-3.9154769416160874E-3</v>
      </c>
      <c r="S66" s="5">
        <f>EnergyLJ($A66,$C$2,$C$4,shape_factors!S$2,$C$3,shape_factors!S$3)</f>
        <v>-6.3051360853244207E-4</v>
      </c>
      <c r="T66" s="5">
        <f>EnergyLJ($A66,$C$2,$C$4,shape_factors!T$2,$C$3,shape_factors!T$3)</f>
        <v>-1.8381211157300498E-4</v>
      </c>
      <c r="U66" s="5">
        <f>EnergyLJ($A66,$C$2,$C$4,shape_factors!U$2,$C$3,shape_factors!U$3)</f>
        <v>-3.8044565776786752E-3</v>
      </c>
    </row>
    <row r="67" spans="1:21" x14ac:dyDescent="0.25">
      <c r="A67">
        <v>14</v>
      </c>
      <c r="B67" s="5">
        <f>EnergyLJ($A67,$C$2,$C$4,shape_factors!B$2,$C$3,shape_factors!B$3)</f>
        <v>-4.1617858721942604E-2</v>
      </c>
      <c r="C67" s="5">
        <f>EnergyLJ($A67,$C$2,$C$4,shape_factors!C$2,$C$3,shape_factors!C$3)</f>
        <v>-4.4496751215972368E-3</v>
      </c>
      <c r="D67" s="5">
        <f>EnergyLJ($A67,$C$2,$C$4,shape_factors!D$2,$C$3,shape_factors!D$3)</f>
        <v>-6.5962718011872729E-2</v>
      </c>
      <c r="E67" s="5">
        <f>EnergyLJ($A67,$C$2,$C$4,shape_factors!E$2,$C$3,shape_factors!E$3)</f>
        <v>-1.2237766368471976E-2</v>
      </c>
      <c r="F67" s="5">
        <f>EnergyLJ($A67,$C$2,$C$4,shape_factors!F$2,$C$3,shape_factors!F$3)</f>
        <v>-3.4108514338549605E-3</v>
      </c>
      <c r="G67" s="5">
        <f>EnergyLJ($A67,$C$2,$C$4,shape_factors!G$2,$C$3,shape_factors!G$3)</f>
        <v>-5.7665682560930544E-3</v>
      </c>
      <c r="H67" s="5">
        <f>EnergyLJ($A67,$C$2,$C$4,shape_factors!H$2,$C$3,shape_factors!H$3)</f>
        <v>-0.47481109069309729</v>
      </c>
      <c r="I67" s="5">
        <f>EnergyLJ($A67,$C$2,$C$4,shape_factors!I$2,$C$3,shape_factors!I$3)</f>
        <v>-1.777292289442919E-2</v>
      </c>
      <c r="J67" s="5">
        <f>EnergyLJ($A67,$C$2,$C$4,shape_factors!J$2,$C$3,shape_factors!J$3)</f>
        <v>-8.6583292258759137E-4</v>
      </c>
      <c r="K67" s="5">
        <f>EnergyLJ($A67,$C$2,$C$4,shape_factors!K$2,$C$3,shape_factors!K$3)</f>
        <v>-1.3357234004544231E-3</v>
      </c>
      <c r="L67" s="5">
        <f>EnergyLJ($A67,$C$2,$C$4,shape_factors!L$2,$C$3,shape_factors!L$3)</f>
        <v>-2.5796667585525818E-3</v>
      </c>
      <c r="M67" s="5">
        <f>EnergyLJ($A67,$C$2,$C$4,shape_factors!M$2,$C$3,shape_factors!M$3)</f>
        <v>-9.5897622166247782E-4</v>
      </c>
      <c r="N67" s="5">
        <f>EnergyLJ($A67,$C$2,$C$4,shape_factors!N$2,$C$3,shape_factors!N$3)</f>
        <v>-2.9818484121680081E-4</v>
      </c>
      <c r="O67" s="5">
        <f>EnergyLJ($A67,$C$2,$C$4,shape_factors!O$2,$C$3,shape_factors!O$3)</f>
        <v>-2.1276998374138522E-4</v>
      </c>
      <c r="P67" s="5">
        <f>EnergyLJ($A67,$C$2,$C$4,shape_factors!P$2,$C$3,shape_factors!P$3)</f>
        <v>-3.2815858947313274E-4</v>
      </c>
      <c r="Q67" s="5">
        <f>EnergyLJ($A67,$C$2,$C$4,shape_factors!Q$2,$C$3,shape_factors!Q$3)</f>
        <v>-3.716261132856955E-4</v>
      </c>
      <c r="R67" s="5">
        <f>EnergyLJ($A67,$C$2,$C$4,shape_factors!R$2,$C$3,shape_factors!R$3)</f>
        <v>-3.5918560547620183E-3</v>
      </c>
      <c r="S67" s="5">
        <f>EnergyLJ($A67,$C$2,$C$4,shape_factors!S$2,$C$3,shape_factors!S$3)</f>
        <v>-5.783693416439729E-4</v>
      </c>
      <c r="T67" s="5">
        <f>EnergyLJ($A67,$C$2,$C$4,shape_factors!T$2,$C$3,shape_factors!T$3)</f>
        <v>-1.6860938278242586E-4</v>
      </c>
      <c r="U67" s="5">
        <f>EnergyLJ($A67,$C$2,$C$4,shape_factors!U$2,$C$3,shape_factors!U$3)</f>
        <v>-3.4900053366604573E-3</v>
      </c>
    </row>
    <row r="68" spans="1:21" x14ac:dyDescent="0.25">
      <c r="A68">
        <v>14.2</v>
      </c>
      <c r="B68" s="5">
        <f>EnergyLJ($A68,$C$2,$C$4,shape_factors!B$2,$C$3,shape_factors!B$3)</f>
        <v>-3.8248578325489141E-2</v>
      </c>
      <c r="C68" s="5">
        <f>EnergyLJ($A68,$C$2,$C$4,shape_factors!C$2,$C$3,shape_factors!C$3)</f>
        <v>-4.0869355407947483E-3</v>
      </c>
      <c r="D68" s="5">
        <f>EnergyLJ($A68,$C$2,$C$4,shape_factors!D$2,$C$3,shape_factors!D$3)</f>
        <v>-6.0647474064813273E-2</v>
      </c>
      <c r="E68" s="5">
        <f>EnergyLJ($A68,$C$2,$C$4,shape_factors!E$2,$C$3,shape_factors!E$3)</f>
        <v>-1.124156439023764E-2</v>
      </c>
      <c r="F68" s="5">
        <f>EnergyLJ($A68,$C$2,$C$4,shape_factors!F$2,$C$3,shape_factors!F$3)</f>
        <v>-3.1327443990382814E-3</v>
      </c>
      <c r="G68" s="5">
        <f>EnergyLJ($A68,$C$2,$C$4,shape_factors!G$2,$C$3,shape_factors!G$3)</f>
        <v>-5.2965882956282359E-3</v>
      </c>
      <c r="H68" s="5">
        <f>EnergyLJ($A68,$C$2,$C$4,shape_factors!H$2,$C$3,shape_factors!H$3)</f>
        <v>-0.44025987063375249</v>
      </c>
      <c r="I68" s="5">
        <f>EnergyLJ($A68,$C$2,$C$4,shape_factors!I$2,$C$3,shape_factors!I$3)</f>
        <v>-1.6327617741049859E-2</v>
      </c>
      <c r="J68" s="5">
        <f>EnergyLJ($A68,$C$2,$C$4,shape_factors!J$2,$C$3,shape_factors!J$3)</f>
        <v>-7.9520359057900982E-4</v>
      </c>
      <c r="K68" s="5">
        <f>EnergyLJ($A68,$C$2,$C$4,shape_factors!K$2,$C$3,shape_factors!K$3)</f>
        <v>-1.2267726286784243E-3</v>
      </c>
      <c r="L68" s="5">
        <f>EnergyLJ($A68,$C$2,$C$4,shape_factors!L$2,$C$3,shape_factors!L$3)</f>
        <v>-2.3692992076831624E-3</v>
      </c>
      <c r="M68" s="5">
        <f>EnergyLJ($A68,$C$2,$C$4,shape_factors!M$2,$C$3,shape_factors!M$3)</f>
        <v>-8.8075016031480464E-4</v>
      </c>
      <c r="N68" s="5">
        <f>EnergyLJ($A68,$C$2,$C$4,shape_factors!N$2,$C$3,shape_factors!N$3)</f>
        <v>-2.738582356432003E-4</v>
      </c>
      <c r="O68" s="5">
        <f>EnergyLJ($A68,$C$2,$C$4,shape_factors!O$2,$C$3,shape_factors!O$3)</f>
        <v>-1.954114485641174E-4</v>
      </c>
      <c r="P68" s="5">
        <f>EnergyLJ($A68,$C$2,$C$4,shape_factors!P$2,$C$3,shape_factors!P$3)</f>
        <v>-3.0138680280833018E-4</v>
      </c>
      <c r="Q68" s="5">
        <f>EnergyLJ($A68,$C$2,$C$4,shape_factors!Q$2,$C$3,shape_factors!Q$3)</f>
        <v>-3.413084055947182E-4</v>
      </c>
      <c r="R68" s="5">
        <f>EnergyLJ($A68,$C$2,$C$4,shape_factors!R$2,$C$3,shape_factors!R$3)</f>
        <v>-3.2990003276969541E-3</v>
      </c>
      <c r="S68" s="5">
        <f>EnergyLJ($A68,$C$2,$C$4,shape_factors!S$2,$C$3,shape_factors!S$3)</f>
        <v>-5.311870497821642E-4</v>
      </c>
      <c r="T68" s="5">
        <f>EnergyLJ($A68,$C$2,$C$4,shape_factors!T$2,$C$3,shape_factors!T$3)</f>
        <v>-1.5485351643427139E-4</v>
      </c>
      <c r="U68" s="5">
        <f>EnergyLJ($A68,$C$2,$C$4,shape_factors!U$2,$C$3,shape_factors!U$3)</f>
        <v>-3.2054485309362005E-3</v>
      </c>
    </row>
    <row r="69" spans="1:21" x14ac:dyDescent="0.25">
      <c r="A69">
        <v>14.4</v>
      </c>
      <c r="B69" s="5">
        <f>EnergyLJ($A69,$C$2,$C$4,shape_factors!B$2,$C$3,shape_factors!B$3)</f>
        <v>-3.5191657768953361E-2</v>
      </c>
      <c r="C69" s="5">
        <f>EnergyLJ($A69,$C$2,$C$4,shape_factors!C$2,$C$3,shape_factors!C$3)</f>
        <v>-3.7582121654859014E-3</v>
      </c>
      <c r="D69" s="5">
        <f>EnergyLJ($A69,$C$2,$C$4,shape_factors!D$2,$C$3,shape_factors!D$3)</f>
        <v>-5.5821140949421061E-2</v>
      </c>
      <c r="E69" s="5">
        <f>EnergyLJ($A69,$C$2,$C$4,shape_factors!E$2,$C$3,shape_factors!E$3)</f>
        <v>-1.0338563050969444E-2</v>
      </c>
      <c r="F69" s="5">
        <f>EnergyLJ($A69,$C$2,$C$4,shape_factors!F$2,$C$3,shape_factors!F$3)</f>
        <v>-2.8807251965866569E-3</v>
      </c>
      <c r="G69" s="5">
        <f>EnergyLJ($A69,$C$2,$C$4,shape_factors!G$2,$C$3,shape_factors!G$3)</f>
        <v>-4.8706636897075202E-3</v>
      </c>
      <c r="H69" s="5">
        <f>EnergyLJ($A69,$C$2,$C$4,shape_factors!H$2,$C$3,shape_factors!H$3)</f>
        <v>-0.40831061880656372</v>
      </c>
      <c r="I69" s="5">
        <f>EnergyLJ($A69,$C$2,$C$4,shape_factors!I$2,$C$3,shape_factors!I$3)</f>
        <v>-1.5017301897458609E-2</v>
      </c>
      <c r="J69" s="5">
        <f>EnergyLJ($A69,$C$2,$C$4,shape_factors!J$2,$C$3,shape_factors!J$3)</f>
        <v>-7.312046816160139E-4</v>
      </c>
      <c r="K69" s="5">
        <f>EnergyLJ($A69,$C$2,$C$4,shape_factors!K$2,$C$3,shape_factors!K$3)</f>
        <v>-1.1280483232321422E-3</v>
      </c>
      <c r="L69" s="5">
        <f>EnergyLJ($A69,$C$2,$C$4,shape_factors!L$2,$C$3,shape_factors!L$3)</f>
        <v>-2.1786700920410663E-3</v>
      </c>
      <c r="M69" s="5">
        <f>EnergyLJ($A69,$C$2,$C$4,shape_factors!M$2,$C$3,shape_factors!M$3)</f>
        <v>-8.0986747121799076E-4</v>
      </c>
      <c r="N69" s="5">
        <f>EnergyLJ($A69,$C$2,$C$4,shape_factors!N$2,$C$3,shape_factors!N$3)</f>
        <v>-2.5181570905213169E-4</v>
      </c>
      <c r="O69" s="5">
        <f>EnergyLJ($A69,$C$2,$C$4,shape_factors!O$2,$C$3,shape_factors!O$3)</f>
        <v>-1.7968278624179562E-4</v>
      </c>
      <c r="P69" s="5">
        <f>EnergyLJ($A69,$C$2,$C$4,shape_factors!P$2,$C$3,shape_factors!P$3)</f>
        <v>-2.7712865616173825E-4</v>
      </c>
      <c r="Q69" s="5">
        <f>EnergyLJ($A69,$C$2,$C$4,shape_factors!Q$2,$C$3,shape_factors!Q$3)</f>
        <v>-3.1383723248418866E-4</v>
      </c>
      <c r="R69" s="5">
        <f>EnergyLJ($A69,$C$2,$C$4,shape_factors!R$2,$C$3,shape_factors!R$3)</f>
        <v>-3.0336144461283426E-3</v>
      </c>
      <c r="S69" s="5">
        <f>EnergyLJ($A69,$C$2,$C$4,shape_factors!S$2,$C$3,shape_factors!S$3)</f>
        <v>-4.8843443822042061E-4</v>
      </c>
      <c r="T69" s="5">
        <f>EnergyLJ($A69,$C$2,$C$4,shape_factors!T$2,$C$3,shape_factors!T$3)</f>
        <v>-1.4238926875129475E-4</v>
      </c>
      <c r="U69" s="5">
        <f>EnergyLJ($A69,$C$2,$C$4,shape_factors!U$2,$C$3,shape_factors!U$3)</f>
        <v>-2.9475839461315552E-3</v>
      </c>
    </row>
    <row r="70" spans="1:21" x14ac:dyDescent="0.25">
      <c r="A70">
        <v>14.6</v>
      </c>
      <c r="B70" s="5">
        <f>EnergyLJ($A70,$C$2,$C$4,shape_factors!B$2,$C$3,shape_factors!B$3)</f>
        <v>-3.2414681543227304E-2</v>
      </c>
      <c r="C70" s="5">
        <f>EnergyLJ($A70,$C$2,$C$4,shape_factors!C$2,$C$3,shape_factors!C$3)</f>
        <v>-3.4599105561255164E-3</v>
      </c>
      <c r="D70" s="5">
        <f>EnergyLJ($A70,$C$2,$C$4,shape_factors!D$2,$C$3,shape_factors!D$3)</f>
        <v>-5.1433622212453511E-2</v>
      </c>
      <c r="E70" s="5">
        <f>EnergyLJ($A70,$C$2,$C$4,shape_factors!E$2,$C$3,shape_factors!E$3)</f>
        <v>-9.5189499732650402E-3</v>
      </c>
      <c r="F70" s="5">
        <f>EnergyLJ($A70,$C$2,$C$4,shape_factors!F$2,$C$3,shape_factors!F$3)</f>
        <v>-2.6520358325566006E-3</v>
      </c>
      <c r="G70" s="5">
        <f>EnergyLJ($A70,$C$2,$C$4,shape_factors!G$2,$C$3,shape_factors!G$3)</f>
        <v>-4.484142037641586E-3</v>
      </c>
      <c r="H70" s="5">
        <f>EnergyLJ($A70,$C$2,$C$4,shape_factors!H$2,$C$3,shape_factors!H$3)</f>
        <v>-0.37879323726593139</v>
      </c>
      <c r="I70" s="5">
        <f>EnergyLJ($A70,$C$2,$C$4,shape_factors!I$2,$C$3,shape_factors!I$3)</f>
        <v>-1.3827800866171467E-2</v>
      </c>
      <c r="J70" s="5">
        <f>EnergyLJ($A70,$C$2,$C$4,shape_factors!J$2,$C$3,shape_factors!J$3)</f>
        <v>-6.7313440278800047E-4</v>
      </c>
      <c r="K70" s="5">
        <f>EnergyLJ($A70,$C$2,$C$4,shape_factors!K$2,$C$3,shape_factors!K$3)</f>
        <v>-1.0384683055226333E-3</v>
      </c>
      <c r="L70" s="5">
        <f>EnergyLJ($A70,$C$2,$C$4,shape_factors!L$2,$C$3,shape_factors!L$3)</f>
        <v>-2.0056918672960214E-3</v>
      </c>
      <c r="M70" s="5">
        <f>EnergyLJ($A70,$C$2,$C$4,shape_factors!M$2,$C$3,shape_factors!M$3)</f>
        <v>-7.4555093327791978E-4</v>
      </c>
      <c r="N70" s="5">
        <f>EnergyLJ($A70,$C$2,$C$4,shape_factors!N$2,$C$3,shape_factors!N$3)</f>
        <v>-2.318154411445751E-4</v>
      </c>
      <c r="O70" s="5">
        <f>EnergyLJ($A70,$C$2,$C$4,shape_factors!O$2,$C$3,shape_factors!O$3)</f>
        <v>-1.6541143186447828E-4</v>
      </c>
      <c r="P70" s="5">
        <f>EnergyLJ($A70,$C$2,$C$4,shape_factors!P$2,$C$3,shape_factors!P$3)</f>
        <v>-2.5511802880246365E-4</v>
      </c>
      <c r="Q70" s="5">
        <f>EnergyLJ($A70,$C$2,$C$4,shape_factors!Q$2,$C$3,shape_factors!Q$3)</f>
        <v>-2.8891123550477918E-4</v>
      </c>
      <c r="R70" s="5">
        <f>EnergyLJ($A70,$C$2,$C$4,shape_factors!R$2,$C$3,shape_factors!R$3)</f>
        <v>-2.7927945547329743E-3</v>
      </c>
      <c r="S70" s="5">
        <f>EnergyLJ($A70,$C$2,$C$4,shape_factors!S$2,$C$3,shape_factors!S$3)</f>
        <v>-4.4964258797121478E-4</v>
      </c>
      <c r="T70" s="5">
        <f>EnergyLJ($A70,$C$2,$C$4,shape_factors!T$2,$C$3,shape_factors!T$3)</f>
        <v>-1.3107988513843754E-4</v>
      </c>
      <c r="U70" s="5">
        <f>EnergyLJ($A70,$C$2,$C$4,shape_factors!U$2,$C$3,shape_factors!U$3)</f>
        <v>-2.7135897964703994E-3</v>
      </c>
    </row>
    <row r="71" spans="1:21" x14ac:dyDescent="0.25">
      <c r="A71">
        <v>14.8</v>
      </c>
      <c r="B71" s="5">
        <f>EnergyLJ($A71,$C$2,$C$4,shape_factors!B$2,$C$3,shape_factors!B$3)</f>
        <v>-2.988892981174078E-2</v>
      </c>
      <c r="C71" s="5">
        <f>EnergyLJ($A71,$C$2,$C$4,shape_factors!C$2,$C$3,shape_factors!C$3)</f>
        <v>-3.1888575332012308E-3</v>
      </c>
      <c r="D71" s="5">
        <f>EnergyLJ($A71,$C$2,$C$4,shape_factors!D$2,$C$3,shape_factors!D$3)</f>
        <v>-4.7440418770347437E-2</v>
      </c>
      <c r="E71" s="5">
        <f>EnergyLJ($A71,$C$2,$C$4,shape_factors!E$2,$C$3,shape_factors!E$3)</f>
        <v>-8.7740564749144191E-3</v>
      </c>
      <c r="F71" s="5">
        <f>EnergyLJ($A71,$C$2,$C$4,shape_factors!F$2,$C$3,shape_factors!F$3)</f>
        <v>-2.4442417766649717E-3</v>
      </c>
      <c r="G71" s="5">
        <f>EnergyLJ($A71,$C$2,$C$4,shape_factors!G$2,$C$3,shape_factors!G$3)</f>
        <v>-4.1329156892798424E-3</v>
      </c>
      <c r="H71" s="5">
        <f>EnergyLJ($A71,$C$2,$C$4,shape_factors!H$2,$C$3,shape_factors!H$3)</f>
        <v>-0.35153923013843086</v>
      </c>
      <c r="I71" s="5">
        <f>EnergyLJ($A71,$C$2,$C$4,shape_factors!I$2,$C$3,shape_factors!I$3)</f>
        <v>-1.2746585699024225E-2</v>
      </c>
      <c r="J71" s="5">
        <f>EnergyLJ($A71,$C$2,$C$4,shape_factors!J$2,$C$3,shape_factors!J$3)</f>
        <v>-6.2037341364825792E-4</v>
      </c>
      <c r="K71" s="5">
        <f>EnergyLJ($A71,$C$2,$C$4,shape_factors!K$2,$C$3,shape_factors!K$3)</f>
        <v>-9.570774992295252E-4</v>
      </c>
      <c r="L71" s="5">
        <f>EnergyLJ($A71,$C$2,$C$4,shape_factors!L$2,$C$3,shape_factors!L$3)</f>
        <v>-1.8485219617868493E-3</v>
      </c>
      <c r="M71" s="5">
        <f>EnergyLJ($A71,$C$2,$C$4,shape_factors!M$2,$C$3,shape_factors!M$3)</f>
        <v>-6.8711463395135491E-4</v>
      </c>
      <c r="N71" s="5">
        <f>EnergyLJ($A71,$C$2,$C$4,shape_factors!N$2,$C$3,shape_factors!N$3)</f>
        <v>-2.1364403374937315E-4</v>
      </c>
      <c r="O71" s="5">
        <f>EnergyLJ($A71,$C$2,$C$4,shape_factors!O$2,$C$3,shape_factors!O$3)</f>
        <v>-1.5244510396877729E-4</v>
      </c>
      <c r="P71" s="5">
        <f>EnergyLJ($A71,$C$2,$C$4,shape_factors!P$2,$C$3,shape_factors!P$3)</f>
        <v>-2.3512007761376024E-4</v>
      </c>
      <c r="Q71" s="5">
        <f>EnergyLJ($A71,$C$2,$C$4,shape_factors!Q$2,$C$3,shape_factors!Q$3)</f>
        <v>-2.6626447431356601E-4</v>
      </c>
      <c r="R71" s="5">
        <f>EnergyLJ($A71,$C$2,$C$4,shape_factors!R$2,$C$3,shape_factors!R$3)</f>
        <v>-2.5739773260762657E-3</v>
      </c>
      <c r="S71" s="5">
        <f>EnergyLJ($A71,$C$2,$C$4,shape_factors!S$2,$C$3,shape_factors!S$3)</f>
        <v>-4.1439768342103813E-4</v>
      </c>
      <c r="T71" s="5">
        <f>EnergyLJ($A71,$C$2,$C$4,shape_factors!T$2,$C$3,shape_factors!T$3)</f>
        <v>-1.2080468575460611E-4</v>
      </c>
      <c r="U71" s="5">
        <f>EnergyLJ($A71,$C$2,$C$4,shape_factors!U$2,$C$3,shape_factors!U$3)</f>
        <v>-2.5009752233343765E-3</v>
      </c>
    </row>
    <row r="72" spans="1:21" x14ac:dyDescent="0.25">
      <c r="A72">
        <v>15</v>
      </c>
      <c r="B72" s="5">
        <f>EnergyLJ($A72,$C$2,$C$4,shape_factors!B$2,$C$3,shape_factors!B$3)</f>
        <v>-2.7588923177300658E-2</v>
      </c>
      <c r="C72" s="5">
        <f>EnergyLJ($A72,$C$2,$C$4,shape_factors!C$2,$C$3,shape_factors!C$3)</f>
        <v>-2.9422471046096372E-3</v>
      </c>
      <c r="D72" s="5">
        <f>EnergyLJ($A72,$C$2,$C$4,shape_factors!D$2,$C$3,shape_factors!D$3)</f>
        <v>-4.3801961146628814E-2</v>
      </c>
      <c r="E72" s="5">
        <f>EnergyLJ($A72,$C$2,$C$4,shape_factors!E$2,$C$3,shape_factors!E$3)</f>
        <v>-8.0962119304763339E-3</v>
      </c>
      <c r="F72" s="5">
        <f>EnergyLJ($A72,$C$2,$C$4,shape_factors!F$2,$C$3,shape_factors!F$3)</f>
        <v>-2.2551903995596304E-3</v>
      </c>
      <c r="G72" s="5">
        <f>EnergyLJ($A72,$C$2,$C$4,shape_factors!G$2,$C$3,shape_factors!G$3)</f>
        <v>-3.8133519138567754E-3</v>
      </c>
      <c r="H72" s="5">
        <f>EnergyLJ($A72,$C$2,$C$4,shape_factors!H$2,$C$3,shape_factors!H$3)</f>
        <v>-0.32638489327596115</v>
      </c>
      <c r="I72" s="5">
        <f>EnergyLJ($A72,$C$2,$C$4,shape_factors!I$2,$C$3,shape_factors!I$3)</f>
        <v>-1.1762564677626989E-2</v>
      </c>
      <c r="J72" s="5">
        <f>EnergyLJ($A72,$C$2,$C$4,shape_factors!J$2,$C$3,shape_factors!J$3)</f>
        <v>-5.7237420490506737E-4</v>
      </c>
      <c r="K72" s="5">
        <f>EnergyLJ($A72,$C$2,$C$4,shape_factors!K$2,$C$3,shape_factors!K$3)</f>
        <v>-8.8303156491160062E-4</v>
      </c>
      <c r="L72" s="5">
        <f>EnergyLJ($A72,$C$2,$C$4,shape_factors!L$2,$C$3,shape_factors!L$3)</f>
        <v>-1.7055312732509925E-3</v>
      </c>
      <c r="M72" s="5">
        <f>EnergyLJ($A72,$C$2,$C$4,shape_factors!M$2,$C$3,shape_factors!M$3)</f>
        <v>-6.3395220819871154E-4</v>
      </c>
      <c r="N72" s="5">
        <f>EnergyLJ($A72,$C$2,$C$4,shape_factors!N$2,$C$3,shape_factors!N$3)</f>
        <v>-1.9711284751471761E-4</v>
      </c>
      <c r="O72" s="5">
        <f>EnergyLJ($A72,$C$2,$C$4,shape_factors!O$2,$C$3,shape_factors!O$3)</f>
        <v>-1.4064918999907264E-4</v>
      </c>
      <c r="P72" s="5">
        <f>EnergyLJ($A72,$C$2,$C$4,shape_factors!P$2,$C$3,shape_factors!P$3)</f>
        <v>-2.1692720586155131E-4</v>
      </c>
      <c r="Q72" s="5">
        <f>EnergyLJ($A72,$C$2,$C$4,shape_factors!Q$2,$C$3,shape_factors!Q$3)</f>
        <v>-2.4566186198802132E-4</v>
      </c>
      <c r="R72" s="5">
        <f>EnergyLJ($A72,$C$2,$C$4,shape_factors!R$2,$C$3,shape_factors!R$3)</f>
        <v>-2.3748962131594446E-3</v>
      </c>
      <c r="S72" s="5">
        <f>EnergyLJ($A72,$C$2,$C$4,shape_factors!S$2,$C$3,shape_factors!S$3)</f>
        <v>-3.8233391205020587E-4</v>
      </c>
      <c r="T72" s="5">
        <f>EnergyLJ($A72,$C$2,$C$4,shape_factors!T$2,$C$3,shape_factors!T$3)</f>
        <v>-1.1145699338504985E-4</v>
      </c>
      <c r="U72" s="5">
        <f>EnergyLJ($A72,$C$2,$C$4,shape_factors!U$2,$C$3,shape_factors!U$3)</f>
        <v>-2.3075377768874586E-3</v>
      </c>
    </row>
    <row r="73" spans="1:21" x14ac:dyDescent="0.25">
      <c r="A73">
        <v>15.2</v>
      </c>
      <c r="B73" s="5">
        <f>EnergyLJ($A73,$C$2,$C$4,shape_factors!B$2,$C$3,shape_factors!B$3)</f>
        <v>-2.5492027052407003E-2</v>
      </c>
      <c r="C73" s="5">
        <f>EnergyLJ($A73,$C$2,$C$4,shape_factors!C$2,$C$3,shape_factors!C$3)</f>
        <v>-2.7175939169506321E-3</v>
      </c>
      <c r="D73" s="5">
        <f>EnergyLJ($A73,$C$2,$C$4,shape_factors!D$2,$C$3,shape_factors!D$3)</f>
        <v>-4.0483024716625265E-2</v>
      </c>
      <c r="E73" s="5">
        <f>EnergyLJ($A73,$C$2,$C$4,shape_factors!E$2,$C$3,shape_factors!E$3)</f>
        <v>-7.478618169957426E-3</v>
      </c>
      <c r="F73" s="5">
        <f>EnergyLJ($A73,$C$2,$C$4,shape_factors!F$2,$C$3,shape_factors!F$3)</f>
        <v>-2.0829752017587438E-3</v>
      </c>
      <c r="G73" s="5">
        <f>EnergyLJ($A73,$C$2,$C$4,shape_factors!G$2,$C$3,shape_factors!G$3)</f>
        <v>-3.5222327673756753E-3</v>
      </c>
      <c r="H73" s="5">
        <f>EnergyLJ($A73,$C$2,$C$4,shape_factors!H$2,$C$3,shape_factors!H$3)</f>
        <v>-0.30317339669446092</v>
      </c>
      <c r="I73" s="5">
        <f>EnergyLJ($A73,$C$2,$C$4,shape_factors!I$2,$C$3,shape_factors!I$3)</f>
        <v>-1.0865903413379473E-2</v>
      </c>
      <c r="J73" s="5">
        <f>EnergyLJ($A73,$C$2,$C$4,shape_factors!J$2,$C$3,shape_factors!J$3)</f>
        <v>-5.2865196239160173E-4</v>
      </c>
      <c r="K73" s="5">
        <f>EnergyLJ($A73,$C$2,$C$4,shape_factors!K$2,$C$3,shape_factors!K$3)</f>
        <v>-8.155828216652941E-4</v>
      </c>
      <c r="L73" s="5">
        <f>EnergyLJ($A73,$C$2,$C$4,shape_factors!L$2,$C$3,shape_factors!L$3)</f>
        <v>-1.5752770605477876E-3</v>
      </c>
      <c r="M73" s="5">
        <f>EnergyLJ($A73,$C$2,$C$4,shape_factors!M$2,$C$3,shape_factors!M$3)</f>
        <v>-5.8552672188593965E-4</v>
      </c>
      <c r="N73" s="5">
        <f>EnergyLJ($A73,$C$2,$C$4,shape_factors!N$2,$C$3,shape_factors!N$3)</f>
        <v>-1.8205485127309606E-4</v>
      </c>
      <c r="O73" s="5">
        <f>EnergyLJ($A73,$C$2,$C$4,shape_factors!O$2,$C$3,shape_factors!O$3)</f>
        <v>-1.2990449771141889E-4</v>
      </c>
      <c r="P73" s="5">
        <f>EnergyLJ($A73,$C$2,$C$4,shape_factors!P$2,$C$3,shape_factors!P$3)</f>
        <v>-2.0035559610347747E-4</v>
      </c>
      <c r="Q73" s="5">
        <f>EnergyLJ($A73,$C$2,$C$4,shape_factors!Q$2,$C$3,shape_factors!Q$3)</f>
        <v>-2.2689523909554278E-4</v>
      </c>
      <c r="R73" s="5">
        <f>EnergyLJ($A73,$C$2,$C$4,shape_factors!R$2,$C$3,shape_factors!R$3)</f>
        <v>-2.1935437965283576E-3</v>
      </c>
      <c r="S73" s="5">
        <f>EnergyLJ($A73,$C$2,$C$4,shape_factors!S$2,$C$3,shape_factors!S$3)</f>
        <v>-3.5312735744359329E-4</v>
      </c>
      <c r="T73" s="5">
        <f>EnergyLJ($A73,$C$2,$C$4,shape_factors!T$2,$C$3,shape_factors!T$3)</f>
        <v>-1.029423513555871E-4</v>
      </c>
      <c r="U73" s="5">
        <f>EnergyLJ($A73,$C$2,$C$4,shape_factors!U$2,$C$3,shape_factors!U$3)</f>
        <v>-2.1313268218805435E-3</v>
      </c>
    </row>
    <row r="74" spans="1:21" x14ac:dyDescent="0.25">
      <c r="A74">
        <v>15.4</v>
      </c>
      <c r="B74" s="5">
        <f>EnergyLJ($A74,$C$2,$C$4,shape_factors!B$2,$C$3,shape_factors!B$3)</f>
        <v>-2.3578107488195148E-2</v>
      </c>
      <c r="C74" s="5">
        <f>EnergyLJ($A74,$C$2,$C$4,shape_factors!C$2,$C$3,shape_factors!C$3)</f>
        <v>-2.5126931056068556E-3</v>
      </c>
      <c r="D74" s="5">
        <f>EnergyLJ($A74,$C$2,$C$4,shape_factors!D$2,$C$3,shape_factors!D$3)</f>
        <v>-3.7452217582060403E-2</v>
      </c>
      <c r="E74" s="5">
        <f>EnergyLJ($A74,$C$2,$C$4,shape_factors!E$2,$C$3,shape_factors!E$3)</f>
        <v>-6.9152409650093637E-3</v>
      </c>
      <c r="F74" s="5">
        <f>EnergyLJ($A74,$C$2,$C$4,shape_factors!F$2,$C$3,shape_factors!F$3)</f>
        <v>-1.9259049664346285E-3</v>
      </c>
      <c r="G74" s="5">
        <f>EnergyLJ($A74,$C$2,$C$4,shape_factors!G$2,$C$3,shape_factors!G$3)</f>
        <v>-3.25670321191994E-3</v>
      </c>
      <c r="H74" s="5">
        <f>EnergyLJ($A74,$C$2,$C$4,shape_factors!H$2,$C$3,shape_factors!H$3)</f>
        <v>-0.2817560616589293</v>
      </c>
      <c r="I74" s="5">
        <f>EnergyLJ($A74,$C$2,$C$4,shape_factors!I$2,$C$3,shape_factors!I$3)</f>
        <v>-1.0047869233645633E-2</v>
      </c>
      <c r="J74" s="5">
        <f>EnergyLJ($A74,$C$2,$C$4,shape_factors!J$2,$C$3,shape_factors!J$3)</f>
        <v>-4.8877669268859616E-4</v>
      </c>
      <c r="K74" s="5">
        <f>EnergyLJ($A74,$C$2,$C$4,shape_factors!K$2,$C$3,shape_factors!K$3)</f>
        <v>-7.5406811179471605E-4</v>
      </c>
      <c r="L74" s="5">
        <f>EnergyLJ($A74,$C$2,$C$4,shape_factors!L$2,$C$3,shape_factors!L$3)</f>
        <v>-1.4564795707856897E-3</v>
      </c>
      <c r="M74" s="5">
        <f>EnergyLJ($A74,$C$2,$C$4,shape_factors!M$2,$C$3,shape_factors!M$3)</f>
        <v>-5.4136195208750462E-4</v>
      </c>
      <c r="N74" s="5">
        <f>EnergyLJ($A74,$C$2,$C$4,shape_factors!N$2,$C$3,shape_factors!N$3)</f>
        <v>-1.6832190680935455E-4</v>
      </c>
      <c r="O74" s="5">
        <f>EnergyLJ($A74,$C$2,$C$4,shape_factors!O$2,$C$3,shape_factors!O$3)</f>
        <v>-1.2010531735639819E-4</v>
      </c>
      <c r="P74" s="5">
        <f>EnergyLJ($A74,$C$2,$C$4,shape_factors!P$2,$C$3,shape_factors!P$3)</f>
        <v>-1.8524222221570258E-4</v>
      </c>
      <c r="Q74" s="5">
        <f>EnergyLJ($A74,$C$2,$C$4,shape_factors!Q$2,$C$3,shape_factors!Q$3)</f>
        <v>-2.0977999025812409E-4</v>
      </c>
      <c r="R74" s="5">
        <f>EnergyLJ($A74,$C$2,$C$4,shape_factors!R$2,$C$3,shape_factors!R$3)</f>
        <v>-2.0281393130508838E-3</v>
      </c>
      <c r="S74" s="5">
        <f>EnergyLJ($A74,$C$2,$C$4,shape_factors!S$2,$C$3,shape_factors!S$3)</f>
        <v>-3.2649073596082925E-4</v>
      </c>
      <c r="T74" s="5">
        <f>EnergyLJ($A74,$C$2,$C$4,shape_factors!T$2,$C$3,shape_factors!T$3)</f>
        <v>-9.5176987762976025E-5</v>
      </c>
      <c r="U74" s="5">
        <f>EnergyLJ($A74,$C$2,$C$4,shape_factors!U$2,$C$3,shape_factors!U$3)</f>
        <v>-1.9706119800910033E-3</v>
      </c>
    </row>
    <row r="75" spans="1:21" x14ac:dyDescent="0.25">
      <c r="A75">
        <v>15.6</v>
      </c>
      <c r="B75" s="5">
        <f>EnergyLJ($A75,$C$2,$C$4,shape_factors!B$2,$C$3,shape_factors!B$3)</f>
        <v>-2.182923145099766E-2</v>
      </c>
      <c r="C75" s="5">
        <f>EnergyLJ($A75,$C$2,$C$4,shape_factors!C$2,$C$3,shape_factors!C$3)</f>
        <v>-2.3255855979664097E-3</v>
      </c>
      <c r="D75" s="5">
        <f>EnergyLJ($A75,$C$2,$C$4,shape_factors!D$2,$C$3,shape_factors!D$3)</f>
        <v>-3.4681531915144531E-2</v>
      </c>
      <c r="E75" s="5">
        <f>EnergyLJ($A75,$C$2,$C$4,shape_factors!E$2,$C$3,shape_factors!E$3)</f>
        <v>-6.4007161135268536E-3</v>
      </c>
      <c r="F75" s="5">
        <f>EnergyLJ($A75,$C$2,$C$4,shape_factors!F$2,$C$3,shape_factors!F$3)</f>
        <v>-1.7824771070344527E-3</v>
      </c>
      <c r="G75" s="5">
        <f>EnergyLJ($A75,$C$2,$C$4,shape_factors!G$2,$C$3,shape_factors!G$3)</f>
        <v>-3.0142262702575508E-3</v>
      </c>
      <c r="H75" s="5">
        <f>EnergyLJ($A75,$C$2,$C$4,shape_factors!H$2,$C$3,shape_factors!H$3)</f>
        <v>-0.26199305676347001</v>
      </c>
      <c r="I75" s="5">
        <f>EnergyLJ($A75,$C$2,$C$4,shape_factors!I$2,$C$3,shape_factors!I$3)</f>
        <v>-9.3006963549922463E-3</v>
      </c>
      <c r="J75" s="5">
        <f>EnergyLJ($A75,$C$2,$C$4,shape_factors!J$2,$C$3,shape_factors!J$3)</f>
        <v>-4.5236642277518606E-4</v>
      </c>
      <c r="K75" s="5">
        <f>EnergyLJ($A75,$C$2,$C$4,shape_factors!K$2,$C$3,shape_factors!K$3)</f>
        <v>-6.9789831977506772E-4</v>
      </c>
      <c r="L75" s="5">
        <f>EnergyLJ($A75,$C$2,$C$4,shape_factors!L$2,$C$3,shape_factors!L$3)</f>
        <v>-1.3480018479954414E-3</v>
      </c>
      <c r="M75" s="5">
        <f>EnergyLJ($A75,$C$2,$C$4,shape_factors!M$2,$C$3,shape_factors!M$3)</f>
        <v>-5.0103485658586932E-4</v>
      </c>
      <c r="N75" s="5">
        <f>EnergyLJ($A75,$C$2,$C$4,shape_factors!N$2,$C$3,shape_factors!N$3)</f>
        <v>-1.5578242421864275E-4</v>
      </c>
      <c r="O75" s="5">
        <f>EnergyLJ($A75,$C$2,$C$4,shape_factors!O$2,$C$3,shape_factors!O$3)</f>
        <v>-1.1115774837224631E-4</v>
      </c>
      <c r="P75" s="5">
        <f>EnergyLJ($A75,$C$2,$C$4,shape_factors!P$2,$C$3,shape_factors!P$3)</f>
        <v>-1.7144226922062399E-4</v>
      </c>
      <c r="Q75" s="5">
        <f>EnergyLJ($A75,$C$2,$C$4,shape_factors!Q$2,$C$3,shape_factors!Q$3)</f>
        <v>-1.9415212246756241E-4</v>
      </c>
      <c r="R75" s="5">
        <f>EnergyLJ($A75,$C$2,$C$4,shape_factors!R$2,$C$3,shape_factors!R$3)</f>
        <v>-1.8771005994273999E-3</v>
      </c>
      <c r="S75" s="5">
        <f>EnergyLJ($A75,$C$2,$C$4,shape_factors!S$2,$C$3,shape_factors!S$3)</f>
        <v>-3.0216885154066075E-4</v>
      </c>
      <c r="T75" s="5">
        <f>EnergyLJ($A75,$C$2,$C$4,shape_factors!T$2,$C$3,shape_factors!T$3)</f>
        <v>-8.8086489347196834E-5</v>
      </c>
      <c r="U75" s="5">
        <f>EnergyLJ($A75,$C$2,$C$4,shape_factors!U$2,$C$3,shape_factors!U$3)</f>
        <v>-1.8238558637940607E-3</v>
      </c>
    </row>
    <row r="76" spans="1:21" x14ac:dyDescent="0.25">
      <c r="A76">
        <v>15.8</v>
      </c>
      <c r="B76" s="5">
        <f>EnergyLJ($A76,$C$2,$C$4,shape_factors!B$2,$C$3,shape_factors!B$3)</f>
        <v>-2.0229405514941075E-2</v>
      </c>
      <c r="C76" s="5">
        <f>EnergyLJ($A76,$C$2,$C$4,shape_factors!C$2,$C$3,shape_factors!C$3)</f>
        <v>-2.154528073289494E-3</v>
      </c>
      <c r="D76" s="5">
        <f>EnergyLJ($A76,$C$2,$C$4,shape_factors!D$2,$C$3,shape_factors!D$3)</f>
        <v>-3.2145950721824426E-2</v>
      </c>
      <c r="E76" s="5">
        <f>EnergyLJ($A76,$C$2,$C$4,shape_factors!E$2,$C$3,shape_factors!E$3)</f>
        <v>-5.9302680184101335E-3</v>
      </c>
      <c r="F76" s="5">
        <f>EnergyLJ($A76,$C$2,$C$4,shape_factors!F$2,$C$3,shape_factors!F$3)</f>
        <v>-1.6513545959908342E-3</v>
      </c>
      <c r="G76" s="5">
        <f>EnergyLJ($A76,$C$2,$C$4,shape_factors!G$2,$C$3,shape_factors!G$3)</f>
        <v>-2.7925441903751645E-3</v>
      </c>
      <c r="H76" s="5">
        <f>EnergyLJ($A76,$C$2,$C$4,shape_factors!H$2,$C$3,shape_factors!H$3)</f>
        <v>-0.24375367956353641</v>
      </c>
      <c r="I76" s="5">
        <f>EnergyLJ($A76,$C$2,$C$4,shape_factors!I$2,$C$3,shape_factors!I$3)</f>
        <v>-8.6174688771060454E-3</v>
      </c>
      <c r="J76" s="5">
        <f>EnergyLJ($A76,$C$2,$C$4,shape_factors!J$2,$C$3,shape_factors!J$3)</f>
        <v>-4.190813159239043E-4</v>
      </c>
      <c r="K76" s="5">
        <f>EnergyLJ($A76,$C$2,$C$4,shape_factors!K$2,$C$3,shape_factors!K$3)</f>
        <v>-6.4654930266086139E-4</v>
      </c>
      <c r="L76" s="5">
        <f>EnergyLJ($A76,$C$2,$C$4,shape_factors!L$2,$C$3,shape_factors!L$3)</f>
        <v>-1.2488322572309564E-3</v>
      </c>
      <c r="M76" s="5">
        <f>EnergyLJ($A76,$C$2,$C$4,shape_factors!M$2,$C$3,shape_factors!M$3)</f>
        <v>-4.6416905789006449E-4</v>
      </c>
      <c r="N76" s="5">
        <f>EnergyLJ($A76,$C$2,$C$4,shape_factors!N$2,$C$3,shape_factors!N$3)</f>
        <v>-1.4431933336249428E-4</v>
      </c>
      <c r="O76" s="5">
        <f>EnergyLJ($A76,$C$2,$C$4,shape_factors!O$2,$C$3,shape_factors!O$3)</f>
        <v>-1.0297825168927034E-4</v>
      </c>
      <c r="P76" s="5">
        <f>EnergyLJ($A76,$C$2,$C$4,shape_factors!P$2,$C$3,shape_factors!P$3)</f>
        <v>-1.5882690095504493E-4</v>
      </c>
      <c r="Q76" s="5">
        <f>EnergyLJ($A76,$C$2,$C$4,shape_factors!Q$2,$C$3,shape_factors!Q$3)</f>
        <v>-1.7986573726300843E-4</v>
      </c>
      <c r="R76" s="5">
        <f>EnergyLJ($A76,$C$2,$C$4,shape_factors!R$2,$C$3,shape_factors!R$3)</f>
        <v>-1.7390198047042298E-3</v>
      </c>
      <c r="S76" s="5">
        <f>EnergyLJ($A76,$C$2,$C$4,shape_factors!S$2,$C$3,shape_factors!S$3)</f>
        <v>-2.7993466309134726E-4</v>
      </c>
      <c r="T76" s="5">
        <f>EnergyLJ($A76,$C$2,$C$4,shape_factors!T$2,$C$3,shape_factors!T$3)</f>
        <v>-8.1604654173480278E-5</v>
      </c>
      <c r="U76" s="5">
        <f>EnergyLJ($A76,$C$2,$C$4,shape_factors!U$2,$C$3,shape_factors!U$3)</f>
        <v>-1.6896904725254716E-3</v>
      </c>
    </row>
    <row r="77" spans="1:21" x14ac:dyDescent="0.25">
      <c r="A77">
        <v>16</v>
      </c>
      <c r="B77" s="5">
        <f>EnergyLJ($A77,$C$2,$C$4,shape_factors!B$2,$C$3,shape_factors!B$3)</f>
        <v>-1.8764347782728733E-2</v>
      </c>
      <c r="C77" s="5">
        <f>EnergyLJ($A77,$C$2,$C$4,shape_factors!C$2,$C$3,shape_factors!C$3)</f>
        <v>-1.9979669069201808E-3</v>
      </c>
      <c r="D77" s="5">
        <f>EnergyLJ($A77,$C$2,$C$4,shape_factors!D$2,$C$3,shape_factors!D$3)</f>
        <v>-2.9823102972738845E-2</v>
      </c>
      <c r="E77" s="5">
        <f>EnergyLJ($A77,$C$2,$C$4,shape_factors!E$2,$C$3,shape_factors!E$3)</f>
        <v>-5.4996389784826164E-3</v>
      </c>
      <c r="F77" s="5">
        <f>EnergyLJ($A77,$C$2,$C$4,shape_factors!F$2,$C$3,shape_factors!F$3)</f>
        <v>-1.5313459566972634E-3</v>
      </c>
      <c r="G77" s="5">
        <f>EnergyLJ($A77,$C$2,$C$4,shape_factors!G$2,$C$3,shape_factors!G$3)</f>
        <v>-2.5896447539981212E-3</v>
      </c>
      <c r="H77" s="5">
        <f>EnergyLJ($A77,$C$2,$C$4,shape_factors!H$2,$C$3,shape_factors!H$3)</f>
        <v>-0.22691634717696546</v>
      </c>
      <c r="I77" s="5">
        <f>EnergyLJ($A77,$C$2,$C$4,shape_factors!I$2,$C$3,shape_factors!I$3)</f>
        <v>-7.9920190788873753E-3</v>
      </c>
      <c r="J77" s="5">
        <f>EnergyLJ($A77,$C$2,$C$4,shape_factors!J$2,$C$3,shape_factors!J$3)</f>
        <v>-3.8861857085059306E-4</v>
      </c>
      <c r="K77" s="5">
        <f>EnergyLJ($A77,$C$2,$C$4,shape_factors!K$2,$C$3,shape_factors!K$3)</f>
        <v>-5.9955402721458548E-4</v>
      </c>
      <c r="L77" s="5">
        <f>EnergyLJ($A77,$C$2,$C$4,shape_factors!L$2,$C$3,shape_factors!L$3)</f>
        <v>-1.1580693309601554E-3</v>
      </c>
      <c r="M77" s="5">
        <f>EnergyLJ($A77,$C$2,$C$4,shape_factors!M$2,$C$3,shape_factors!M$3)</f>
        <v>-4.3042919453998088E-4</v>
      </c>
      <c r="N77" s="5">
        <f>EnergyLJ($A77,$C$2,$C$4,shape_factors!N$2,$C$3,shape_factors!N$3)</f>
        <v>-1.3382832550454216E-4</v>
      </c>
      <c r="O77" s="5">
        <f>EnergyLJ($A77,$C$2,$C$4,shape_factors!O$2,$C$3,shape_factors!O$3)</f>
        <v>-9.5492394867693122E-5</v>
      </c>
      <c r="P77" s="5">
        <f>EnergyLJ($A77,$C$2,$C$4,shape_factors!P$2,$C$3,shape_factors!P$3)</f>
        <v>-1.4728132505141911E-4</v>
      </c>
      <c r="Q77" s="5">
        <f>EnergyLJ($A77,$C$2,$C$4,shape_factors!Q$2,$C$3,shape_factors!Q$3)</f>
        <v>-1.6679083956194725E-4</v>
      </c>
      <c r="R77" s="5">
        <f>EnergyLJ($A77,$C$2,$C$4,shape_factors!R$2,$C$3,shape_factors!R$3)</f>
        <v>-1.6126423269405739E-3</v>
      </c>
      <c r="S77" s="5">
        <f>EnergyLJ($A77,$C$2,$C$4,shape_factors!S$2,$C$3,shape_factors!S$3)</f>
        <v>-2.5958587551520206E-4</v>
      </c>
      <c r="T77" s="5">
        <f>EnergyLJ($A77,$C$2,$C$4,shape_factors!T$2,$C$3,shape_factors!T$3)</f>
        <v>-7.5672497144092945E-5</v>
      </c>
      <c r="U77" s="5">
        <f>EnergyLJ($A77,$C$2,$C$4,shape_factors!U$2,$C$3,shape_factors!U$3)</f>
        <v>-1.5668967234868955E-3</v>
      </c>
    </row>
    <row r="78" spans="1:21" x14ac:dyDescent="0.25">
      <c r="A78">
        <v>16.2</v>
      </c>
      <c r="B78" s="5">
        <f>EnergyLJ($A78,$C$2,$C$4,shape_factors!B$2,$C$3,shape_factors!B$3)</f>
        <v>-1.7421288572206255E-2</v>
      </c>
      <c r="C78" s="5">
        <f>EnergyLJ($A78,$C$2,$C$4,shape_factors!C$2,$C$3,shape_factors!C$3)</f>
        <v>-1.8545155302008909E-3</v>
      </c>
      <c r="D78" s="5">
        <f>EnergyLJ($A78,$C$2,$C$4,shape_factors!D$2,$C$3,shape_factors!D$3)</f>
        <v>-2.769296094044401E-2</v>
      </c>
      <c r="E78" s="5">
        <f>EnergyLJ($A78,$C$2,$C$4,shape_factors!E$2,$C$3,shape_factors!E$3)</f>
        <v>-5.1050276797760157E-3</v>
      </c>
      <c r="F78" s="5">
        <f>EnergyLJ($A78,$C$2,$C$4,shape_factors!F$2,$C$3,shape_factors!F$3)</f>
        <v>-1.4213878809303249E-3</v>
      </c>
      <c r="G78" s="5">
        <f>EnergyLJ($A78,$C$2,$C$4,shape_factors!G$2,$C$3,shape_factors!G$3)</f>
        <v>-2.403731996305291E-3</v>
      </c>
      <c r="H78" s="5">
        <f>EnergyLJ($A78,$C$2,$C$4,shape_factors!H$2,$C$3,shape_factors!H$3)</f>
        <v>-0.2113683870394284</v>
      </c>
      <c r="I78" s="5">
        <f>EnergyLJ($A78,$C$2,$C$4,shape_factors!I$2,$C$3,shape_factors!I$3)</f>
        <v>-7.4188388752417459E-3</v>
      </c>
      <c r="J78" s="5">
        <f>EnergyLJ($A78,$C$2,$C$4,shape_factors!J$2,$C$3,shape_factors!J$3)</f>
        <v>-3.6070799178138037E-4</v>
      </c>
      <c r="K78" s="5">
        <f>EnergyLJ($A78,$C$2,$C$4,shape_factors!K$2,$C$3,shape_factors!K$3)</f>
        <v>-5.5649574079313089E-4</v>
      </c>
      <c r="L78" s="5">
        <f>EnergyLJ($A78,$C$2,$C$4,shape_factors!L$2,$C$3,shape_factors!L$3)</f>
        <v>-1.0749086054511374E-3</v>
      </c>
      <c r="M78" s="5">
        <f>EnergyLJ($A78,$C$2,$C$4,shape_factors!M$2,$C$3,shape_factors!M$3)</f>
        <v>-3.9951601532219294E-4</v>
      </c>
      <c r="N78" s="5">
        <f>EnergyLJ($A78,$C$2,$C$4,shape_factors!N$2,$C$3,shape_factors!N$3)</f>
        <v>-1.2421632634575125E-4</v>
      </c>
      <c r="O78" s="5">
        <f>EnergyLJ($A78,$C$2,$C$4,shape_factors!O$2,$C$3,shape_factors!O$3)</f>
        <v>-8.8633762387468928E-5</v>
      </c>
      <c r="P78" s="5">
        <f>EnergyLJ($A78,$C$2,$C$4,shape_factors!P$2,$C$3,shape_factors!P$3)</f>
        <v>-1.3670311255918854E-4</v>
      </c>
      <c r="Q78" s="5">
        <f>EnergyLJ($A78,$C$2,$C$4,shape_factors!Q$2,$C$3,shape_factors!Q$3)</f>
        <v>-1.5481143482799626E-4</v>
      </c>
      <c r="R78" s="5">
        <f>EnergyLJ($A78,$C$2,$C$4,shape_factors!R$2,$C$3,shape_factors!R$3)</f>
        <v>-1.4968485133313324E-3</v>
      </c>
      <c r="S78" s="5">
        <f>EnergyLJ($A78,$C$2,$C$4,shape_factors!S$2,$C$3,shape_factors!S$3)</f>
        <v>-2.4094197923613163E-4</v>
      </c>
      <c r="T78" s="5">
        <f>EnergyLJ($A78,$C$2,$C$4,shape_factors!T$2,$C$3,shape_factors!T$3)</f>
        <v>-7.0237386399689804E-5</v>
      </c>
      <c r="U78" s="5">
        <f>EnergyLJ($A78,$C$2,$C$4,shape_factors!U$2,$C$3,shape_factors!U$3)</f>
        <v>-1.4543866677662308E-3</v>
      </c>
    </row>
    <row r="79" spans="1:21" x14ac:dyDescent="0.25">
      <c r="A79">
        <v>16.399999999999999</v>
      </c>
      <c r="B79" s="5">
        <f>EnergyLJ($A79,$C$2,$C$4,shape_factors!B$2,$C$3,shape_factors!B$3)</f>
        <v>-1.6188796029220846E-2</v>
      </c>
      <c r="C79" s="5">
        <f>EnergyLJ($A79,$C$2,$C$4,shape_factors!C$2,$C$3,shape_factors!C$3)</f>
        <v>-1.7229347241436762E-3</v>
      </c>
      <c r="D79" s="5">
        <f>EnergyLJ($A79,$C$2,$C$4,shape_factors!D$2,$C$3,shape_factors!D$3)</f>
        <v>-2.5737574368692916E-2</v>
      </c>
      <c r="E79" s="5">
        <f>EnergyLJ($A79,$C$2,$C$4,shape_factors!E$2,$C$3,shape_factors!E$3)</f>
        <v>-4.7430356023890992E-3</v>
      </c>
      <c r="F79" s="5">
        <f>EnergyLJ($A79,$C$2,$C$4,shape_factors!F$2,$C$3,shape_factors!F$3)</f>
        <v>-1.3205301007810845E-3</v>
      </c>
      <c r="G79" s="5">
        <f>EnergyLJ($A79,$C$2,$C$4,shape_factors!G$2,$C$3,shape_factors!G$3)</f>
        <v>-2.2332007154928731E-3</v>
      </c>
      <c r="H79" s="5">
        <f>EnergyLJ($A79,$C$2,$C$4,shape_factors!H$2,$C$3,shape_factors!H$3)</f>
        <v>-0.19700569490947376</v>
      </c>
      <c r="I79" s="5">
        <f>EnergyLJ($A79,$C$2,$C$4,shape_factors!I$2,$C$3,shape_factors!I$3)</f>
        <v>-6.8930026108780613E-3</v>
      </c>
      <c r="J79" s="5">
        <f>EnergyLJ($A79,$C$2,$C$4,shape_factors!J$2,$C$3,shape_factors!J$3)</f>
        <v>-3.3510813433951947E-4</v>
      </c>
      <c r="K79" s="5">
        <f>EnergyLJ($A79,$C$2,$C$4,shape_factors!K$2,$C$3,shape_factors!K$3)</f>
        <v>-5.1700202955157117E-4</v>
      </c>
      <c r="L79" s="5">
        <f>EnergyLJ($A79,$C$2,$C$4,shape_factors!L$2,$C$3,shape_factors!L$3)</f>
        <v>-9.986311656978691E-4</v>
      </c>
      <c r="M79" s="5">
        <f>EnergyLJ($A79,$C$2,$C$4,shape_factors!M$2,$C$3,shape_factors!M$3)</f>
        <v>-3.7116211110777822E-4</v>
      </c>
      <c r="N79" s="5">
        <f>EnergyLJ($A79,$C$2,$C$4,shape_factors!N$2,$C$3,shape_factors!N$3)</f>
        <v>-1.1540016763676402E-4</v>
      </c>
      <c r="O79" s="5">
        <f>EnergyLJ($A79,$C$2,$C$4,shape_factors!O$2,$C$3,shape_factors!O$3)</f>
        <v>-8.2343007661917142E-5</v>
      </c>
      <c r="P79" s="5">
        <f>EnergyLJ($A79,$C$2,$C$4,shape_factors!P$2,$C$3,shape_factors!P$3)</f>
        <v>-1.2700073608865403E-4</v>
      </c>
      <c r="Q79" s="5">
        <f>EnergyLJ($A79,$C$2,$C$4,shape_factors!Q$2,$C$3,shape_factors!Q$3)</f>
        <v>-1.4382387368071765E-4</v>
      </c>
      <c r="R79" s="5">
        <f>EnergyLJ($A79,$C$2,$C$4,shape_factors!R$2,$C$3,shape_factors!R$3)</f>
        <v>-1.3906377334399489E-3</v>
      </c>
      <c r="S79" s="5">
        <f>EnergyLJ($A79,$C$2,$C$4,shape_factors!S$2,$C$3,shape_factors!S$3)</f>
        <v>-2.2384167463547461E-4</v>
      </c>
      <c r="T79" s="5">
        <f>EnergyLJ($A79,$C$2,$C$4,shape_factors!T$2,$C$3,shape_factors!T$3)</f>
        <v>-6.5252292041455558E-5</v>
      </c>
      <c r="U79" s="5">
        <f>EnergyLJ($A79,$C$2,$C$4,shape_factors!U$2,$C$3,shape_factors!U$3)</f>
        <v>-1.3511880129445618E-3</v>
      </c>
    </row>
    <row r="80" spans="1:21" x14ac:dyDescent="0.25">
      <c r="A80">
        <v>16.600000000000001</v>
      </c>
      <c r="B80" s="5">
        <f>EnergyLJ($A80,$C$2,$C$4,shape_factors!B$2,$C$3,shape_factors!B$3)</f>
        <v>-1.5056623361706057E-2</v>
      </c>
      <c r="C80" s="5">
        <f>EnergyLJ($A80,$C$2,$C$4,shape_factors!C$2,$C$3,shape_factors!C$3)</f>
        <v>-1.602115437577207E-3</v>
      </c>
      <c r="D80" s="5">
        <f>EnergyLJ($A80,$C$2,$C$4,shape_factors!D$2,$C$3,shape_factors!D$3)</f>
        <v>-2.3940836792013975E-2</v>
      </c>
      <c r="E80" s="5">
        <f>EnergyLJ($A80,$C$2,$C$4,shape_factors!E$2,$C$3,shape_factors!E$3)</f>
        <v>-4.410620249131394E-3</v>
      </c>
      <c r="F80" s="5">
        <f>EnergyLJ($A80,$C$2,$C$4,shape_factors!F$2,$C$3,shape_factors!F$3)</f>
        <v>-1.2279222001859282E-3</v>
      </c>
      <c r="G80" s="5">
        <f>EnergyLJ($A80,$C$2,$C$4,shape_factors!G$2,$C$3,shape_factors!G$3)</f>
        <v>-2.0766142443086762E-3</v>
      </c>
      <c r="H80" s="5">
        <f>EnergyLJ($A80,$C$2,$C$4,shape_factors!H$2,$C$3,shape_factors!H$3)</f>
        <v>-0.18373230921314357</v>
      </c>
      <c r="I80" s="5">
        <f>EnergyLJ($A80,$C$2,$C$4,shape_factors!I$2,$C$3,shape_factors!I$3)</f>
        <v>-6.4100996356441509E-3</v>
      </c>
      <c r="J80" s="5">
        <f>EnergyLJ($A80,$C$2,$C$4,shape_factors!J$2,$C$3,shape_factors!J$3)</f>
        <v>-3.1160294658080139E-4</v>
      </c>
      <c r="K80" s="5">
        <f>EnergyLJ($A80,$C$2,$C$4,shape_factors!K$2,$C$3,shape_factors!K$3)</f>
        <v>-4.8073963972090466E-4</v>
      </c>
      <c r="L80" s="5">
        <f>EnergyLJ($A80,$C$2,$C$4,shape_factors!L$2,$C$3,shape_factors!L$3)</f>
        <v>-9.2859366000222097E-4</v>
      </c>
      <c r="M80" s="5">
        <f>EnergyLJ($A80,$C$2,$C$4,shape_factors!M$2,$C$3,shape_factors!M$3)</f>
        <v>-3.4512819499217773E-4</v>
      </c>
      <c r="N80" s="5">
        <f>EnergyLJ($A80,$C$2,$C$4,shape_factors!N$2,$C$3,shape_factors!N$3)</f>
        <v>-1.0730542952871661E-4</v>
      </c>
      <c r="O80" s="5">
        <f>EnergyLJ($A80,$C$2,$C$4,shape_factors!O$2,$C$3,shape_factors!O$3)</f>
        <v>-7.6567026904858442E-5</v>
      </c>
      <c r="P80" s="5">
        <f>EnergyLJ($A80,$C$2,$C$4,shape_factors!P$2,$C$3,shape_factors!P$3)</f>
        <v>-1.1809229584363891E-4</v>
      </c>
      <c r="Q80" s="5">
        <f>EnergyLJ($A80,$C$2,$C$4,shape_factors!Q$2,$C$3,shape_factors!Q$3)</f>
        <v>-1.3373540926135756E-4</v>
      </c>
      <c r="R80" s="5">
        <f>EnergyLJ($A80,$C$2,$C$4,shape_factors!R$2,$C$3,shape_factors!R$3)</f>
        <v>-1.2931144941365489E-3</v>
      </c>
      <c r="S80" s="5">
        <f>EnergyLJ($A80,$C$2,$C$4,shape_factors!S$2,$C$3,shape_factors!S$3)</f>
        <v>-2.0814062745317082E-4</v>
      </c>
      <c r="T80" s="5">
        <f>EnergyLJ($A80,$C$2,$C$4,shape_factors!T$2,$C$3,shape_factors!T$3)</f>
        <v>-6.0675131425351665E-5</v>
      </c>
      <c r="U80" s="5">
        <f>EnergyLJ($A80,$C$2,$C$4,shape_factors!U$2,$C$3,shape_factors!U$3)</f>
        <v>-1.256430629963995E-3</v>
      </c>
    </row>
    <row r="81" spans="1:21" x14ac:dyDescent="0.25">
      <c r="A81">
        <v>16.8</v>
      </c>
      <c r="B81" s="5">
        <f>EnergyLJ($A81,$C$2,$C$4,shape_factors!B$2,$C$3,shape_factors!B$3)</f>
        <v>-1.4015574848212144E-2</v>
      </c>
      <c r="C81" s="5">
        <f>EnergyLJ($A81,$C$2,$C$4,shape_factors!C$2,$C$3,shape_factors!C$3)</f>
        <v>-1.4910637815189439E-3</v>
      </c>
      <c r="D81" s="5">
        <f>EnergyLJ($A81,$C$2,$C$4,shape_factors!D$2,$C$3,shape_factors!D$3)</f>
        <v>-2.2288279930418407E-2</v>
      </c>
      <c r="E81" s="5">
        <f>EnergyLJ($A81,$C$2,$C$4,shape_factors!E$2,$C$3,shape_factors!E$3)</f>
        <v>-4.1050542631613325E-3</v>
      </c>
      <c r="F81" s="5">
        <f>EnergyLJ($A81,$C$2,$C$4,shape_factors!F$2,$C$3,shape_factors!F$3)</f>
        <v>-1.1428020981833571E-3</v>
      </c>
      <c r="G81" s="5">
        <f>EnergyLJ($A81,$C$2,$C$4,shape_factors!G$2,$C$3,shape_factors!G$3)</f>
        <v>-1.9326850342266391E-3</v>
      </c>
      <c r="H81" s="5">
        <f>EnergyLJ($A81,$C$2,$C$4,shape_factors!H$2,$C$3,shape_factors!H$3)</f>
        <v>-0.17145993736893769</v>
      </c>
      <c r="I81" s="5">
        <f>EnergyLJ($A81,$C$2,$C$4,shape_factors!I$2,$C$3,shape_factors!I$3)</f>
        <v>-5.9661753326381017E-3</v>
      </c>
      <c r="J81" s="5">
        <f>EnergyLJ($A81,$C$2,$C$4,shape_factors!J$2,$C$3,shape_factors!J$3)</f>
        <v>-2.8999883660387073E-4</v>
      </c>
      <c r="K81" s="5">
        <f>EnergyLJ($A81,$C$2,$C$4,shape_factors!K$2,$C$3,shape_factors!K$3)</f>
        <v>-4.4740995633453702E-4</v>
      </c>
      <c r="L81" s="5">
        <f>EnergyLJ($A81,$C$2,$C$4,shape_factors!L$2,$C$3,shape_factors!L$3)</f>
        <v>-8.6421958105669804E-4</v>
      </c>
      <c r="M81" s="5">
        <f>EnergyLJ($A81,$C$2,$C$4,shape_factors!M$2,$C$3,shape_factors!M$3)</f>
        <v>-3.2119985480978604E-4</v>
      </c>
      <c r="N81" s="5">
        <f>EnergyLJ($A81,$C$2,$C$4,shape_factors!N$2,$C$3,shape_factors!N$3)</f>
        <v>-9.9865430002280548E-5</v>
      </c>
      <c r="O81" s="5">
        <f>EnergyLJ($A81,$C$2,$C$4,shape_factors!O$2,$C$3,shape_factors!O$3)</f>
        <v>-7.1258237963737827E-5</v>
      </c>
      <c r="P81" s="5">
        <f>EnergyLJ($A81,$C$2,$C$4,shape_factors!P$2,$C$3,shape_factors!P$3)</f>
        <v>-1.0990440750692097E-4</v>
      </c>
      <c r="Q81" s="5">
        <f>EnergyLJ($A81,$C$2,$C$4,shape_factors!Q$2,$C$3,shape_factors!Q$3)</f>
        <v>-1.2446293787399175E-4</v>
      </c>
      <c r="R81" s="5">
        <f>EnergyLJ($A81,$C$2,$C$4,shape_factors!R$2,$C$3,shape_factors!R$3)</f>
        <v>-1.2034763143223457E-3</v>
      </c>
      <c r="S81" s="5">
        <f>EnergyLJ($A81,$C$2,$C$4,shape_factors!S$2,$C$3,shape_factors!S$3)</f>
        <v>-1.9370950930427456E-4</v>
      </c>
      <c r="T81" s="5">
        <f>EnergyLJ($A81,$C$2,$C$4,shape_factors!T$2,$C$3,shape_factors!T$3)</f>
        <v>-5.6468197644030769E-5</v>
      </c>
      <c r="U81" s="5">
        <f>EnergyLJ($A81,$C$2,$C$4,shape_factors!U$2,$C$3,shape_factors!U$3)</f>
        <v>-1.1693347702386328E-3</v>
      </c>
    </row>
    <row r="82" spans="1:21" x14ac:dyDescent="0.25">
      <c r="A82">
        <v>17</v>
      </c>
      <c r="B82" s="5">
        <f>EnergyLJ($A82,$C$2,$C$4,shape_factors!B$2,$C$3,shape_factors!B$3)</f>
        <v>-1.3057388167042036E-2</v>
      </c>
      <c r="C82" s="5">
        <f>EnergyLJ($A82,$C$2,$C$4,shape_factors!C$2,$C$3,shape_factors!C$3)</f>
        <v>-1.3888879028853985E-3</v>
      </c>
      <c r="D82" s="5">
        <f>EnergyLJ($A82,$C$2,$C$4,shape_factors!D$2,$C$3,shape_factors!D$3)</f>
        <v>-2.0766892613760555E-2</v>
      </c>
      <c r="E82" s="5">
        <f>EnergyLJ($A82,$C$2,$C$4,shape_factors!E$2,$C$3,shape_factors!E$3)</f>
        <v>-3.8238896377657421E-3</v>
      </c>
      <c r="F82" s="5">
        <f>EnergyLJ($A82,$C$2,$C$4,shape_factors!F$2,$C$3,shape_factors!F$3)</f>
        <v>-1.0644859755926019E-3</v>
      </c>
      <c r="G82" s="5">
        <f>EnergyLJ($A82,$C$2,$C$4,shape_factors!G$2,$C$3,shape_factors!G$3)</f>
        <v>-1.8002576690726863E-3</v>
      </c>
      <c r="H82" s="5">
        <f>EnergyLJ($A82,$C$2,$C$4,shape_factors!H$2,$C$3,shape_factors!H$3)</f>
        <v>-0.16010745970002999</v>
      </c>
      <c r="I82" s="5">
        <f>EnergyLJ($A82,$C$2,$C$4,shape_factors!I$2,$C$3,shape_factors!I$3)</f>
        <v>-5.5576794622295587E-3</v>
      </c>
      <c r="J82" s="5">
        <f>EnergyLJ($A82,$C$2,$C$4,shape_factors!J$2,$C$3,shape_factors!J$3)</f>
        <v>-2.7012210832883052E-4</v>
      </c>
      <c r="K82" s="5">
        <f>EnergyLJ($A82,$C$2,$C$4,shape_factors!K$2,$C$3,shape_factors!K$3)</f>
        <v>-4.1674504942817243E-4</v>
      </c>
      <c r="L82" s="5">
        <f>EnergyLJ($A82,$C$2,$C$4,shape_factors!L$2,$C$3,shape_factors!L$3)</f>
        <v>-8.0499164041828667E-4</v>
      </c>
      <c r="M82" s="5">
        <f>EnergyLJ($A82,$C$2,$C$4,shape_factors!M$2,$C$3,shape_factors!M$3)</f>
        <v>-2.9918471335180148E-4</v>
      </c>
      <c r="N82" s="5">
        <f>EnergyLJ($A82,$C$2,$C$4,shape_factors!N$2,$C$3,shape_factors!N$3)</f>
        <v>-9.3020341225527923E-5</v>
      </c>
      <c r="O82" s="5">
        <f>EnergyLJ($A82,$C$2,$C$4,shape_factors!O$2,$C$3,shape_factors!O$3)</f>
        <v>-6.6373949737388732E-5</v>
      </c>
      <c r="P82" s="5">
        <f>EnergyLJ($A82,$C$2,$C$4,shape_factors!P$2,$C$3,shape_factors!P$3)</f>
        <v>-1.0237122980561333E-4</v>
      </c>
      <c r="Q82" s="5">
        <f>EnergyLJ($A82,$C$2,$C$4,shape_factors!Q$2,$C$3,shape_factors!Q$3)</f>
        <v>-1.159318977955844E-4</v>
      </c>
      <c r="R82" s="5">
        <f>EnergyLJ($A82,$C$2,$C$4,shape_factors!R$2,$C$3,shape_factors!R$3)</f>
        <v>-1.1210031191543281E-3</v>
      </c>
      <c r="S82" s="5">
        <f>EnergyLJ($A82,$C$2,$C$4,shape_factors!S$2,$C$3,shape_factors!S$3)</f>
        <v>-1.8043228426158057E-4</v>
      </c>
      <c r="T82" s="5">
        <f>EnergyLJ($A82,$C$2,$C$4,shape_factors!T$2,$C$3,shape_factors!T$3)</f>
        <v>-5.2597659798409516E-5</v>
      </c>
      <c r="U82" s="5">
        <f>EnergyLJ($A82,$C$2,$C$4,shape_factors!U$2,$C$3,shape_factors!U$3)</f>
        <v>-1.0892007594631673E-3</v>
      </c>
    </row>
    <row r="83" spans="1:21" x14ac:dyDescent="0.25">
      <c r="A83">
        <v>17.2</v>
      </c>
      <c r="B83" s="5">
        <f>EnergyLJ($A83,$C$2,$C$4,shape_factors!B$2,$C$3,shape_factors!B$3)</f>
        <v>-1.2174630929096769E-2</v>
      </c>
      <c r="C83" s="5">
        <f>EnergyLJ($A83,$C$2,$C$4,shape_factors!C$2,$C$3,shape_factors!C$3)</f>
        <v>-1.2947864839674274E-3</v>
      </c>
      <c r="D83" s="5">
        <f>EnergyLJ($A83,$C$2,$C$4,shape_factors!D$2,$C$3,shape_factors!D$3)</f>
        <v>-1.9364961151749762E-2</v>
      </c>
      <c r="E83" s="5">
        <f>EnergyLJ($A83,$C$2,$C$4,shape_factors!E$2,$C$3,shape_factors!E$3)</f>
        <v>-3.5649263364014947E-3</v>
      </c>
      <c r="F83" s="5">
        <f>EnergyLJ($A83,$C$2,$C$4,shape_factors!F$2,$C$3,shape_factors!F$3)</f>
        <v>-9.9235945016563085E-4</v>
      </c>
      <c r="G83" s="5">
        <f>EnergyLJ($A83,$C$2,$C$4,shape_factors!G$2,$C$3,shape_factors!G$3)</f>
        <v>-1.6782939807160801E-3</v>
      </c>
      <c r="H83" s="5">
        <f>EnergyLJ($A83,$C$2,$C$4,shape_factors!H$2,$C$3,shape_factors!H$3)</f>
        <v>-0.14960042906951002</v>
      </c>
      <c r="I83" s="5">
        <f>EnergyLJ($A83,$C$2,$C$4,shape_factors!I$2,$C$3,shape_factors!I$3)</f>
        <v>-5.1814208477947077E-3</v>
      </c>
      <c r="J83" s="5">
        <f>EnergyLJ($A83,$C$2,$C$4,shape_factors!J$2,$C$3,shape_factors!J$3)</f>
        <v>-2.5181671560026327E-4</v>
      </c>
      <c r="K83" s="5">
        <f>EnergyLJ($A83,$C$2,$C$4,shape_factors!K$2,$C$3,shape_factors!K$3)</f>
        <v>-3.8850421092036805E-4</v>
      </c>
      <c r="L83" s="5">
        <f>EnergyLJ($A83,$C$2,$C$4,shape_factors!L$2,$C$3,shape_factors!L$3)</f>
        <v>-7.5044508858413436E-4</v>
      </c>
      <c r="M83" s="5">
        <f>EnergyLJ($A83,$C$2,$C$4,shape_factors!M$2,$C$3,shape_factors!M$3)</f>
        <v>-2.7890994109587965E-4</v>
      </c>
      <c r="N83" s="5">
        <f>EnergyLJ($A83,$C$2,$C$4,shape_factors!N$2,$C$3,shape_factors!N$3)</f>
        <v>-8.6716415647469853E-5</v>
      </c>
      <c r="O83" s="5">
        <f>EnergyLJ($A83,$C$2,$C$4,shape_factors!O$2,$C$3,shape_factors!O$3)</f>
        <v>-6.1875809907317345E-5</v>
      </c>
      <c r="P83" s="5">
        <f>EnergyLJ($A83,$C$2,$C$4,shape_factors!P$2,$C$3,shape_factors!P$3)</f>
        <v>-9.5433612836668883E-5</v>
      </c>
      <c r="Q83" s="5">
        <f>EnergyLJ($A83,$C$2,$C$4,shape_factors!Q$2,$C$3,shape_factors!Q$3)</f>
        <v>-1.0807530483164609E-4</v>
      </c>
      <c r="R83" s="5">
        <f>EnergyLJ($A83,$C$2,$C$4,shape_factors!R$2,$C$3,shape_factors!R$3)</f>
        <v>-1.0450479485818133E-3</v>
      </c>
      <c r="S83" s="5">
        <f>EnergyLJ($A83,$C$2,$C$4,shape_factors!S$2,$C$3,shape_factors!S$3)</f>
        <v>-1.68204708182159E-4</v>
      </c>
      <c r="T83" s="5">
        <f>EnergyLJ($A83,$C$2,$C$4,shape_factors!T$2,$C$3,shape_factors!T$3)</f>
        <v>-4.9033125333455761E-5</v>
      </c>
      <c r="U83" s="5">
        <f>EnergyLJ($A83,$C$2,$C$4,shape_factors!U$2,$C$3,shape_factors!U$3)</f>
        <v>-1.0153999686914022E-3</v>
      </c>
    </row>
    <row r="84" spans="1:21" x14ac:dyDescent="0.25">
      <c r="A84">
        <v>17.399999999999999</v>
      </c>
      <c r="B84" s="5">
        <f>EnergyLJ($A84,$C$2,$C$4,shape_factors!B$2,$C$3,shape_factors!B$3)</f>
        <v>-1.1360609586545533E-2</v>
      </c>
      <c r="C84" s="5">
        <f>EnergyLJ($A84,$C$2,$C$4,shape_factors!C$2,$C$3,shape_factors!C$3)</f>
        <v>-1.2080386506950966E-3</v>
      </c>
      <c r="D84" s="5">
        <f>EnergyLJ($A84,$C$2,$C$4,shape_factors!D$2,$C$3,shape_factors!D$3)</f>
        <v>-1.8071928466964007E-2</v>
      </c>
      <c r="E84" s="5">
        <f>EnergyLJ($A84,$C$2,$C$4,shape_factors!E$2,$C$3,shape_factors!E$3)</f>
        <v>-3.3261847385285398E-3</v>
      </c>
      <c r="F84" s="5">
        <f>EnergyLJ($A84,$C$2,$C$4,shape_factors!F$2,$C$3,shape_factors!F$3)</f>
        <v>-9.2586983343778792E-4</v>
      </c>
      <c r="G84" s="5">
        <f>EnergyLJ($A84,$C$2,$C$4,shape_factors!G$2,$C$3,shape_factors!G$3)</f>
        <v>-1.5658599866113169E-3</v>
      </c>
      <c r="H84" s="5">
        <f>EnergyLJ($A84,$C$2,$C$4,shape_factors!H$2,$C$3,shape_factors!H$3)</f>
        <v>-0.13987057882740589</v>
      </c>
      <c r="I84" s="5">
        <f>EnergyLJ($A84,$C$2,$C$4,shape_factors!I$2,$C$3,shape_factors!I$3)</f>
        <v>-4.8345275670680487E-3</v>
      </c>
      <c r="J84" s="5">
        <f>EnergyLJ($A84,$C$2,$C$4,shape_factors!J$2,$C$3,shape_factors!J$3)</f>
        <v>-2.3494229199721729E-4</v>
      </c>
      <c r="K84" s="5">
        <f>EnergyLJ($A84,$C$2,$C$4,shape_factors!K$2,$C$3,shape_factors!K$3)</f>
        <v>-3.624709165079934E-4</v>
      </c>
      <c r="L84" s="5">
        <f>EnergyLJ($A84,$C$2,$C$4,shape_factors!L$2,$C$3,shape_factors!L$3)</f>
        <v>-7.0016185426054179E-4</v>
      </c>
      <c r="M84" s="5">
        <f>EnergyLJ($A84,$C$2,$C$4,shape_factors!M$2,$C$3,shape_factors!M$3)</f>
        <v>-2.6022007425693591E-4</v>
      </c>
      <c r="N84" s="5">
        <f>EnergyLJ($A84,$C$2,$C$4,shape_factors!N$2,$C$3,shape_factors!N$3)</f>
        <v>-8.0905307128560349E-5</v>
      </c>
      <c r="O84" s="5">
        <f>EnergyLJ($A84,$C$2,$C$4,shape_factors!O$2,$C$3,shape_factors!O$3)</f>
        <v>-5.7729320491909605E-5</v>
      </c>
      <c r="P84" s="5">
        <f>EnergyLJ($A84,$C$2,$C$4,shape_factors!P$2,$C$3,shape_factors!P$3)</f>
        <v>-8.9038350977533004E-5</v>
      </c>
      <c r="Q84" s="5">
        <f>EnergyLJ($A84,$C$2,$C$4,shape_factors!Q$2,$C$3,shape_factors!Q$3)</f>
        <v>-1.008329063020644E-4</v>
      </c>
      <c r="R84" s="5">
        <f>EnergyLJ($A84,$C$2,$C$4,shape_factors!R$2,$C$3,shape_factors!R$3)</f>
        <v>-9.7502880465320948E-4</v>
      </c>
      <c r="S84" s="5">
        <f>EnergyLJ($A84,$C$2,$C$4,shape_factors!S$2,$C$3,shape_factors!S$3)</f>
        <v>-1.5693301228841944E-4</v>
      </c>
      <c r="T84" s="5">
        <f>EnergyLJ($A84,$C$2,$C$4,shape_factors!T$2,$C$3,shape_factors!T$3)</f>
        <v>-4.5747256123973431E-5</v>
      </c>
      <c r="U84" s="5">
        <f>EnergyLJ($A84,$C$2,$C$4,shape_factors!U$2,$C$3,shape_factors!U$3)</f>
        <v>-9.4736689207509971E-4</v>
      </c>
    </row>
    <row r="85" spans="1:21" x14ac:dyDescent="0.25">
      <c r="A85">
        <v>17.600000000000001</v>
      </c>
      <c r="B85" s="5">
        <f>EnergyLJ($A85,$C$2,$C$4,shape_factors!B$2,$C$3,shape_factors!B$3)</f>
        <v>-1.0609289137450791E-2</v>
      </c>
      <c r="C85" s="5">
        <f>EnergyLJ($A85,$C$2,$C$4,shape_factors!C$2,$C$3,shape_factors!C$3)</f>
        <v>-1.1279951036988558E-3</v>
      </c>
      <c r="D85" s="5">
        <f>EnergyLJ($A85,$C$2,$C$4,shape_factors!D$2,$C$3,shape_factors!D$3)</f>
        <v>-1.6878269656856175E-2</v>
      </c>
      <c r="E85" s="5">
        <f>EnergyLJ($A85,$C$2,$C$4,shape_factors!E$2,$C$3,shape_factors!E$3)</f>
        <v>-3.1058814094299474E-3</v>
      </c>
      <c r="F85" s="5">
        <f>EnergyLJ($A85,$C$2,$C$4,shape_factors!F$2,$C$3,shape_factors!F$3)</f>
        <v>-8.6451932634562978E-4</v>
      </c>
      <c r="G85" s="5">
        <f>EnergyLJ($A85,$C$2,$C$4,shape_factors!G$2,$C$3,shape_factors!G$3)</f>
        <v>-1.4621144089250315E-3</v>
      </c>
      <c r="H85" s="5">
        <f>EnergyLJ($A85,$C$2,$C$4,shape_factors!H$2,$C$3,shape_factors!H$3)</f>
        <v>-0.1308553475562487</v>
      </c>
      <c r="I85" s="5">
        <f>EnergyLJ($A85,$C$2,$C$4,shape_factors!I$2,$C$3,shape_factors!I$3)</f>
        <v>-4.5144119304320277E-3</v>
      </c>
      <c r="J85" s="5">
        <f>EnergyLJ($A85,$C$2,$C$4,shape_factors!J$2,$C$3,shape_factors!J$3)</f>
        <v>-2.1937241984375835E-4</v>
      </c>
      <c r="K85" s="5">
        <f>EnergyLJ($A85,$C$2,$C$4,shape_factors!K$2,$C$3,shape_factors!K$3)</f>
        <v>-3.384501563217243E-4</v>
      </c>
      <c r="L85" s="5">
        <f>EnergyLJ($A85,$C$2,$C$4,shape_factors!L$2,$C$3,shape_factors!L$3)</f>
        <v>-6.5376539450668161E-4</v>
      </c>
      <c r="M85" s="5">
        <f>EnergyLJ($A85,$C$2,$C$4,shape_factors!M$2,$C$3,shape_factors!M$3)</f>
        <v>-2.429750977345245E-4</v>
      </c>
      <c r="N85" s="5">
        <f>EnergyLJ($A85,$C$2,$C$4,shape_factors!N$2,$C$3,shape_factors!N$3)</f>
        <v>-7.5543474518533155E-5</v>
      </c>
      <c r="O85" s="5">
        <f>EnergyLJ($A85,$C$2,$C$4,shape_factors!O$2,$C$3,shape_factors!O$3)</f>
        <v>-5.3903412238377937E-5</v>
      </c>
      <c r="P85" s="5">
        <f>EnergyLJ($A85,$C$2,$C$4,shape_factors!P$2,$C$3,shape_factors!P$3)</f>
        <v>-8.3137526527791528E-5</v>
      </c>
      <c r="Q85" s="5">
        <f>EnergyLJ($A85,$C$2,$C$4,shape_factors!Q$2,$C$3,shape_factors!Q$3)</f>
        <v>-9.4150437769484845E-5</v>
      </c>
      <c r="R85" s="5">
        <f>EnergyLJ($A85,$C$2,$C$4,shape_factors!R$2,$C$3,shape_factors!R$3)</f>
        <v>-9.1042148714263527E-4</v>
      </c>
      <c r="S85" s="5">
        <f>EnergyLJ($A85,$C$2,$C$4,shape_factors!S$2,$C$3,shape_factors!S$3)</f>
        <v>-1.4653274660086484E-4</v>
      </c>
      <c r="T85" s="5">
        <f>EnergyLJ($A85,$C$2,$C$4,shape_factors!T$2,$C$3,shape_factors!T$3)</f>
        <v>-4.2715431189330843E-5</v>
      </c>
      <c r="U85" s="5">
        <f>EnergyLJ($A85,$C$2,$C$4,shape_factors!U$2,$C$3,shape_factors!U$3)</f>
        <v>-8.8459218504285421E-4</v>
      </c>
    </row>
    <row r="86" spans="1:21" x14ac:dyDescent="0.25">
      <c r="A86">
        <v>17.8</v>
      </c>
      <c r="B86" s="5">
        <f>EnergyLJ($A86,$C$2,$C$4,shape_factors!B$2,$C$3,shape_factors!B$3)</f>
        <v>-9.9152222594399292E-3</v>
      </c>
      <c r="C86" s="5">
        <f>EnergyLJ($A86,$C$2,$C$4,shape_factors!C$2,$C$3,shape_factors!C$3)</f>
        <v>-1.0540703124516087E-3</v>
      </c>
      <c r="D86" s="5">
        <f>EnergyLJ($A86,$C$2,$C$4,shape_factors!D$2,$C$3,shape_factors!D$3)</f>
        <v>-1.577538195334734E-2</v>
      </c>
      <c r="E86" s="5">
        <f>EnergyLJ($A86,$C$2,$C$4,shape_factors!E$2,$C$3,shape_factors!E$3)</f>
        <v>-2.9024077624873169E-3</v>
      </c>
      <c r="F86" s="5">
        <f>EnergyLJ($A86,$C$2,$C$4,shape_factors!F$2,$C$3,shape_factors!F$3)</f>
        <v>-8.0785903089750782E-4</v>
      </c>
      <c r="G86" s="5">
        <f>EnergyLJ($A86,$C$2,$C$4,shape_factors!G$2,$C$3,shape_factors!G$3)</f>
        <v>-1.3662985688784018E-3</v>
      </c>
      <c r="H86" s="5">
        <f>EnergyLJ($A86,$C$2,$C$4,shape_factors!H$2,$C$3,shape_factors!H$3)</f>
        <v>-0.1224974260848683</v>
      </c>
      <c r="I86" s="5">
        <f>EnergyLJ($A86,$C$2,$C$4,shape_factors!I$2,$C$3,shape_factors!I$3)</f>
        <v>-4.2187396274492731E-3</v>
      </c>
      <c r="J86" s="5">
        <f>EnergyLJ($A86,$C$2,$C$4,shape_factors!J$2,$C$3,shape_factors!J$3)</f>
        <v>-2.0499310709166696E-4</v>
      </c>
      <c r="K86" s="5">
        <f>EnergyLJ($A86,$C$2,$C$4,shape_factors!K$2,$C$3,shape_factors!K$3)</f>
        <v>-3.1626608606170621E-4</v>
      </c>
      <c r="L86" s="5">
        <f>EnergyLJ($A86,$C$2,$C$4,shape_factors!L$2,$C$3,shape_factors!L$3)</f>
        <v>-6.1091616276957221E-4</v>
      </c>
      <c r="M86" s="5">
        <f>EnergyLJ($A86,$C$2,$C$4,shape_factors!M$2,$C$3,shape_factors!M$3)</f>
        <v>-2.2704875826537173E-4</v>
      </c>
      <c r="N86" s="5">
        <f>EnergyLJ($A86,$C$2,$C$4,shape_factors!N$2,$C$3,shape_factors!N$3)</f>
        <v>-7.059165687871508E-5</v>
      </c>
      <c r="O86" s="5">
        <f>EnergyLJ($A86,$C$2,$C$4,shape_factors!O$2,$C$3,shape_factors!O$3)</f>
        <v>-5.0370070142599229E-5</v>
      </c>
      <c r="P86" s="5">
        <f>EnergyLJ($A86,$C$2,$C$4,shape_factors!P$2,$C$3,shape_factors!P$3)</f>
        <v>-7.7687932193838644E-5</v>
      </c>
      <c r="Q86" s="5">
        <f>EnergyLJ($A86,$C$2,$C$4,shape_factors!Q$2,$C$3,shape_factors!Q$3)</f>
        <v>-8.7978969048900941E-5</v>
      </c>
      <c r="R86" s="5">
        <f>EnergyLJ($A86,$C$2,$C$4,shape_factors!R$2,$C$3,shape_factors!R$3)</f>
        <v>-8.5075328832234114E-4</v>
      </c>
      <c r="S86" s="5">
        <f>EnergyLJ($A86,$C$2,$C$4,shape_factors!S$2,$C$3,shape_factors!S$3)</f>
        <v>-1.3692776228200473E-4</v>
      </c>
      <c r="T86" s="5">
        <f>EnergyLJ($A86,$C$2,$C$4,shape_factors!T$2,$C$3,shape_factors!T$3)</f>
        <v>-3.9915449926869084E-5</v>
      </c>
      <c r="U86" s="5">
        <f>EnergyLJ($A86,$C$2,$C$4,shape_factors!U$2,$C$3,shape_factors!U$3)</f>
        <v>-8.2661653737908574E-4</v>
      </c>
    </row>
    <row r="87" spans="1:21" x14ac:dyDescent="0.25">
      <c r="A87">
        <v>18</v>
      </c>
      <c r="B87" s="5">
        <f>EnergyLJ($A87,$C$2,$C$4,shape_factors!B$2,$C$3,shape_factors!B$3)</f>
        <v>-9.2734866885062391E-3</v>
      </c>
      <c r="C87" s="5">
        <f>EnergyLJ($A87,$C$2,$C$4,shape_factors!C$2,$C$3,shape_factors!C$3)</f>
        <v>-9.8573563510519083E-4</v>
      </c>
      <c r="D87" s="5">
        <f>EnergyLJ($A87,$C$2,$C$4,shape_factors!D$2,$C$3,shape_factors!D$3)</f>
        <v>-1.4755487311118592E-2</v>
      </c>
      <c r="E87" s="5">
        <f>EnergyLJ($A87,$C$2,$C$4,shape_factors!E$2,$C$3,shape_factors!E$3)</f>
        <v>-2.7143112422163113E-3</v>
      </c>
      <c r="F87" s="5">
        <f>EnergyLJ($A87,$C$2,$C$4,shape_factors!F$2,$C$3,shape_factors!F$3)</f>
        <v>-7.5548367235678227E-4</v>
      </c>
      <c r="G87" s="5">
        <f>EnergyLJ($A87,$C$2,$C$4,shape_factors!G$2,$C$3,shape_factors!G$3)</f>
        <v>-1.2777274787476828E-3</v>
      </c>
      <c r="H87" s="5">
        <f>EnergyLJ($A87,$C$2,$C$4,shape_factors!H$2,$C$3,shape_factors!H$3)</f>
        <v>-0.11474433003708417</v>
      </c>
      <c r="I87" s="5">
        <f>EnergyLJ($A87,$C$2,$C$4,shape_factors!I$2,$C$3,shape_factors!I$3)</f>
        <v>-3.9454025082093372E-3</v>
      </c>
      <c r="J87" s="5">
        <f>EnergyLJ($A87,$C$2,$C$4,shape_factors!J$2,$C$3,shape_factors!J$3)</f>
        <v>-1.9170144514271965E-4</v>
      </c>
      <c r="K87" s="5">
        <f>EnergyLJ($A87,$C$2,$C$4,shape_factors!K$2,$C$3,shape_factors!K$3)</f>
        <v>-2.9575995710472272E-4</v>
      </c>
      <c r="L87" s="5">
        <f>EnergyLJ($A87,$C$2,$C$4,shape_factors!L$2,$C$3,shape_factors!L$3)</f>
        <v>-5.7130761485123759E-4</v>
      </c>
      <c r="M87" s="5">
        <f>EnergyLJ($A87,$C$2,$C$4,shape_factors!M$2,$C$3,shape_factors!M$3)</f>
        <v>-2.123270779569223E-4</v>
      </c>
      <c r="N87" s="5">
        <f>EnergyLJ($A87,$C$2,$C$4,shape_factors!N$2,$C$3,shape_factors!N$3)</f>
        <v>-6.6014411062630693E-5</v>
      </c>
      <c r="O87" s="5">
        <f>EnergyLJ($A87,$C$2,$C$4,shape_factors!O$2,$C$3,shape_factors!O$3)</f>
        <v>-4.7104003469514235E-5</v>
      </c>
      <c r="P87" s="5">
        <f>EnergyLJ($A87,$C$2,$C$4,shape_factors!P$2,$C$3,shape_factors!P$3)</f>
        <v>-7.2650562197557162E-5</v>
      </c>
      <c r="Q87" s="5">
        <f>EnergyLJ($A87,$C$2,$C$4,shape_factors!Q$2,$C$3,shape_factors!Q$3)</f>
        <v>-8.2274327926882987E-5</v>
      </c>
      <c r="R87" s="5">
        <f>EnergyLJ($A87,$C$2,$C$4,shape_factors!R$2,$C$3,shape_factors!R$3)</f>
        <v>-7.9559743578190632E-4</v>
      </c>
      <c r="S87" s="5">
        <f>EnergyLJ($A87,$C$2,$C$4,shape_factors!S$2,$C$3,shape_factors!S$3)</f>
        <v>-1.2804931489002915E-4</v>
      </c>
      <c r="T87" s="5">
        <f>EnergyLJ($A87,$C$2,$C$4,shape_factors!T$2,$C$3,shape_factors!T$3)</f>
        <v>-3.7327270611692082E-5</v>
      </c>
      <c r="U87" s="5">
        <f>EnergyLJ($A87,$C$2,$C$4,shape_factors!U$2,$C$3,shape_factors!U$3)</f>
        <v>-7.7302527323158687E-4</v>
      </c>
    </row>
    <row r="88" spans="1:21" x14ac:dyDescent="0.25">
      <c r="A88">
        <v>18.2</v>
      </c>
      <c r="B88" s="5">
        <f>EnergyLJ($A88,$C$2,$C$4,shape_factors!B$2,$C$3,shape_factors!B$3)</f>
        <v>-8.6796298163892768E-3</v>
      </c>
      <c r="C88" s="5">
        <f>EnergyLJ($A88,$C$2,$C$4,shape_factors!C$2,$C$3,shape_factors!C$3)</f>
        <v>-9.2251324564276299E-4</v>
      </c>
      <c r="D88" s="5">
        <f>EnergyLJ($A88,$C$2,$C$4,shape_factors!D$2,$C$3,shape_factors!D$3)</f>
        <v>-1.3811546083402569E-2</v>
      </c>
      <c r="E88" s="5">
        <f>EnergyLJ($A88,$C$2,$C$4,shape_factors!E$2,$C$3,shape_factors!E$3)</f>
        <v>-2.5402787074009347E-3</v>
      </c>
      <c r="F88" s="5">
        <f>EnergyLJ($A88,$C$2,$C$4,shape_factors!F$2,$C$3,shape_factors!F$3)</f>
        <v>-7.0702694101397684E-4</v>
      </c>
      <c r="G88" s="5">
        <f>EnergyLJ($A88,$C$2,$C$4,shape_factors!G$2,$C$3,shape_factors!G$3)</f>
        <v>-1.1957819785001905E-3</v>
      </c>
      <c r="H88" s="5">
        <f>EnergyLJ($A88,$C$2,$C$4,shape_factors!H$2,$C$3,shape_factors!H$3)</f>
        <v>-0.10754799958889898</v>
      </c>
      <c r="I88" s="5">
        <f>EnergyLJ($A88,$C$2,$C$4,shape_factors!I$2,$C$3,shape_factors!I$3)</f>
        <v>-3.6924945388884787E-3</v>
      </c>
      <c r="J88" s="5">
        <f>EnergyLJ($A88,$C$2,$C$4,shape_factors!J$2,$C$3,shape_factors!J$3)</f>
        <v>-1.7940442441691983E-4</v>
      </c>
      <c r="K88" s="5">
        <f>EnergyLJ($A88,$C$2,$C$4,shape_factors!K$2,$C$3,shape_factors!K$3)</f>
        <v>-2.7678828983411757E-4</v>
      </c>
      <c r="L88" s="5">
        <f>EnergyLJ($A88,$C$2,$C$4,shape_factors!L$2,$C$3,shape_factors!L$3)</f>
        <v>-5.3466268393141041E-4</v>
      </c>
      <c r="M88" s="5">
        <f>EnergyLJ($A88,$C$2,$C$4,shape_factors!M$2,$C$3,shape_factors!M$3)</f>
        <v>-1.9870704251774893E-4</v>
      </c>
      <c r="N88" s="5">
        <f>EnergyLJ($A88,$C$2,$C$4,shape_factors!N$2,$C$3,shape_factors!N$3)</f>
        <v>-6.1779703658557846E-5</v>
      </c>
      <c r="O88" s="5">
        <f>EnergyLJ($A88,$C$2,$C$4,shape_factors!O$2,$C$3,shape_factors!O$3)</f>
        <v>-4.4082354567364756E-5</v>
      </c>
      <c r="P88" s="5">
        <f>EnergyLJ($A88,$C$2,$C$4,shape_factors!P$2,$C$3,shape_factors!P$3)</f>
        <v>-6.799016320937637E-5</v>
      </c>
      <c r="Q88" s="5">
        <f>EnergyLJ($A88,$C$2,$C$4,shape_factors!Q$2,$C$3,shape_factors!Q$3)</f>
        <v>-7.699659162604879E-5</v>
      </c>
      <c r="R88" s="5">
        <f>EnergyLJ($A88,$C$2,$C$4,shape_factors!R$2,$C$3,shape_factors!R$3)</f>
        <v>-7.4456818757880647E-4</v>
      </c>
      <c r="S88" s="5">
        <f>EnergyLJ($A88,$C$2,$C$4,shape_factors!S$2,$C$3,shape_factors!S$3)</f>
        <v>-1.1983527304056907E-4</v>
      </c>
      <c r="T88" s="5">
        <f>EnergyLJ($A88,$C$2,$C$4,shape_factors!T$2,$C$3,shape_factors!T$3)</f>
        <v>-3.4932779640168563E-5</v>
      </c>
      <c r="U88" s="5">
        <f>EnergyLJ($A88,$C$2,$C$4,shape_factors!U$2,$C$3,shape_factors!U$3)</f>
        <v>-7.2344358502809025E-4</v>
      </c>
    </row>
    <row r="89" spans="1:21" x14ac:dyDescent="0.25">
      <c r="A89">
        <v>18.399999999999999</v>
      </c>
      <c r="B89" s="5">
        <f>EnergyLJ($A89,$C$2,$C$4,shape_factors!B$2,$C$3,shape_factors!B$3)</f>
        <v>-8.129619615432444E-3</v>
      </c>
      <c r="C89" s="5">
        <f>EnergyLJ($A89,$C$2,$C$4,shape_factors!C$2,$C$3,shape_factors!C$3)</f>
        <v>-8.6397076617815676E-4</v>
      </c>
      <c r="D89" s="5">
        <f>EnergyLJ($A89,$C$2,$C$4,shape_factors!D$2,$C$3,shape_factors!D$3)</f>
        <v>-1.2937180441553986E-2</v>
      </c>
      <c r="E89" s="5">
        <f>EnergyLJ($A89,$C$2,$C$4,shape_factors!E$2,$C$3,shape_factors!E$3)</f>
        <v>-2.3791217372616854E-3</v>
      </c>
      <c r="F89" s="5">
        <f>EnergyLJ($A89,$C$2,$C$4,shape_factors!F$2,$C$3,shape_factors!F$3)</f>
        <v>-6.6215737508587948E-4</v>
      </c>
      <c r="G89" s="5">
        <f>EnergyLJ($A89,$C$2,$C$4,shape_factors!G$2,$C$3,shape_factors!G$3)</f>
        <v>-1.1199017849716395E-3</v>
      </c>
      <c r="H89" s="5">
        <f>EnergyLJ($A89,$C$2,$C$4,shape_factors!H$2,$C$3,shape_factors!H$3)</f>
        <v>-0.10086442697090049</v>
      </c>
      <c r="I89" s="5">
        <f>EnergyLJ($A89,$C$2,$C$4,shape_factors!I$2,$C$3,shape_factors!I$3)</f>
        <v>-3.4582905332152494E-3</v>
      </c>
      <c r="J89" s="5">
        <f>EnergyLJ($A89,$C$2,$C$4,shape_factors!J$2,$C$3,shape_factors!J$3)</f>
        <v>-1.6801788765903827E-4</v>
      </c>
      <c r="K89" s="5">
        <f>EnergyLJ($A89,$C$2,$C$4,shape_factors!K$2,$C$3,shape_factors!K$3)</f>
        <v>-2.5922125935232821E-4</v>
      </c>
      <c r="L89" s="5">
        <f>EnergyLJ($A89,$C$2,$C$4,shape_factors!L$2,$C$3,shape_factors!L$3)</f>
        <v>-5.0073066521608936E-4</v>
      </c>
      <c r="M89" s="5">
        <f>EnergyLJ($A89,$C$2,$C$4,shape_factors!M$2,$C$3,shape_factors!M$3)</f>
        <v>-1.8609544202849096E-4</v>
      </c>
      <c r="N89" s="5">
        <f>EnergyLJ($A89,$C$2,$C$4,shape_factors!N$2,$C$3,shape_factors!N$3)</f>
        <v>-5.7858550396658507E-5</v>
      </c>
      <c r="O89" s="5">
        <f>EnergyLJ($A89,$C$2,$C$4,shape_factors!O$2,$C$3,shape_factors!O$3)</f>
        <v>-4.1284441553397429E-5</v>
      </c>
      <c r="P89" s="5">
        <f>EnergyLJ($A89,$C$2,$C$4,shape_factors!P$2,$C$3,shape_factors!P$3)</f>
        <v>-6.3674837515405349E-5</v>
      </c>
      <c r="Q89" s="5">
        <f>EnergyLJ($A89,$C$2,$C$4,shape_factors!Q$2,$C$3,shape_factors!Q$3)</f>
        <v>-7.2109637419731605E-5</v>
      </c>
      <c r="R89" s="5">
        <f>EnergyLJ($A89,$C$2,$C$4,shape_factors!R$2,$C$3,shape_factors!R$3)</f>
        <v>-6.9731649712127786E-4</v>
      </c>
      <c r="S89" s="5">
        <f>EnergyLJ($A89,$C$2,$C$4,shape_factors!S$2,$C$3,shape_factors!S$3)</f>
        <v>-1.1222941910479492E-4</v>
      </c>
      <c r="T89" s="5">
        <f>EnergyLJ($A89,$C$2,$C$4,shape_factors!T$2,$C$3,shape_factors!T$3)</f>
        <v>-3.2715587616113212E-5</v>
      </c>
      <c r="U89" s="5">
        <f>EnergyLJ($A89,$C$2,$C$4,shape_factors!U$2,$C$3,shape_factors!U$3)</f>
        <v>-6.7753232103036397E-4</v>
      </c>
    </row>
    <row r="90" spans="1:21" x14ac:dyDescent="0.25">
      <c r="A90">
        <v>18.600000000000001</v>
      </c>
      <c r="B90" s="5">
        <f>EnergyLJ($A90,$C$2,$C$4,shape_factors!B$2,$C$3,shape_factors!B$3)</f>
        <v>-7.6198011165085171E-3</v>
      </c>
      <c r="C90" s="5">
        <f>EnergyLJ($A90,$C$2,$C$4,shape_factors!C$2,$C$3,shape_factors!C$3)</f>
        <v>-8.0971651608053815E-4</v>
      </c>
      <c r="D90" s="5">
        <f>EnergyLJ($A90,$C$2,$C$4,shape_factors!D$2,$C$3,shape_factors!D$3)</f>
        <v>-1.2126606365984328E-2</v>
      </c>
      <c r="E90" s="5">
        <f>EnergyLJ($A90,$C$2,$C$4,shape_factors!E$2,$C$3,shape_factors!E$3)</f>
        <v>-2.2297636208958031E-3</v>
      </c>
      <c r="F90" s="5">
        <f>EnergyLJ($A90,$C$2,$C$4,shape_factors!F$2,$C$3,shape_factors!F$3)</f>
        <v>-6.2057471692303335E-4</v>
      </c>
      <c r="G90" s="5">
        <f>EnergyLJ($A90,$C$2,$C$4,shape_factors!G$2,$C$3,shape_factors!G$3)</f>
        <v>-1.0495793393741661E-3</v>
      </c>
      <c r="H90" s="5">
        <f>EnergyLJ($A90,$C$2,$C$4,shape_factors!H$2,$C$3,shape_factors!H$3)</f>
        <v>-9.4653311455849473E-2</v>
      </c>
      <c r="I90" s="5">
        <f>EnergyLJ($A90,$C$2,$C$4,shape_factors!I$2,$C$3,shape_factors!I$3)</f>
        <v>-3.2412273148998503E-3</v>
      </c>
      <c r="J90" s="5">
        <f>EnergyLJ($A90,$C$2,$C$4,shape_factors!J$2,$C$3,shape_factors!J$3)</f>
        <v>-1.5746560369558587E-4</v>
      </c>
      <c r="K90" s="5">
        <f>EnergyLJ($A90,$C$2,$C$4,shape_factors!K$2,$C$3,shape_factors!K$3)</f>
        <v>-2.4294126692655716E-4</v>
      </c>
      <c r="L90" s="5">
        <f>EnergyLJ($A90,$C$2,$C$4,shape_factors!L$2,$C$3,shape_factors!L$3)</f>
        <v>-4.692844588495303E-4</v>
      </c>
      <c r="M90" s="5">
        <f>EnergyLJ($A90,$C$2,$C$4,shape_factors!M$2,$C$3,shape_factors!M$3)</f>
        <v>-1.7440784510860594E-4</v>
      </c>
      <c r="N90" s="5">
        <f>EnergyLJ($A90,$C$2,$C$4,shape_factors!N$2,$C$3,shape_factors!N$3)</f>
        <v>-5.4224697061347589E-5</v>
      </c>
      <c r="O90" s="5">
        <f>EnergyLJ($A90,$C$2,$C$4,shape_factors!O$2,$C$3,shape_factors!O$3)</f>
        <v>-3.8691530618149923E-5</v>
      </c>
      <c r="P90" s="5">
        <f>EnergyLJ($A90,$C$2,$C$4,shape_factors!P$2,$C$3,shape_factors!P$3)</f>
        <v>-5.9675691860590662E-5</v>
      </c>
      <c r="Q90" s="5">
        <f>EnergyLJ($A90,$C$2,$C$4,shape_factors!Q$2,$C$3,shape_factors!Q$3)</f>
        <v>-6.7580744970652197E-5</v>
      </c>
      <c r="R90" s="5">
        <f>EnergyLJ($A90,$C$2,$C$4,shape_factors!R$2,$C$3,shape_factors!R$3)</f>
        <v>-6.5352617638734991E-4</v>
      </c>
      <c r="S90" s="5">
        <f>EnergyLJ($A90,$C$2,$C$4,shape_factors!S$2,$C$3,shape_factors!S$3)</f>
        <v>-1.0518083039023817E-4</v>
      </c>
      <c r="T90" s="5">
        <f>EnergyLJ($A90,$C$2,$C$4,shape_factors!T$2,$C$3,shape_factors!T$3)</f>
        <v>-3.0660848909207911E-5</v>
      </c>
      <c r="U90" s="5">
        <f>EnergyLJ($A90,$C$2,$C$4,shape_factors!U$2,$C$3,shape_factors!U$3)</f>
        <v>-6.3498425714254261E-4</v>
      </c>
    </row>
    <row r="91" spans="1:21" x14ac:dyDescent="0.25">
      <c r="A91">
        <v>18.8</v>
      </c>
      <c r="B91" s="5">
        <f>EnergyLJ($A91,$C$2,$C$4,shape_factors!B$2,$C$3,shape_factors!B$3)</f>
        <v>-7.1468577662371436E-3</v>
      </c>
      <c r="C91" s="5">
        <f>EnergyLJ($A91,$C$2,$C$4,shape_factors!C$2,$C$3,shape_factors!C$3)</f>
        <v>-7.593953014522314E-4</v>
      </c>
      <c r="D91" s="5">
        <f>EnergyLJ($A91,$C$2,$C$4,shape_factors!D$2,$C$3,shape_factors!D$3)</f>
        <v>-1.1374573184693787E-2</v>
      </c>
      <c r="E91" s="5">
        <f>EnergyLJ($A91,$C$2,$C$4,shape_factors!E$2,$C$3,shape_factors!E$3)</f>
        <v>-2.0912278221962011E-3</v>
      </c>
      <c r="F91" s="5">
        <f>EnergyLJ($A91,$C$2,$C$4,shape_factors!F$2,$C$3,shape_factors!F$3)</f>
        <v>-5.8200668381315707E-4</v>
      </c>
      <c r="G91" s="5">
        <f>EnergyLJ($A91,$C$2,$C$4,shape_factors!G$2,$C$3,shape_factors!G$3)</f>
        <v>-9.8435435423140961E-4</v>
      </c>
      <c r="H91" s="5">
        <f>EnergyLJ($A91,$C$2,$C$4,shape_factors!H$2,$C$3,shape_factors!H$3)</f>
        <v>-8.8877741027389601E-2</v>
      </c>
      <c r="I91" s="5">
        <f>EnergyLJ($A91,$C$2,$C$4,shape_factors!I$2,$C$3,shape_factors!I$3)</f>
        <v>-3.03988701186881E-3</v>
      </c>
      <c r="J91" s="5">
        <f>EnergyLJ($A91,$C$2,$C$4,shape_factors!J$2,$C$3,shape_factors!J$3)</f>
        <v>-1.4767844668016981E-4</v>
      </c>
      <c r="K91" s="5">
        <f>EnergyLJ($A91,$C$2,$C$4,shape_factors!K$2,$C$3,shape_factors!K$3)</f>
        <v>-2.2784167410211067E-4</v>
      </c>
      <c r="L91" s="5">
        <f>EnergyLJ($A91,$C$2,$C$4,shape_factors!L$2,$C$3,shape_factors!L$3)</f>
        <v>-4.4011812662817423E-4</v>
      </c>
      <c r="M91" s="5">
        <f>EnergyLJ($A91,$C$2,$C$4,shape_factors!M$2,$C$3,shape_factors!M$3)</f>
        <v>-1.6356768990967107E-4</v>
      </c>
      <c r="N91" s="5">
        <f>EnergyLJ($A91,$C$2,$C$4,shape_factors!N$2,$C$3,shape_factors!N$3)</f>
        <v>-5.0854336751652562E-5</v>
      </c>
      <c r="O91" s="5">
        <f>EnergyLJ($A91,$C$2,$C$4,shape_factors!O$2,$C$3,shape_factors!O$3)</f>
        <v>-3.6286634267883364E-5</v>
      </c>
      <c r="P91" s="5">
        <f>EnergyLJ($A91,$C$2,$C$4,shape_factors!P$2,$C$3,shape_factors!P$3)</f>
        <v>-5.5966526292499597E-5</v>
      </c>
      <c r="Q91" s="5">
        <f>EnergyLJ($A91,$C$2,$C$4,shape_factors!Q$2,$C$3,shape_factors!Q$3)</f>
        <v>-6.3380243966864255E-5</v>
      </c>
      <c r="R91" s="5">
        <f>EnergyLJ($A91,$C$2,$C$4,shape_factors!R$2,$C$3,shape_factors!R$3)</f>
        <v>-6.1291049566903071E-4</v>
      </c>
      <c r="S91" s="5">
        <f>EnergyLJ($A91,$C$2,$C$4,shape_factors!S$2,$C$3,shape_factors!S$3)</f>
        <v>-9.8643330805431561E-5</v>
      </c>
      <c r="T91" s="5">
        <f>EnergyLJ($A91,$C$2,$C$4,shape_factors!T$2,$C$3,shape_factors!T$3)</f>
        <v>-2.8755101768909165E-5</v>
      </c>
      <c r="U91" s="5">
        <f>EnergyLJ($A91,$C$2,$C$4,shape_factors!U$2,$C$3,shape_factors!U$3)</f>
        <v>-5.9552079290599931E-4</v>
      </c>
    </row>
    <row r="92" spans="1:21" x14ac:dyDescent="0.25">
      <c r="A92">
        <v>19</v>
      </c>
      <c r="B92" s="5">
        <f>EnergyLJ($A92,$C$2,$C$4,shape_factors!B$2,$C$3,shape_factors!B$3)</f>
        <v>-6.7077770765915255E-3</v>
      </c>
      <c r="C92" s="5">
        <f>EnergyLJ($A92,$C$2,$C$4,shape_factors!C$2,$C$3,shape_factors!C$3)</f>
        <v>-7.1268467864440889E-4</v>
      </c>
      <c r="D92" s="5">
        <f>EnergyLJ($A92,$C$2,$C$4,shape_factors!D$2,$C$3,shape_factors!D$3)</f>
        <v>-1.0676309764676043E-2</v>
      </c>
      <c r="E92" s="5">
        <f>EnergyLJ($A92,$C$2,$C$4,shape_factors!E$2,$C$3,shape_factors!E$3)</f>
        <v>-1.9626277398950491E-3</v>
      </c>
      <c r="F92" s="5">
        <f>EnergyLJ($A92,$C$2,$C$4,shape_factors!F$2,$C$3,shape_factors!F$3)</f>
        <v>-5.4620610247198612E-4</v>
      </c>
      <c r="G92" s="5">
        <f>EnergyLJ($A92,$C$2,$C$4,shape_factors!G$2,$C$3,shape_factors!G$3)</f>
        <v>-9.2380897396052391E-4</v>
      </c>
      <c r="H92" s="5">
        <f>EnergyLJ($A92,$C$2,$C$4,shape_factors!H$2,$C$3,shape_factors!H$3)</f>
        <v>-8.3503899568521472E-2</v>
      </c>
      <c r="I92" s="5">
        <f>EnergyLJ($A92,$C$2,$C$4,shape_factors!I$2,$C$3,shape_factors!I$3)</f>
        <v>-2.8529822224834423E-3</v>
      </c>
      <c r="J92" s="5">
        <f>EnergyLJ($A92,$C$2,$C$4,shape_factors!J$2,$C$3,shape_factors!J$3)</f>
        <v>-1.3859366785757754E-4</v>
      </c>
      <c r="K92" s="5">
        <f>EnergyLJ($A92,$C$2,$C$4,shape_factors!K$2,$C$3,shape_factors!K$3)</f>
        <v>-2.1382567948836405E-4</v>
      </c>
      <c r="L92" s="5">
        <f>EnergyLJ($A92,$C$2,$C$4,shape_factors!L$2,$C$3,shape_factors!L$3)</f>
        <v>-4.1304472396834171E-4</v>
      </c>
      <c r="M92" s="5">
        <f>EnergyLJ($A92,$C$2,$C$4,shape_factors!M$2,$C$3,shape_factors!M$3)</f>
        <v>-1.5350547757224129E-4</v>
      </c>
      <c r="N92" s="5">
        <f>EnergyLJ($A92,$C$2,$C$4,shape_factors!N$2,$C$3,shape_factors!N$3)</f>
        <v>-4.772585901934993E-5</v>
      </c>
      <c r="O92" s="5">
        <f>EnergyLJ($A92,$C$2,$C$4,shape_factors!O$2,$C$3,shape_factors!O$3)</f>
        <v>-3.40543323150529E-5</v>
      </c>
      <c r="P92" s="5">
        <f>EnergyLJ($A92,$C$2,$C$4,shape_factors!P$2,$C$3,shape_factors!P$3)</f>
        <v>-5.2523558086374618E-5</v>
      </c>
      <c r="Q92" s="5">
        <f>EnergyLJ($A92,$C$2,$C$4,shape_factors!Q$2,$C$3,shape_factors!Q$3)</f>
        <v>-5.9481201484348515E-5</v>
      </c>
      <c r="R92" s="5">
        <f>EnergyLJ($A92,$C$2,$C$4,shape_factors!R$2,$C$3,shape_factors!R$3)</f>
        <v>-5.7520916624536136E-4</v>
      </c>
      <c r="S92" s="5">
        <f>EnergyLJ($A92,$C$2,$C$4,shape_factors!S$2,$C$3,shape_factors!S$3)</f>
        <v>-9.2575004341221041E-5</v>
      </c>
      <c r="T92" s="5">
        <f>EnergyLJ($A92,$C$2,$C$4,shape_factors!T$2,$C$3,shape_factors!T$3)</f>
        <v>-2.6986126465685701E-5</v>
      </c>
      <c r="U92" s="5">
        <f>EnergyLJ($A92,$C$2,$C$4,shape_factors!U$2,$C$3,shape_factors!U$3)</f>
        <v>-5.5888901959671273E-4</v>
      </c>
    </row>
    <row r="93" spans="1:21" x14ac:dyDescent="0.25">
      <c r="A93">
        <v>19.2</v>
      </c>
      <c r="B93" s="5">
        <f>EnergyLJ($A93,$C$2,$C$4,shape_factors!B$2,$C$3,shape_factors!B$3)</f>
        <v>-6.299820055065835E-3</v>
      </c>
      <c r="C93" s="5">
        <f>EnergyLJ($A93,$C$2,$C$4,shape_factors!C$2,$C$3,shape_factors!C$3)</f>
        <v>-6.6929163421570385E-4</v>
      </c>
      <c r="D93" s="5">
        <f>EnergyLJ($A93,$C$2,$C$4,shape_factors!D$2,$C$3,shape_factors!D$3)</f>
        <v>-1.0027476573556477E-2</v>
      </c>
      <c r="E93" s="5">
        <f>EnergyLJ($A93,$C$2,$C$4,shape_factors!E$2,$C$3,shape_factors!E$3)</f>
        <v>-1.8431576059662481E-3</v>
      </c>
      <c r="F93" s="5">
        <f>EnergyLJ($A93,$C$2,$C$4,shape_factors!F$2,$C$3,shape_factors!F$3)</f>
        <v>-5.1294836301216595E-4</v>
      </c>
      <c r="G93" s="5">
        <f>EnergyLJ($A93,$C$2,$C$4,shape_factors!G$2,$C$3,shape_factors!G$3)</f>
        <v>-8.6756347459076265E-4</v>
      </c>
      <c r="H93" s="5">
        <f>EnergyLJ($A93,$C$2,$C$4,shape_factors!H$2,$C$3,shape_factors!H$3)</f>
        <v>-7.8500798188254312E-2</v>
      </c>
      <c r="I93" s="5">
        <f>EnergyLJ($A93,$C$2,$C$4,shape_factors!I$2,$C$3,shape_factors!I$3)</f>
        <v>-2.6793428277679158E-3</v>
      </c>
      <c r="J93" s="5">
        <f>EnergyLJ($A93,$C$2,$C$4,shape_factors!J$2,$C$3,shape_factors!J$3)</f>
        <v>-1.3015424858656469E-4</v>
      </c>
      <c r="K93" s="5">
        <f>EnergyLJ($A93,$C$2,$C$4,shape_factors!K$2,$C$3,shape_factors!K$3)</f>
        <v>-2.008053208571894E-4</v>
      </c>
      <c r="L93" s="5">
        <f>EnergyLJ($A93,$C$2,$C$4,shape_factors!L$2,$C$3,shape_factors!L$3)</f>
        <v>-3.878943736549927E-4</v>
      </c>
      <c r="M93" s="5">
        <f>EnergyLJ($A93,$C$2,$C$4,shape_factors!M$2,$C$3,shape_factors!M$3)</f>
        <v>-1.4415805567644923E-4</v>
      </c>
      <c r="N93" s="5">
        <f>EnergyLJ($A93,$C$2,$C$4,shape_factors!N$2,$C$3,shape_factors!N$3)</f>
        <v>-4.4819627004145685E-5</v>
      </c>
      <c r="O93" s="5">
        <f>EnergyLJ($A93,$C$2,$C$4,shape_factors!O$2,$C$3,shape_factors!O$3)</f>
        <v>-3.1980612847406959E-5</v>
      </c>
      <c r="P93" s="5">
        <f>EnergyLJ($A93,$C$2,$C$4,shape_factors!P$2,$C$3,shape_factors!P$3)</f>
        <v>-4.9325176480799646E-5</v>
      </c>
      <c r="Q93" s="5">
        <f>EnergyLJ($A93,$C$2,$C$4,shape_factors!Q$2,$C$3,shape_factors!Q$3)</f>
        <v>-5.5859144240184936E-5</v>
      </c>
      <c r="R93" s="5">
        <f>EnergyLJ($A93,$C$2,$C$4,shape_factors!R$2,$C$3,shape_factors!R$3)</f>
        <v>-5.4018565944000368E-4</v>
      </c>
      <c r="S93" s="5">
        <f>EnergyLJ($A93,$C$2,$C$4,shape_factors!S$2,$C$3,shape_factors!S$3)</f>
        <v>-8.6937762844313445E-5</v>
      </c>
      <c r="T93" s="5">
        <f>EnergyLJ($A93,$C$2,$C$4,shape_factors!T$2,$C$3,shape_factors!T$3)</f>
        <v>-2.5342819264843234E-5</v>
      </c>
      <c r="U93" s="5">
        <f>EnergyLJ($A93,$C$2,$C$4,shape_factors!U$2,$C$3,shape_factors!U$3)</f>
        <v>-5.2485911519453482E-4</v>
      </c>
    </row>
    <row r="94" spans="1:21" x14ac:dyDescent="0.25">
      <c r="A94">
        <v>19.399999999999999</v>
      </c>
      <c r="B94" s="5">
        <f>EnergyLJ($A94,$C$2,$C$4,shape_factors!B$2,$C$3,shape_factors!B$3)</f>
        <v>-5.9204939685228181E-3</v>
      </c>
      <c r="C94" s="5">
        <f>EnergyLJ($A94,$C$2,$C$4,shape_factors!C$2,$C$3,shape_factors!C$3)</f>
        <v>-6.2894963123783149E-4</v>
      </c>
      <c r="D94" s="5">
        <f>EnergyLJ($A94,$C$2,$C$4,shape_factors!D$2,$C$3,shape_factors!D$3)</f>
        <v>-9.4241229262388895E-3</v>
      </c>
      <c r="E94" s="5">
        <f>EnergyLJ($A94,$C$2,$C$4,shape_factors!E$2,$C$3,shape_factors!E$3)</f>
        <v>-1.7320843859292051E-3</v>
      </c>
      <c r="F94" s="5">
        <f>EnergyLJ($A94,$C$2,$C$4,shape_factors!F$2,$C$3,shape_factors!F$3)</f>
        <v>-4.8202915394082198E-4</v>
      </c>
      <c r="G94" s="5">
        <f>EnergyLJ($A94,$C$2,$C$4,shape_factors!G$2,$C$3,shape_factors!G$3)</f>
        <v>-8.1527243780154645E-4</v>
      </c>
      <c r="H94" s="5">
        <f>EnergyLJ($A94,$C$2,$C$4,shape_factors!H$2,$C$3,shape_factors!H$3)</f>
        <v>-7.384002918431809E-2</v>
      </c>
      <c r="I94" s="5">
        <f>EnergyLJ($A94,$C$2,$C$4,shape_factors!I$2,$C$3,shape_factors!I$3)</f>
        <v>-2.5179042528384642E-3</v>
      </c>
      <c r="J94" s="5">
        <f>EnergyLJ($A94,$C$2,$C$4,shape_factors!J$2,$C$3,shape_factors!J$3)</f>
        <v>-1.2230832483075849E-4</v>
      </c>
      <c r="K94" s="5">
        <f>EnergyLJ($A94,$C$2,$C$4,shape_factors!K$2,$C$3,shape_factors!K$3)</f>
        <v>-1.8870058745850231E-4</v>
      </c>
      <c r="L94" s="5">
        <f>EnergyLJ($A94,$C$2,$C$4,shape_factors!L$2,$C$3,shape_factors!L$3)</f>
        <v>-3.6451255226228944E-4</v>
      </c>
      <c r="M94" s="5">
        <f>EnergyLJ($A94,$C$2,$C$4,shape_factors!M$2,$C$3,shape_factors!M$3)</f>
        <v>-1.354679808437496E-4</v>
      </c>
      <c r="N94" s="5">
        <f>EnergyLJ($A94,$C$2,$C$4,shape_factors!N$2,$C$3,shape_factors!N$3)</f>
        <v>-4.2117779191782016E-5</v>
      </c>
      <c r="O94" s="5">
        <f>EnergyLJ($A94,$C$2,$C$4,shape_factors!O$2,$C$3,shape_factors!O$3)</f>
        <v>-3.0052730767861221E-5</v>
      </c>
      <c r="P94" s="5">
        <f>EnergyLJ($A94,$C$2,$C$4,shape_factors!P$2,$C$3,shape_factors!P$3)</f>
        <v>-4.6351724510827008E-5</v>
      </c>
      <c r="Q94" s="5">
        <f>EnergyLJ($A94,$C$2,$C$4,shape_factors!Q$2,$C$3,shape_factors!Q$3)</f>
        <v>-5.2491811531533897E-5</v>
      </c>
      <c r="R94" s="5">
        <f>EnergyLJ($A94,$C$2,$C$4,shape_factors!R$2,$C$3,shape_factors!R$3)</f>
        <v>-5.0762482158255582E-4</v>
      </c>
      <c r="S94" s="5">
        <f>EnergyLJ($A94,$C$2,$C$4,shape_factors!S$2,$C$3,shape_factors!S$3)</f>
        <v>-8.1696961540735283E-5</v>
      </c>
      <c r="T94" s="5">
        <f>EnergyLJ($A94,$C$2,$C$4,shape_factors!T$2,$C$3,shape_factors!T$3)</f>
        <v>-2.3815080324732432E-5</v>
      </c>
      <c r="U94" s="5">
        <f>EnergyLJ($A94,$C$2,$C$4,shape_factors!U$2,$C$3,shape_factors!U$3)</f>
        <v>-4.9322202688651751E-4</v>
      </c>
    </row>
    <row r="95" spans="1:21" x14ac:dyDescent="0.25">
      <c r="A95">
        <v>19.600000000000001</v>
      </c>
      <c r="B95" s="5">
        <f>EnergyLJ($A95,$C$2,$C$4,shape_factors!B$2,$C$3,shape_factors!B$3)</f>
        <v>-5.5675280500906083E-3</v>
      </c>
      <c r="C95" s="5">
        <f>EnergyLJ($A95,$C$2,$C$4,shape_factors!C$2,$C$3,shape_factors!C$3)</f>
        <v>-5.914159783112433E-4</v>
      </c>
      <c r="D95" s="5">
        <f>EnergyLJ($A95,$C$2,$C$4,shape_factors!D$2,$C$3,shape_factors!D$3)</f>
        <v>-8.8626488160603156E-3</v>
      </c>
      <c r="E95" s="5">
        <f>EnergyLJ($A95,$C$2,$C$4,shape_factors!E$2,$C$3,shape_factors!E$3)</f>
        <v>-1.6287405621067965E-3</v>
      </c>
      <c r="F95" s="5">
        <f>EnergyLJ($A95,$C$2,$C$4,shape_factors!F$2,$C$3,shape_factors!F$3)</f>
        <v>-4.5326244469685991E-4</v>
      </c>
      <c r="G95" s="5">
        <f>EnergyLJ($A95,$C$2,$C$4,shape_factors!G$2,$C$3,shape_factors!G$3)</f>
        <v>-7.6662134281327114E-4</v>
      </c>
      <c r="H95" s="5">
        <f>EnergyLJ($A95,$C$2,$C$4,shape_factors!H$2,$C$3,shape_factors!H$3)</f>
        <v>-6.9495541090923776E-2</v>
      </c>
      <c r="I95" s="5">
        <f>EnergyLJ($A95,$C$2,$C$4,shape_factors!I$2,$C$3,shape_factors!I$3)</f>
        <v>-2.367697005892744E-3</v>
      </c>
      <c r="J95" s="5">
        <f>EnergyLJ($A95,$C$2,$C$4,shape_factors!J$2,$C$3,shape_factors!J$3)</f>
        <v>-1.1500867459209636E-4</v>
      </c>
      <c r="K95" s="5">
        <f>EnergyLJ($A95,$C$2,$C$4,shape_factors!K$2,$C$3,shape_factors!K$3)</f>
        <v>-1.7743862940746899E-4</v>
      </c>
      <c r="L95" s="5">
        <f>EnergyLJ($A95,$C$2,$C$4,shape_factors!L$2,$C$3,shape_factors!L$3)</f>
        <v>-3.4275856389400183E-4</v>
      </c>
      <c r="M95" s="5">
        <f>EnergyLJ($A95,$C$2,$C$4,shape_factors!M$2,$C$3,shape_factors!M$3)</f>
        <v>-1.2738295104806885E-4</v>
      </c>
      <c r="N95" s="5">
        <f>EnergyLJ($A95,$C$2,$C$4,shape_factors!N$2,$C$3,shape_factors!N$3)</f>
        <v>-3.9604052857058759E-5</v>
      </c>
      <c r="O95" s="5">
        <f>EnergyLJ($A95,$C$2,$C$4,shape_factors!O$2,$C$3,shape_factors!O$3)</f>
        <v>-2.8259081808525803E-5</v>
      </c>
      <c r="P95" s="5">
        <f>EnergyLJ($A95,$C$2,$C$4,shape_factors!P$2,$C$3,shape_factors!P$3)</f>
        <v>-4.3585304705332062E-5</v>
      </c>
      <c r="Q95" s="5">
        <f>EnergyLJ($A95,$C$2,$C$4,shape_factors!Q$2,$C$3,shape_factors!Q$3)</f>
        <v>-4.9358935199102543E-5</v>
      </c>
      <c r="R95" s="5">
        <f>EnergyLJ($A95,$C$2,$C$4,shape_factors!R$2,$C$3,shape_factors!R$3)</f>
        <v>-4.7733074961471724E-4</v>
      </c>
      <c r="S95" s="5">
        <f>EnergyLJ($A95,$C$2,$C$4,shape_factors!S$2,$C$3,shape_factors!S$3)</f>
        <v>-7.6821056612339195E-5</v>
      </c>
      <c r="T95" s="5">
        <f>EnergyLJ($A95,$C$2,$C$4,shape_factors!T$2,$C$3,shape_factors!T$3)</f>
        <v>-2.2393713857791124E-5</v>
      </c>
      <c r="U95" s="5">
        <f>EnergyLJ($A95,$C$2,$C$4,shape_factors!U$2,$C$3,shape_factors!U$3)</f>
        <v>-4.637874068412682E-4</v>
      </c>
    </row>
    <row r="96" spans="1:21" x14ac:dyDescent="0.25">
      <c r="A96">
        <v>19.8</v>
      </c>
      <c r="B96" s="5">
        <f>EnergyLJ($A96,$C$2,$C$4,shape_factors!B$2,$C$3,shape_factors!B$3)</f>
        <v>-5.2388518072485069E-3</v>
      </c>
      <c r="C96" s="5">
        <f>EnergyLJ($A96,$C$2,$C$4,shape_factors!C$2,$C$3,shape_factors!C$3)</f>
        <v>-5.5646948322558376E-4</v>
      </c>
      <c r="D96" s="5">
        <f>EnergyLJ($A96,$C$2,$C$4,shape_factors!D$2,$C$3,shape_factors!D$3)</f>
        <v>-8.3397708036956272E-3</v>
      </c>
      <c r="E96" s="5">
        <f>EnergyLJ($A96,$C$2,$C$4,shape_factors!E$2,$C$3,shape_factors!E$3)</f>
        <v>-1.5325176960106432E-3</v>
      </c>
      <c r="F96" s="5">
        <f>EnergyLJ($A96,$C$2,$C$4,shape_factors!F$2,$C$3,shape_factors!F$3)</f>
        <v>-4.2647868651754571E-4</v>
      </c>
      <c r="G96" s="5">
        <f>EnergyLJ($A96,$C$2,$C$4,shape_factors!G$2,$C$3,shape_factors!G$3)</f>
        <v>-7.2132352686865911E-4</v>
      </c>
      <c r="H96" s="5">
        <f>EnergyLJ($A96,$C$2,$C$4,shape_factors!H$2,$C$3,shape_factors!H$3)</f>
        <v>-6.5443433262299996E-2</v>
      </c>
      <c r="I96" s="5">
        <f>EnergyLJ($A96,$C$2,$C$4,shape_factors!I$2,$C$3,shape_factors!I$3)</f>
        <v>-2.2278373448664348E-3</v>
      </c>
      <c r="J96" s="5">
        <f>EnergyLJ($A96,$C$2,$C$4,shape_factors!J$2,$C$3,shape_factors!J$3)</f>
        <v>-1.0821226085198772E-4</v>
      </c>
      <c r="K96" s="5">
        <f>EnergyLJ($A96,$C$2,$C$4,shape_factors!K$2,$C$3,shape_factors!K$3)</f>
        <v>-1.6695305267931136E-4</v>
      </c>
      <c r="L96" s="5">
        <f>EnergyLJ($A96,$C$2,$C$4,shape_factors!L$2,$C$3,shape_factors!L$3)</f>
        <v>-3.2250417913223047E-4</v>
      </c>
      <c r="M96" s="5">
        <f>EnergyLJ($A96,$C$2,$C$4,shape_factors!M$2,$C$3,shape_factors!M$3)</f>
        <v>-1.1985529940254064E-4</v>
      </c>
      <c r="N96" s="5">
        <f>EnergyLJ($A96,$C$2,$C$4,shape_factors!N$2,$C$3,shape_factors!N$3)</f>
        <v>-3.7263626629766731E-5</v>
      </c>
      <c r="O96" s="5">
        <f>EnergyLJ($A96,$C$2,$C$4,shape_factors!O$2,$C$3,shape_factors!O$3)</f>
        <v>-2.658909019060289E-5</v>
      </c>
      <c r="P96" s="5">
        <f>EnergyLJ($A96,$C$2,$C$4,shape_factors!P$2,$C$3,shape_factors!P$3)</f>
        <v>-4.1009605829146676E-5</v>
      </c>
      <c r="Q96" s="5">
        <f>EnergyLJ($A96,$C$2,$C$4,shape_factors!Q$2,$C$3,shape_factors!Q$3)</f>
        <v>-4.644204342233152E-5</v>
      </c>
      <c r="R96" s="5">
        <f>EnergyLJ($A96,$C$2,$C$4,shape_factors!R$2,$C$3,shape_factors!R$3)</f>
        <v>-4.4912489658659801E-4</v>
      </c>
      <c r="S96" s="5">
        <f>EnergyLJ($A96,$C$2,$C$4,shape_factors!S$2,$C$3,shape_factors!S$3)</f>
        <v>-7.2281299858467112E-5</v>
      </c>
      <c r="T96" s="5">
        <f>EnergyLJ($A96,$C$2,$C$4,shape_factors!T$2,$C$3,shape_factors!T$3)</f>
        <v>-2.1070339105533472E-5</v>
      </c>
      <c r="U96" s="5">
        <f>EnergyLJ($A96,$C$2,$C$4,shape_factors!U$2,$C$3,shape_factors!U$3)</f>
        <v>-4.3638177136850082E-4</v>
      </c>
    </row>
    <row r="97" spans="1:21" x14ac:dyDescent="0.25">
      <c r="A97">
        <v>20</v>
      </c>
      <c r="B97" s="5">
        <f>EnergyLJ($A97,$C$2,$C$4,shape_factors!B$2,$C$3,shape_factors!B$3)</f>
        <v>-4.9325756315749085E-3</v>
      </c>
      <c r="C97" s="5">
        <f>EnergyLJ($A97,$C$2,$C$4,shape_factors!C$2,$C$3,shape_factors!C$3)</f>
        <v>-5.2390835801337709E-4</v>
      </c>
      <c r="D97" s="5">
        <f>EnergyLJ($A97,$C$2,$C$4,shape_factors!D$2,$C$3,shape_factors!D$3)</f>
        <v>-7.8524915012886942E-3</v>
      </c>
      <c r="E97" s="5">
        <f>EnergyLJ($A97,$C$2,$C$4,shape_factors!E$2,$C$3,shape_factors!E$3)</f>
        <v>-1.4428606791019327E-3</v>
      </c>
      <c r="F97" s="5">
        <f>EnergyLJ($A97,$C$2,$C$4,shape_factors!F$2,$C$3,shape_factors!F$3)</f>
        <v>-4.0152320611983895E-4</v>
      </c>
      <c r="G97" s="5">
        <f>EnergyLJ($A97,$C$2,$C$4,shape_factors!G$2,$C$3,shape_factors!G$3)</f>
        <v>-6.7911747126772138E-4</v>
      </c>
      <c r="H97" s="5">
        <f>EnergyLJ($A97,$C$2,$C$4,shape_factors!H$2,$C$3,shape_factors!H$3)</f>
        <v>-6.1661768479436649E-2</v>
      </c>
      <c r="I97" s="5">
        <f>EnergyLJ($A97,$C$2,$C$4,shape_factors!I$2,$C$3,shape_factors!I$3)</f>
        <v>-2.0975189406832076E-3</v>
      </c>
      <c r="J97" s="5">
        <f>EnergyLJ($A97,$C$2,$C$4,shape_factors!J$2,$C$3,shape_factors!J$3)</f>
        <v>-1.0187982352734899E-4</v>
      </c>
      <c r="K97" s="5">
        <f>EnergyLJ($A97,$C$2,$C$4,shape_factors!K$2,$C$3,shape_factors!K$3)</f>
        <v>-1.5718328969973984E-4</v>
      </c>
      <c r="L97" s="5">
        <f>EnergyLJ($A97,$C$2,$C$4,shape_factors!L$2,$C$3,shape_factors!L$3)</f>
        <v>-3.0363241988186303E-4</v>
      </c>
      <c r="M97" s="5">
        <f>EnergyLJ($A97,$C$2,$C$4,shape_factors!M$2,$C$3,shape_factors!M$3)</f>
        <v>-1.1284154223114861E-4</v>
      </c>
      <c r="N97" s="5">
        <f>EnergyLJ($A97,$C$2,$C$4,shape_factors!N$2,$C$3,shape_factors!N$3)</f>
        <v>-3.5082979946221947E-5</v>
      </c>
      <c r="O97" s="5">
        <f>EnergyLJ($A97,$C$2,$C$4,shape_factors!O$2,$C$3,shape_factors!O$3)</f>
        <v>-2.5033108333588413E-5</v>
      </c>
      <c r="P97" s="5">
        <f>EnergyLJ($A97,$C$2,$C$4,shape_factors!P$2,$C$3,shape_factors!P$3)</f>
        <v>-3.8609748207836083E-5</v>
      </c>
      <c r="Q97" s="5">
        <f>EnergyLJ($A97,$C$2,$C$4,shape_factors!Q$2,$C$3,shape_factors!Q$3)</f>
        <v>-4.372428555815273E-5</v>
      </c>
      <c r="R97" s="5">
        <f>EnergyLJ($A97,$C$2,$C$4,shape_factors!R$2,$C$3,shape_factors!R$3)</f>
        <v>-4.2284438017940626E-4</v>
      </c>
      <c r="S97" s="5">
        <f>EnergyLJ($A97,$C$2,$C$4,shape_factors!S$2,$C$3,shape_factors!S$3)</f>
        <v>-6.8051466104388243E-5</v>
      </c>
      <c r="T97" s="5">
        <f>EnergyLJ($A97,$C$2,$C$4,shape_factors!T$2,$C$3,shape_factors!T$3)</f>
        <v>-1.9837310862233446E-5</v>
      </c>
      <c r="U97" s="5">
        <f>EnergyLJ($A97,$C$2,$C$4,shape_factors!U$2,$C$3,shape_factors!U$3)</f>
        <v>-4.1084685735917311E-4</v>
      </c>
    </row>
    <row r="98" spans="1:21" x14ac:dyDescent="0.25">
      <c r="A98">
        <v>20.2</v>
      </c>
      <c r="B98" s="5">
        <f>EnergyLJ($A98,$C$2,$C$4,shape_factors!B$2,$C$3,shape_factors!B$3)</f>
        <v>-4.6469734474187232E-3</v>
      </c>
      <c r="C98" s="5">
        <f>EnergyLJ($A98,$C$2,$C$4,shape_factors!C$2,$C$3,shape_factors!C$3)</f>
        <v>-4.9354834631035562E-4</v>
      </c>
      <c r="D98" s="5">
        <f>EnergyLJ($A98,$C$2,$C$4,shape_factors!D$2,$C$3,shape_factors!D$3)</f>
        <v>-7.3980722452879049E-3</v>
      </c>
      <c r="E98" s="5">
        <f>EnergyLJ($A98,$C$2,$C$4,shape_factors!E$2,$C$3,shape_factors!E$3)</f>
        <v>-1.3592625924988655E-3</v>
      </c>
      <c r="F98" s="5">
        <f>EnergyLJ($A98,$C$2,$C$4,shape_factors!F$2,$C$3,shape_factors!F$3)</f>
        <v>-3.7825476987946401E-4</v>
      </c>
      <c r="G98" s="5">
        <f>EnergyLJ($A98,$C$2,$C$4,shape_factors!G$2,$C$3,shape_factors!G$3)</f>
        <v>-6.3976437530652958E-4</v>
      </c>
      <c r="H98" s="5">
        <f>EnergyLJ($A98,$C$2,$C$4,shape_factors!H$2,$C$3,shape_factors!H$3)</f>
        <v>-5.8130402127506427E-2</v>
      </c>
      <c r="I98" s="5">
        <f>EnergyLJ($A98,$C$2,$C$4,shape_factors!I$2,$C$3,shape_factors!I$3)</f>
        <v>-1.9760054223315181E-3</v>
      </c>
      <c r="J98" s="5">
        <f>EnergyLJ($A98,$C$2,$C$4,shape_factors!J$2,$C$3,shape_factors!J$3)</f>
        <v>-9.5975514763373788E-5</v>
      </c>
      <c r="K98" s="5">
        <f>EnergyLJ($A98,$C$2,$C$4,shape_factors!K$2,$C$3,shape_factors!K$3)</f>
        <v>-1.4807403677504475E-4</v>
      </c>
      <c r="L98" s="5">
        <f>EnergyLJ($A98,$C$2,$C$4,shape_factors!L$2,$C$3,shape_factors!L$3)</f>
        <v>-2.8603647321944538E-4</v>
      </c>
      <c r="M98" s="5">
        <f>EnergyLJ($A98,$C$2,$C$4,shape_factors!M$2,$C$3,shape_factors!M$3)</f>
        <v>-1.0630197513683408E-4</v>
      </c>
      <c r="N98" s="5">
        <f>EnergyLJ($A98,$C$2,$C$4,shape_factors!N$2,$C$3,shape_factors!N$3)</f>
        <v>-3.3049767429902885E-5</v>
      </c>
      <c r="O98" s="5">
        <f>EnergyLJ($A98,$C$2,$C$4,shape_factors!O$2,$C$3,shape_factors!O$3)</f>
        <v>-2.3582327217609574E-5</v>
      </c>
      <c r="P98" s="5">
        <f>EnergyLJ($A98,$C$2,$C$4,shape_factors!P$2,$C$3,shape_factors!P$3)</f>
        <v>-3.6372145482011017E-5</v>
      </c>
      <c r="Q98" s="5">
        <f>EnergyLJ($A98,$C$2,$C$4,shape_factors!Q$2,$C$3,shape_factors!Q$3)</f>
        <v>-4.1190275585107032E-5</v>
      </c>
      <c r="R98" s="5">
        <f>EnergyLJ($A98,$C$2,$C$4,shape_factors!R$2,$C$3,shape_factors!R$3)</f>
        <v>-3.9834047075704582E-4</v>
      </c>
      <c r="S98" s="5">
        <f>EnergyLJ($A98,$C$2,$C$4,shape_factors!S$2,$C$3,shape_factors!S$3)</f>
        <v>-6.4107609562579369E-5</v>
      </c>
      <c r="T98" s="5">
        <f>EnergyLJ($A98,$C$2,$C$4,shape_factors!T$2,$C$3,shape_factors!T$3)</f>
        <v>-1.868764844086701E-5</v>
      </c>
      <c r="U98" s="5">
        <f>EnergyLJ($A98,$C$2,$C$4,shape_factors!U$2,$C$3,shape_factors!U$3)</f>
        <v>-3.8703815317292891E-4</v>
      </c>
    </row>
    <row r="99" spans="1:21" x14ac:dyDescent="0.25">
      <c r="A99">
        <v>20.399999999999999</v>
      </c>
      <c r="B99" s="5">
        <f>EnergyLJ($A99,$C$2,$C$4,shape_factors!B$2,$C$3,shape_factors!B$3)</f>
        <v>-4.3804671687603016E-3</v>
      </c>
      <c r="C99" s="5">
        <f>EnergyLJ($A99,$C$2,$C$4,shape_factors!C$2,$C$3,shape_factors!C$3)</f>
        <v>-4.6522104754472503E-4</v>
      </c>
      <c r="D99" s="5">
        <f>EnergyLJ($A99,$C$2,$C$4,shape_factors!D$2,$C$3,shape_factors!D$3)</f>
        <v>-6.974008600328041E-3</v>
      </c>
      <c r="E99" s="5">
        <f>EnergyLJ($A99,$C$2,$C$4,shape_factors!E$2,$C$3,shape_factors!E$3)</f>
        <v>-1.2812601060206638E-3</v>
      </c>
      <c r="F99" s="5">
        <f>EnergyLJ($A99,$C$2,$C$4,shape_factors!F$2,$C$3,shape_factors!F$3)</f>
        <v>-3.5654429896100605E-4</v>
      </c>
      <c r="G99" s="5">
        <f>EnergyLJ($A99,$C$2,$C$4,shape_factors!G$2,$C$3,shape_factors!G$3)</f>
        <v>-6.0304598513847706E-4</v>
      </c>
      <c r="H99" s="5">
        <f>EnergyLJ($A99,$C$2,$C$4,shape_factors!H$2,$C$3,shape_factors!H$3)</f>
        <v>-5.4830826566227432E-2</v>
      </c>
      <c r="I99" s="5">
        <f>EnergyLJ($A99,$C$2,$C$4,shape_factors!I$2,$C$3,shape_factors!I$3)</f>
        <v>-1.8626237031510442E-3</v>
      </c>
      <c r="J99" s="5">
        <f>EnergyLJ($A99,$C$2,$C$4,shape_factors!J$2,$C$3,shape_factors!J$3)</f>
        <v>-9.0466572590583764E-5</v>
      </c>
      <c r="K99" s="5">
        <f>EnergyLJ($A99,$C$2,$C$4,shape_factors!K$2,$C$3,shape_factors!K$3)</f>
        <v>-1.3957475069383715E-4</v>
      </c>
      <c r="L99" s="5">
        <f>EnergyLJ($A99,$C$2,$C$4,shape_factors!L$2,$C$3,shape_factors!L$3)</f>
        <v>-2.6961871945274982E-4</v>
      </c>
      <c r="M99" s="5">
        <f>EnergyLJ($A99,$C$2,$C$4,shape_factors!M$2,$C$3,shape_factors!M$3)</f>
        <v>-1.0020031155912204E-4</v>
      </c>
      <c r="N99" s="5">
        <f>EnergyLJ($A99,$C$2,$C$4,shape_factors!N$2,$C$3,shape_factors!N$3)</f>
        <v>-3.1152706487910629E-5</v>
      </c>
      <c r="O99" s="5">
        <f>EnergyLJ($A99,$C$2,$C$4,shape_factors!O$2,$C$3,shape_factors!O$3)</f>
        <v>-2.222869617629902E-5</v>
      </c>
      <c r="P99" s="5">
        <f>EnergyLJ($A99,$C$2,$C$4,shape_factors!P$2,$C$3,shape_factors!P$3)</f>
        <v>-3.4284380905721833E-5</v>
      </c>
      <c r="Q99" s="5">
        <f>EnergyLJ($A99,$C$2,$C$4,shape_factors!Q$2,$C$3,shape_factors!Q$3)</f>
        <v>-3.8825952017701084E-5</v>
      </c>
      <c r="R99" s="5">
        <f>EnergyLJ($A99,$C$2,$C$4,shape_factors!R$2,$C$3,shape_factors!R$3)</f>
        <v>-3.7547723836574715E-4</v>
      </c>
      <c r="S99" s="5">
        <f>EnergyLJ($A99,$C$2,$C$4,shape_factors!S$2,$C$3,shape_factors!S$3)</f>
        <v>-6.0427845824490305E-5</v>
      </c>
      <c r="T99" s="5">
        <f>EnergyLJ($A99,$C$2,$C$4,shape_factors!T$2,$C$3,shape_factors!T$3)</f>
        <v>-1.7614972112429292E-5</v>
      </c>
      <c r="U99" s="5">
        <f>EnergyLJ($A99,$C$2,$C$4,shape_factors!U$2,$C$3,shape_factors!U$3)</f>
        <v>-3.6482358397385046E-4</v>
      </c>
    </row>
    <row r="100" spans="1:21" x14ac:dyDescent="0.25">
      <c r="A100">
        <v>20.6</v>
      </c>
      <c r="B100" s="5">
        <f>EnergyLJ($A100,$C$2,$C$4,shape_factors!B$2,$C$3,shape_factors!B$3)</f>
        <v>-4.1316127614036005E-3</v>
      </c>
      <c r="C100" s="5">
        <f>EnergyLJ($A100,$C$2,$C$4,shape_factors!C$2,$C$3,shape_factors!C$3)</f>
        <v>-4.3877241560927918E-4</v>
      </c>
      <c r="D100" s="5">
        <f>EnergyLJ($A100,$C$2,$C$4,shape_factors!D$2,$C$3,shape_factors!D$3)</f>
        <v>-6.5780083791769084E-3</v>
      </c>
      <c r="E100" s="5">
        <f>EnergyLJ($A100,$C$2,$C$4,shape_factors!E$2,$C$3,shape_factors!E$3)</f>
        <v>-1.2084293554847421E-3</v>
      </c>
      <c r="F100" s="5">
        <f>EnergyLJ($A100,$C$2,$C$4,shape_factors!F$2,$C$3,shape_factors!F$3)</f>
        <v>-3.362737182560093E-4</v>
      </c>
      <c r="G100" s="5">
        <f>EnergyLJ($A100,$C$2,$C$4,shape_factors!G$2,$C$3,shape_factors!G$3)</f>
        <v>-5.6876264862829604E-4</v>
      </c>
      <c r="H100" s="5">
        <f>EnergyLJ($A100,$C$2,$C$4,shape_factors!H$2,$C$3,shape_factors!H$3)</f>
        <v>-5.1746029398715906E-2</v>
      </c>
      <c r="I100" s="5">
        <f>EnergyLJ($A100,$C$2,$C$4,shape_factors!I$2,$C$3,shape_factors!I$3)</f>
        <v>-1.7567580000055444E-3</v>
      </c>
      <c r="J100" s="5">
        <f>EnergyLJ($A100,$C$2,$C$4,shape_factors!J$2,$C$3,shape_factors!J$3)</f>
        <v>-8.5323028585855752E-5</v>
      </c>
      <c r="K100" s="5">
        <f>EnergyLJ($A100,$C$2,$C$4,shape_factors!K$2,$C$3,shape_factors!K$3)</f>
        <v>-1.3163919777623044E-4</v>
      </c>
      <c r="L100" s="5">
        <f>EnergyLJ($A100,$C$2,$C$4,shape_factors!L$2,$C$3,shape_factors!L$3)</f>
        <v>-2.5428986141719391E-4</v>
      </c>
      <c r="M100" s="5">
        <f>EnergyLJ($A100,$C$2,$C$4,shape_factors!M$2,$C$3,shape_factors!M$3)</f>
        <v>-9.4503358992243064E-5</v>
      </c>
      <c r="N100" s="5">
        <f>EnergyLJ($A100,$C$2,$C$4,shape_factors!N$2,$C$3,shape_factors!N$3)</f>
        <v>-2.9381476620942958E-5</v>
      </c>
      <c r="O100" s="5">
        <f>EnergyLJ($A100,$C$2,$C$4,shape_factors!O$2,$C$3,shape_factors!O$3)</f>
        <v>-2.0964851048161534E-5</v>
      </c>
      <c r="P100" s="5">
        <f>EnergyLJ($A100,$C$2,$C$4,shape_factors!P$2,$C$3,shape_factors!P$3)</f>
        <v>-3.2335096535651158E-5</v>
      </c>
      <c r="Q100" s="5">
        <f>EnergyLJ($A100,$C$2,$C$4,shape_factors!Q$2,$C$3,shape_factors!Q$3)</f>
        <v>-3.6618452418790847E-5</v>
      </c>
      <c r="R100" s="5">
        <f>EnergyLJ($A100,$C$2,$C$4,shape_factors!R$2,$C$3,shape_factors!R$3)</f>
        <v>-3.5413034063152074E-4</v>
      </c>
      <c r="S100" s="5">
        <f>EnergyLJ($A100,$C$2,$C$4,shape_factors!S$2,$C$3,shape_factors!S$3)</f>
        <v>-5.6992156569497106E-5</v>
      </c>
      <c r="T100" s="5">
        <f>EnergyLJ($A100,$C$2,$C$4,shape_factors!T$2,$C$3,shape_factors!T$3)</f>
        <v>-1.6613446169057475E-5</v>
      </c>
      <c r="U100" s="5">
        <f>EnergyLJ($A100,$C$2,$C$4,shape_factors!U$2,$C$3,shape_factors!U$3)</f>
        <v>-3.4408233397475226E-4</v>
      </c>
    </row>
    <row r="101" spans="1:21" x14ac:dyDescent="0.25">
      <c r="A101">
        <v>20.8</v>
      </c>
      <c r="B101" s="5">
        <f>EnergyLJ($A101,$C$2,$C$4,shape_factors!B$2,$C$3,shape_factors!B$3)</f>
        <v>-3.8990877319476599E-3</v>
      </c>
      <c r="C101" s="5">
        <f>EnergyLJ($A101,$C$2,$C$4,shape_factors!C$2,$C$3,shape_factors!C$3)</f>
        <v>-4.1406141239148768E-4</v>
      </c>
      <c r="D101" s="5">
        <f>EnergyLJ($A101,$C$2,$C$4,shape_factors!D$2,$C$3,shape_factors!D$3)</f>
        <v>-6.2079719010708096E-3</v>
      </c>
      <c r="E101" s="5">
        <f>EnergyLJ($A101,$C$2,$C$4,shape_factors!E$2,$C$3,shape_factors!E$3)</f>
        <v>-1.1403822445879282E-3</v>
      </c>
      <c r="F101" s="5">
        <f>EnergyLJ($A101,$C$2,$C$4,shape_factors!F$2,$C$3,shape_factors!F$3)</f>
        <v>-3.173349240745621E-4</v>
      </c>
      <c r="G101" s="5">
        <f>EnergyLJ($A101,$C$2,$C$4,shape_factors!G$2,$C$3,shape_factors!G$3)</f>
        <v>-5.3673157079010857E-4</v>
      </c>
      <c r="H101" s="5">
        <f>EnergyLJ($A101,$C$2,$C$4,shape_factors!H$2,$C$3,shape_factors!H$3)</f>
        <v>-4.8860364431610619E-2</v>
      </c>
      <c r="I101" s="5">
        <f>EnergyLJ($A101,$C$2,$C$4,shape_factors!I$2,$C$3,shape_factors!I$3)</f>
        <v>-1.6578444677143075E-3</v>
      </c>
      <c r="J101" s="5">
        <f>EnergyLJ($A101,$C$2,$C$4,shape_factors!J$2,$C$3,shape_factors!J$3)</f>
        <v>-8.0517445708882333E-5</v>
      </c>
      <c r="K101" s="5">
        <f>EnergyLJ($A101,$C$2,$C$4,shape_factors!K$2,$C$3,shape_factors!K$3)</f>
        <v>-1.2422504946615261E-4</v>
      </c>
      <c r="L101" s="5">
        <f>EnergyLJ($A101,$C$2,$C$4,shape_factors!L$2,$C$3,shape_factors!L$3)</f>
        <v>-2.3996814361637827E-4</v>
      </c>
      <c r="M101" s="5">
        <f>EnergyLJ($A101,$C$2,$C$4,shape_factors!M$2,$C$3,shape_factors!M$3)</f>
        <v>-8.9180728623632441E-5</v>
      </c>
      <c r="N101" s="5">
        <f>EnergyLJ($A101,$C$2,$C$4,shape_factors!N$2,$C$3,shape_factors!N$3)</f>
        <v>-2.7726629127730941E-5</v>
      </c>
      <c r="O101" s="5">
        <f>EnergyLJ($A101,$C$2,$C$4,shape_factors!O$2,$C$3,shape_factors!O$3)</f>
        <v>-1.9784049745165129E-5</v>
      </c>
      <c r="P101" s="5">
        <f>EnergyLJ($A101,$C$2,$C$4,shape_factors!P$2,$C$3,shape_factors!P$3)</f>
        <v>-3.0513893859492694E-5</v>
      </c>
      <c r="Q101" s="5">
        <f>EnergyLJ($A101,$C$2,$C$4,shape_factors!Q$2,$C$3,shape_factors!Q$3)</f>
        <v>-3.4556000866151361E-5</v>
      </c>
      <c r="R101" s="5">
        <f>EnergyLJ($A101,$C$2,$C$4,shape_factors!R$2,$C$3,shape_factors!R$3)</f>
        <v>-3.3418593570407913E-4</v>
      </c>
      <c r="S101" s="5">
        <f>EnergyLJ($A101,$C$2,$C$4,shape_factors!S$2,$C$3,shape_factors!S$3)</f>
        <v>-5.3782214433081244E-5</v>
      </c>
      <c r="T101" s="5">
        <f>EnergyLJ($A101,$C$2,$C$4,shape_factors!T$2,$C$3,shape_factors!T$3)</f>
        <v>-1.5677727865028584E-5</v>
      </c>
      <c r="U101" s="5">
        <f>EnergyLJ($A101,$C$2,$C$4,shape_factors!U$2,$C$3,shape_factors!U$3)</f>
        <v>-3.2470379018701182E-4</v>
      </c>
    </row>
    <row r="102" spans="1:21" x14ac:dyDescent="0.25">
      <c r="A102">
        <v>21</v>
      </c>
      <c r="B102" s="5">
        <f>EnergyLJ($A102,$C$2,$C$4,shape_factors!B$2,$C$3,shape_factors!B$3)</f>
        <v>-3.6816798862037469E-3</v>
      </c>
      <c r="C102" s="5">
        <f>EnergyLJ($A102,$C$2,$C$4,shape_factors!C$2,$C$3,shape_factors!C$3)</f>
        <v>-3.9095879890455878E-4</v>
      </c>
      <c r="D102" s="5">
        <f>EnergyLJ($A102,$C$2,$C$4,shape_factors!D$2,$C$3,shape_factors!D$3)</f>
        <v>-5.861974243404738E-3</v>
      </c>
      <c r="E102" s="5">
        <f>EnergyLJ($A102,$C$2,$C$4,shape_factors!E$2,$C$3,shape_factors!E$3)</f>
        <v>-1.0767631241583937E-3</v>
      </c>
      <c r="F102" s="5">
        <f>EnergyLJ($A102,$C$2,$C$4,shape_factors!F$2,$C$3,shape_factors!F$3)</f>
        <v>-2.9962885735301397E-4</v>
      </c>
      <c r="G102" s="5">
        <f>EnergyLJ($A102,$C$2,$C$4,shape_factors!G$2,$C$3,shape_factors!G$3)</f>
        <v>-5.0678524746496567E-4</v>
      </c>
      <c r="H102" s="5">
        <f>EnergyLJ($A102,$C$2,$C$4,shape_factors!H$2,$C$3,shape_factors!H$3)</f>
        <v>-4.6159434207208812E-2</v>
      </c>
      <c r="I102" s="5">
        <f>EnergyLJ($A102,$C$2,$C$4,shape_factors!I$2,$C$3,shape_factors!I$3)</f>
        <v>-1.5653663804314597E-3</v>
      </c>
      <c r="J102" s="5">
        <f>EnergyLJ($A102,$C$2,$C$4,shape_factors!J$2,$C$3,shape_factors!J$3)</f>
        <v>-7.6024682948108266E-5</v>
      </c>
      <c r="K102" s="5">
        <f>EnergyLJ($A102,$C$2,$C$4,shape_factors!K$2,$C$3,shape_factors!K$3)</f>
        <v>-1.1729351927573542E-4</v>
      </c>
      <c r="L102" s="5">
        <f>EnergyLJ($A102,$C$2,$C$4,shape_factors!L$2,$C$3,shape_factors!L$3)</f>
        <v>-2.2657865118963163E-4</v>
      </c>
      <c r="M102" s="5">
        <f>EnergyLJ($A102,$C$2,$C$4,shape_factors!M$2,$C$3,shape_factors!M$3)</f>
        <v>-8.4204574664979362E-5</v>
      </c>
      <c r="N102" s="5">
        <f>EnergyLJ($A102,$C$2,$C$4,shape_factors!N$2,$C$3,shape_factors!N$3)</f>
        <v>-2.6179506044295207E-5</v>
      </c>
      <c r="O102" s="5">
        <f>EnergyLJ($A102,$C$2,$C$4,shape_factors!O$2,$C$3,shape_factors!O$3)</f>
        <v>-1.8680114411046054E-5</v>
      </c>
      <c r="P102" s="5">
        <f>EnergyLJ($A102,$C$2,$C$4,shape_factors!P$2,$C$3,shape_factors!P$3)</f>
        <v>-2.8811244587330653E-5</v>
      </c>
      <c r="Q102" s="5">
        <f>EnergyLJ($A102,$C$2,$C$4,shape_factors!Q$2,$C$3,shape_factors!Q$3)</f>
        <v>-3.2627806928047403E-5</v>
      </c>
      <c r="R102" s="5">
        <f>EnergyLJ($A102,$C$2,$C$4,shape_factors!R$2,$C$3,shape_factors!R$3)</f>
        <v>-3.1553970630909047E-4</v>
      </c>
      <c r="S102" s="5">
        <f>EnergyLJ($A102,$C$2,$C$4,shape_factors!S$2,$C$3,shape_factors!S$3)</f>
        <v>-5.0781225785371127E-5</v>
      </c>
      <c r="T102" s="5">
        <f>EnergyLJ($A102,$C$2,$C$4,shape_factors!T$2,$C$3,shape_factors!T$3)</f>
        <v>-1.4802921579853088E-5</v>
      </c>
      <c r="U102" s="5">
        <f>EnergyLJ($A102,$C$2,$C$4,shape_factors!U$2,$C$3,shape_factors!U$3)</f>
        <v>-3.0658659413211202E-4</v>
      </c>
    </row>
    <row r="103" spans="1:21" x14ac:dyDescent="0.25">
      <c r="A103">
        <v>21.2</v>
      </c>
      <c r="B103" s="5">
        <f>EnergyLJ($A103,$C$2,$C$4,shape_factors!B$2,$C$3,shape_factors!B$3)</f>
        <v>-3.4782772182679971E-3</v>
      </c>
      <c r="C103" s="5">
        <f>EnergyLJ($A103,$C$2,$C$4,shape_factors!C$2,$C$3,shape_factors!C$3)</f>
        <v>-3.6934604882570964E-4</v>
      </c>
      <c r="D103" s="5">
        <f>EnergyLJ($A103,$C$2,$C$4,shape_factors!D$2,$C$3,shape_factors!D$3)</f>
        <v>-5.5382492703312273E-3</v>
      </c>
      <c r="E103" s="5">
        <f>EnergyLJ($A103,$C$2,$C$4,shape_factors!E$2,$C$3,shape_factors!E$3)</f>
        <v>-1.0172458071934529E-3</v>
      </c>
      <c r="F103" s="5">
        <f>EnergyLJ($A103,$C$2,$C$4,shape_factors!F$2,$C$3,shape_factors!F$3)</f>
        <v>-2.8306467072372051E-4</v>
      </c>
      <c r="G103" s="5">
        <f>EnergyLJ($A103,$C$2,$C$4,shape_factors!G$2,$C$3,shape_factors!G$3)</f>
        <v>-4.7877005756351737E-4</v>
      </c>
      <c r="H103" s="5">
        <f>EnergyLJ($A103,$C$2,$C$4,shape_factors!H$2,$C$3,shape_factors!H$3)</f>
        <v>-4.3629983074782171E-2</v>
      </c>
      <c r="I103" s="5">
        <f>EnergyLJ($A103,$C$2,$C$4,shape_factors!I$2,$C$3,shape_factors!I$3)</f>
        <v>-1.4788497997889848E-3</v>
      </c>
      <c r="J103" s="5">
        <f>EnergyLJ($A103,$C$2,$C$4,shape_factors!J$2,$C$3,shape_factors!J$3)</f>
        <v>-7.1821683813139524E-5</v>
      </c>
      <c r="K103" s="5">
        <f>EnergyLJ($A103,$C$2,$C$4,shape_factors!K$2,$C$3,shape_factors!K$3)</f>
        <v>-1.1080903651207006E-4</v>
      </c>
      <c r="L103" s="5">
        <f>EnergyLJ($A103,$C$2,$C$4,shape_factors!L$2,$C$3,shape_factors!L$3)</f>
        <v>-2.1405267988789721E-4</v>
      </c>
      <c r="M103" s="5">
        <f>EnergyLJ($A103,$C$2,$C$4,shape_factors!M$2,$C$3,shape_factors!M$3)</f>
        <v>-7.9549360094263632E-5</v>
      </c>
      <c r="N103" s="5">
        <f>EnergyLJ($A103,$C$2,$C$4,shape_factors!N$2,$C$3,shape_factors!N$3)</f>
        <v>-2.4732167297234988E-5</v>
      </c>
      <c r="O103" s="5">
        <f>EnergyLJ($A103,$C$2,$C$4,shape_factors!O$2,$C$3,shape_factors!O$3)</f>
        <v>-1.764737944090614E-5</v>
      </c>
      <c r="P103" s="5">
        <f>EnergyLJ($A103,$C$2,$C$4,shape_factors!P$2,$C$3,shape_factors!P$3)</f>
        <v>-2.7218410482643582E-5</v>
      </c>
      <c r="Q103" s="5">
        <f>EnergyLJ($A103,$C$2,$C$4,shape_factors!Q$2,$C$3,shape_factors!Q$3)</f>
        <v>-3.0823974875661323E-5</v>
      </c>
      <c r="R103" s="5">
        <f>EnergyLJ($A103,$C$2,$C$4,shape_factors!R$2,$C$3,shape_factors!R$3)</f>
        <v>-2.9809598263757988E-4</v>
      </c>
      <c r="S103" s="5">
        <f>EnergyLJ($A103,$C$2,$C$4,shape_factors!S$2,$C$3,shape_factors!S$3)</f>
        <v>-4.7973789440434874E-5</v>
      </c>
      <c r="T103" s="5">
        <f>EnergyLJ($A103,$C$2,$C$4,shape_factors!T$2,$C$3,shape_factors!T$3)</f>
        <v>-1.3984537626211533E-5</v>
      </c>
      <c r="U103" s="5">
        <f>EnergyLJ($A103,$C$2,$C$4,shape_factors!U$2,$C$3,shape_factors!U$3)</f>
        <v>-2.896377895909178E-4</v>
      </c>
    </row>
    <row r="104" spans="1:21" x14ac:dyDescent="0.25">
      <c r="A104">
        <v>21.4</v>
      </c>
      <c r="B104" s="5">
        <f>EnergyLJ($A104,$C$2,$C$4,shape_factors!B$2,$C$3,shape_factors!B$3)</f>
        <v>-3.2878588076830826E-3</v>
      </c>
      <c r="C104" s="5">
        <f>EnergyLJ($A104,$C$2,$C$4,shape_factors!C$2,$C$3,shape_factors!C$3)</f>
        <v>-3.491143710479977E-4</v>
      </c>
      <c r="D104" s="5">
        <f>EnergyLJ($A104,$C$2,$C$4,shape_factors!D$2,$C$3,shape_factors!D$3)</f>
        <v>-5.2351752468835977E-3</v>
      </c>
      <c r="E104" s="5">
        <f>EnergyLJ($A104,$C$2,$C$4,shape_factors!E$2,$C$3,shape_factors!E$3)</f>
        <v>-9.6153088301187677E-4</v>
      </c>
      <c r="F104" s="5">
        <f>EnergyLJ($A104,$C$2,$C$4,shape_factors!F$2,$C$3,shape_factors!F$3)</f>
        <v>-2.6755897917395686E-4</v>
      </c>
      <c r="G104" s="5">
        <f>EnergyLJ($A104,$C$2,$C$4,shape_factors!G$2,$C$3,shape_factors!G$3)</f>
        <v>-4.5254499652937159E-4</v>
      </c>
      <c r="H104" s="5">
        <f>EnergyLJ($A104,$C$2,$C$4,shape_factors!H$2,$C$3,shape_factors!H$3)</f>
        <v>-4.1259799851613863E-2</v>
      </c>
      <c r="I104" s="5">
        <f>EnergyLJ($A104,$C$2,$C$4,shape_factors!I$2,$C$3,shape_factors!I$3)</f>
        <v>-1.3978596767165101E-3</v>
      </c>
      <c r="J104" s="5">
        <f>EnergyLJ($A104,$C$2,$C$4,shape_factors!J$2,$C$3,shape_factors!J$3)</f>
        <v>-6.7887286062107835E-5</v>
      </c>
      <c r="K104" s="5">
        <f>EnergyLJ($A104,$C$2,$C$4,shape_factors!K$2,$C$3,shape_factors!K$3)</f>
        <v>-1.0473895275860895E-4</v>
      </c>
      <c r="L104" s="5">
        <f>EnergyLJ($A104,$C$2,$C$4,shape_factors!L$2,$C$3,shape_factors!L$3)</f>
        <v>-2.0232716928479221E-4</v>
      </c>
      <c r="M104" s="5">
        <f>EnergyLJ($A104,$C$2,$C$4,shape_factors!M$2,$C$3,shape_factors!M$3)</f>
        <v>-7.5191645916477035E-5</v>
      </c>
      <c r="N104" s="5">
        <f>EnergyLJ($A104,$C$2,$C$4,shape_factors!N$2,$C$3,shape_factors!N$3)</f>
        <v>-2.337732517137675E-5</v>
      </c>
      <c r="O104" s="5">
        <f>EnergyLJ($A104,$C$2,$C$4,shape_factors!O$2,$C$3,shape_factors!O$3)</f>
        <v>-1.6680644720108931E-5</v>
      </c>
      <c r="P104" s="5">
        <f>EnergyLJ($A104,$C$2,$C$4,shape_factors!P$2,$C$3,shape_factors!P$3)</f>
        <v>-2.5727371242840322E-5</v>
      </c>
      <c r="Q104" s="5">
        <f>EnergyLJ($A104,$C$2,$C$4,shape_factors!Q$2,$C$3,shape_factors!Q$3)</f>
        <v>-2.9135422011166875E-5</v>
      </c>
      <c r="R104" s="5">
        <f>EnergyLJ($A104,$C$2,$C$4,shape_factors!R$2,$C$3,shape_factors!R$3)</f>
        <v>-2.8176695325558371E-4</v>
      </c>
      <c r="S104" s="5">
        <f>EnergyLJ($A104,$C$2,$C$4,shape_factors!S$2,$C$3,shape_factors!S$3)</f>
        <v>-4.5345769551566087E-5</v>
      </c>
      <c r="T104" s="5">
        <f>EnergyLJ($A104,$C$2,$C$4,shape_factors!T$2,$C$3,shape_factors!T$3)</f>
        <v>-1.3218455193974232E-5</v>
      </c>
      <c r="U104" s="5">
        <f>EnergyLJ($A104,$C$2,$C$4,shape_factors!U$2,$C$3,shape_factors!U$3)</f>
        <v>-2.737720558799094E-4</v>
      </c>
    </row>
    <row r="105" spans="1:21" x14ac:dyDescent="0.25">
      <c r="A105">
        <v>21.6</v>
      </c>
      <c r="B105" s="5">
        <f>EnergyLJ($A105,$C$2,$C$4,shape_factors!B$2,$C$3,shape_factors!B$3)</f>
        <v>-3.1094866163327312E-3</v>
      </c>
      <c r="C105" s="5">
        <f>EnergyLJ($A105,$C$2,$C$4,shape_factors!C$2,$C$3,shape_factors!C$3)</f>
        <v>-3.3016382942471756E-4</v>
      </c>
      <c r="D105" s="5">
        <f>EnergyLJ($A105,$C$2,$C$4,shape_factors!D$2,$C$3,shape_factors!D$3)</f>
        <v>-4.9512618692309513E-3</v>
      </c>
      <c r="E105" s="5">
        <f>EnergyLJ($A105,$C$2,$C$4,shape_factors!E$2,$C$3,shape_factors!E$3)</f>
        <v>-9.0934329814421533E-4</v>
      </c>
      <c r="F105" s="5">
        <f>EnergyLJ($A105,$C$2,$C$4,shape_factors!F$2,$C$3,shape_factors!F$3)</f>
        <v>-2.5303518522776637E-4</v>
      </c>
      <c r="G105" s="5">
        <f>EnergyLJ($A105,$C$2,$C$4,shape_factors!G$2,$C$3,shape_factors!G$3)</f>
        <v>-4.279805357143654E-4</v>
      </c>
      <c r="H105" s="5">
        <f>EnergyLJ($A105,$C$2,$C$4,shape_factors!H$2,$C$3,shape_factors!H$3)</f>
        <v>-3.903762920363419E-2</v>
      </c>
      <c r="I105" s="5">
        <f>EnergyLJ($A105,$C$2,$C$4,shape_factors!I$2,$C$3,shape_factors!I$3)</f>
        <v>-1.3219963400567581E-3</v>
      </c>
      <c r="J105" s="5">
        <f>EnergyLJ($A105,$C$2,$C$4,shape_factors!J$2,$C$3,shape_factors!J$3)</f>
        <v>-6.4202050359468067E-5</v>
      </c>
      <c r="K105" s="5">
        <f>EnergyLJ($A105,$C$2,$C$4,shape_factors!K$2,$C$3,shape_factors!K$3)</f>
        <v>-9.9053277556900019E-5</v>
      </c>
      <c r="L105" s="5">
        <f>EnergyLJ($A105,$C$2,$C$4,shape_factors!L$2,$C$3,shape_factors!L$3)</f>
        <v>-1.9134419236293185E-4</v>
      </c>
      <c r="M105" s="5">
        <f>EnergyLJ($A105,$C$2,$C$4,shape_factors!M$2,$C$3,shape_factors!M$3)</f>
        <v>-7.1109901390719579E-5</v>
      </c>
      <c r="N105" s="5">
        <f>EnergyLJ($A105,$C$2,$C$4,shape_factors!N$2,$C$3,shape_factors!N$3)</f>
        <v>-2.210828529788914E-5</v>
      </c>
      <c r="O105" s="5">
        <f>EnergyLJ($A105,$C$2,$C$4,shape_factors!O$2,$C$3,shape_factors!O$3)</f>
        <v>-1.577513351596613E-5</v>
      </c>
      <c r="P105" s="5">
        <f>EnergyLJ($A105,$C$2,$C$4,shape_factors!P$2,$C$3,shape_factors!P$3)</f>
        <v>-2.433075955564608E-5</v>
      </c>
      <c r="Q105" s="5">
        <f>EnergyLJ($A105,$C$2,$C$4,shape_factors!Q$2,$C$3,shape_factors!Q$3)</f>
        <v>-2.7553805122063019E-5</v>
      </c>
      <c r="R105" s="5">
        <f>EnergyLJ($A105,$C$2,$C$4,shape_factors!R$2,$C$3,shape_factors!R$3)</f>
        <v>-2.6647195448761764E-4</v>
      </c>
      <c r="S105" s="5">
        <f>EnergyLJ($A105,$C$2,$C$4,shape_factors!S$2,$C$3,shape_factors!S$3)</f>
        <v>-4.2884181152927462E-5</v>
      </c>
      <c r="T105" s="5">
        <f>EnergyLJ($A105,$C$2,$C$4,shape_factors!T$2,$C$3,shape_factors!T$3)</f>
        <v>-1.2500888981364517E-5</v>
      </c>
      <c r="U105" s="5">
        <f>EnergyLJ($A105,$C$2,$C$4,shape_factors!U$2,$C$3,shape_factors!U$3)</f>
        <v>-2.5891101737813118E-4</v>
      </c>
    </row>
    <row r="106" spans="1:21" x14ac:dyDescent="0.25">
      <c r="A106">
        <v>21.8</v>
      </c>
      <c r="B106" s="5">
        <f>EnergyLJ($A106,$C$2,$C$4,shape_factors!B$2,$C$3,shape_factors!B$3)</f>
        <v>-2.9422980891731605E-3</v>
      </c>
      <c r="C106" s="5">
        <f>EnergyLJ($A106,$C$2,$C$4,shape_factors!C$2,$C$3,shape_factors!C$3)</f>
        <v>-3.124025492610406E-4</v>
      </c>
      <c r="D106" s="5">
        <f>EnergyLJ($A106,$C$2,$C$4,shape_factors!D$2,$C$3,shape_factors!D$3)</f>
        <v>-4.6851385609889022E-3</v>
      </c>
      <c r="E106" s="5">
        <f>EnergyLJ($A106,$C$2,$C$4,shape_factors!E$2,$C$3,shape_factors!E$3)</f>
        <v>-8.6043017534331379E-4</v>
      </c>
      <c r="F106" s="5">
        <f>EnergyLJ($A106,$C$2,$C$4,shape_factors!F$2,$C$3,shape_factors!F$3)</f>
        <v>-2.3942287063993502E-4</v>
      </c>
      <c r="G106" s="5">
        <f>EnergyLJ($A106,$C$2,$C$4,shape_factors!G$2,$C$3,shape_factors!G$3)</f>
        <v>-4.0495759413780894E-4</v>
      </c>
      <c r="H106" s="5">
        <f>EnergyLJ($A106,$C$2,$C$4,shape_factors!H$2,$C$3,shape_factors!H$3)</f>
        <v>-3.695309095024104E-2</v>
      </c>
      <c r="I106" s="5">
        <f>EnergyLJ($A106,$C$2,$C$4,shape_factors!I$2,$C$3,shape_factors!I$3)</f>
        <v>-1.2508923305286851E-3</v>
      </c>
      <c r="J106" s="5">
        <f>EnergyLJ($A106,$C$2,$C$4,shape_factors!J$2,$C$3,shape_factors!J$3)</f>
        <v>-6.07481058281914E-5</v>
      </c>
      <c r="K106" s="5">
        <f>EnergyLJ($A106,$C$2,$C$4,shape_factors!K$2,$C$3,shape_factors!K$3)</f>
        <v>-9.3724440148368123E-5</v>
      </c>
      <c r="L106" s="5">
        <f>EnergyLJ($A106,$C$2,$C$4,shape_factors!L$2,$C$3,shape_factors!L$3)</f>
        <v>-1.8105049541439422E-4</v>
      </c>
      <c r="M106" s="5">
        <f>EnergyLJ($A106,$C$2,$C$4,shape_factors!M$2,$C$3,shape_factors!M$3)</f>
        <v>-6.7284332968705954E-5</v>
      </c>
      <c r="N106" s="5">
        <f>EnergyLJ($A106,$C$2,$C$4,shape_factors!N$2,$C$3,shape_factors!N$3)</f>
        <v>-2.0918893461478666E-5</v>
      </c>
      <c r="O106" s="5">
        <f>EnergyLJ($A106,$C$2,$C$4,shape_factors!O$2,$C$3,shape_factors!O$3)</f>
        <v>-1.4926454521719479E-5</v>
      </c>
      <c r="P106" s="5">
        <f>EnergyLJ($A106,$C$2,$C$4,shape_factors!P$2,$C$3,shape_factors!P$3)</f>
        <v>-2.3021802559460213E-5</v>
      </c>
      <c r="Q106" s="5">
        <f>EnergyLJ($A106,$C$2,$C$4,shape_factors!Q$2,$C$3,shape_factors!Q$3)</f>
        <v>-2.6071454187665384E-5</v>
      </c>
      <c r="R106" s="5">
        <f>EnergyLJ($A106,$C$2,$C$4,shape_factors!R$2,$C$3,shape_factors!R$3)</f>
        <v>-2.5213682983877872E-4</v>
      </c>
      <c r="S106" s="5">
        <f>EnergyLJ($A106,$C$2,$C$4,shape_factors!S$2,$C$3,shape_factors!S$3)</f>
        <v>-4.0577086987306147E-5</v>
      </c>
      <c r="T106" s="5">
        <f>EnergyLJ($A106,$C$2,$C$4,shape_factors!T$2,$C$3,shape_factors!T$3)</f>
        <v>-1.1828359116640209E-5</v>
      </c>
      <c r="U106" s="5">
        <f>EnergyLJ($A106,$C$2,$C$4,shape_factors!U$2,$C$3,shape_factors!U$3)</f>
        <v>-2.449826211084555E-4</v>
      </c>
    </row>
    <row r="107" spans="1:21" x14ac:dyDescent="0.25">
      <c r="A107">
        <v>22</v>
      </c>
      <c r="B107" s="5">
        <f>EnergyLJ($A107,$C$2,$C$4,shape_factors!B$2,$C$3,shape_factors!B$3)</f>
        <v>-2.785499473843146E-3</v>
      </c>
      <c r="C107" s="5">
        <f>EnergyLJ($A107,$C$2,$C$4,shape_factors!C$2,$C$3,shape_factors!C$3)</f>
        <v>-2.957460013124302E-4</v>
      </c>
      <c r="D107" s="5">
        <f>EnergyLJ($A107,$C$2,$C$4,shape_factors!D$2,$C$3,shape_factors!D$3)</f>
        <v>-4.435543902492887E-3</v>
      </c>
      <c r="E107" s="5">
        <f>EnergyLJ($A107,$C$2,$C$4,shape_factors!E$2,$C$3,shape_factors!E$3)</f>
        <v>-8.1455884539071409E-4</v>
      </c>
      <c r="F107" s="5">
        <f>EnergyLJ($A107,$C$2,$C$4,shape_factors!F$2,$C$3,shape_factors!F$3)</f>
        <v>-2.266572475155934E-4</v>
      </c>
      <c r="G107" s="5">
        <f>EnergyLJ($A107,$C$2,$C$4,shape_factors!G$2,$C$3,shape_factors!G$3)</f>
        <v>-3.8336661066160044E-4</v>
      </c>
      <c r="H107" s="5">
        <f>EnergyLJ($A107,$C$2,$C$4,shape_factors!H$2,$C$3,shape_factors!H$3)</f>
        <v>-3.4996606567669418E-2</v>
      </c>
      <c r="I107" s="5">
        <f>EnergyLJ($A107,$C$2,$C$4,shape_factors!I$2,$C$3,shape_factors!I$3)</f>
        <v>-1.1842095433525158E-3</v>
      </c>
      <c r="J107" s="5">
        <f>EnergyLJ($A107,$C$2,$C$4,shape_factors!J$2,$C$3,shape_factors!J$3)</f>
        <v>-5.7509010695415861E-5</v>
      </c>
      <c r="K107" s="5">
        <f>EnergyLJ($A107,$C$2,$C$4,shape_factors!K$2,$C$3,shape_factors!K$3)</f>
        <v>-8.8727074498415648E-5</v>
      </c>
      <c r="L107" s="5">
        <f>EnergyLJ($A107,$C$2,$C$4,shape_factors!L$2,$C$3,shape_factors!L$3)</f>
        <v>-1.713970828937265E-4</v>
      </c>
      <c r="M107" s="5">
        <f>EnergyLJ($A107,$C$2,$C$4,shape_factors!M$2,$C$3,shape_factors!M$3)</f>
        <v>-6.3696729950088514E-5</v>
      </c>
      <c r="N107" s="5">
        <f>EnergyLJ($A107,$C$2,$C$4,shape_factors!N$2,$C$3,shape_factors!N$3)</f>
        <v>-1.9803487606281727E-5</v>
      </c>
      <c r="O107" s="5">
        <f>EnergyLJ($A107,$C$2,$C$4,shape_factors!O$2,$C$3,shape_factors!O$3)</f>
        <v>-1.413056761012538E-5</v>
      </c>
      <c r="P107" s="5">
        <f>EnergyLJ($A107,$C$2,$C$4,shape_factors!P$2,$C$3,shape_factors!P$3)</f>
        <v>-2.1794269024949383E-5</v>
      </c>
      <c r="Q107" s="5">
        <f>EnergyLJ($A107,$C$2,$C$4,shape_factors!Q$2,$C$3,shape_factors!Q$3)</f>
        <v>-2.4681312564599647E-5</v>
      </c>
      <c r="R107" s="5">
        <f>EnergyLJ($A107,$C$2,$C$4,shape_factors!R$2,$C$3,shape_factors!R$3)</f>
        <v>-2.3869335199353515E-4</v>
      </c>
      <c r="S107" s="5">
        <f>EnergyLJ($A107,$C$2,$C$4,shape_factors!S$2,$C$3,shape_factors!S$3)</f>
        <v>-3.8413504416813914E-5</v>
      </c>
      <c r="T107" s="5">
        <f>EnergyLJ($A107,$C$2,$C$4,shape_factors!T$2,$C$3,shape_factors!T$3)</f>
        <v>-1.1197664019475086E-5</v>
      </c>
      <c r="U107" s="5">
        <f>EnergyLJ($A107,$C$2,$C$4,shape_factors!U$2,$C$3,shape_factors!U$3)</f>
        <v>-2.3192057512247773E-4</v>
      </c>
    </row>
    <row r="108" spans="1:21" x14ac:dyDescent="0.25">
      <c r="A108">
        <v>22.2</v>
      </c>
      <c r="B108" s="5">
        <f>EnergyLJ($A108,$C$2,$C$4,shape_factors!B$2,$C$3,shape_factors!B$3)</f>
        <v>-2.638359783806317E-3</v>
      </c>
      <c r="C108" s="5">
        <f>EnergyLJ($A108,$C$2,$C$4,shape_factors!C$2,$C$3,shape_factors!C$3)</f>
        <v>-2.8011635510596423E-4</v>
      </c>
      <c r="D108" s="5">
        <f>EnergyLJ($A108,$C$2,$C$4,shape_factors!D$2,$C$3,shape_factors!D$3)</f>
        <v>-4.2013160748874644E-3</v>
      </c>
      <c r="E108" s="5">
        <f>EnergyLJ($A108,$C$2,$C$4,shape_factors!E$2,$C$3,shape_factors!E$3)</f>
        <v>-7.7151506926407382E-4</v>
      </c>
      <c r="F108" s="5">
        <f>EnergyLJ($A108,$C$2,$C$4,shape_factors!F$2,$C$3,shape_factors!F$3)</f>
        <v>-2.1467866257949406E-4</v>
      </c>
      <c r="G108" s="5">
        <f>EnergyLJ($A108,$C$2,$C$4,shape_factors!G$2,$C$3,shape_factors!G$3)</f>
        <v>-3.6310670598109675E-4</v>
      </c>
      <c r="H108" s="5">
        <f>EnergyLJ($A108,$C$2,$C$4,shape_factors!H$2,$C$3,shape_factors!H$3)</f>
        <v>-3.3159332230035844E-2</v>
      </c>
      <c r="I108" s="5">
        <f>EnergyLJ($A108,$C$2,$C$4,shape_factors!I$2,$C$3,shape_factors!I$3)</f>
        <v>-1.1216366470301439E-3</v>
      </c>
      <c r="J108" s="5">
        <f>EnergyLJ($A108,$C$2,$C$4,shape_factors!J$2,$C$3,shape_factors!J$3)</f>
        <v>-5.4469626436746473E-5</v>
      </c>
      <c r="K108" s="5">
        <f>EnergyLJ($A108,$C$2,$C$4,shape_factors!K$2,$C$3,shape_factors!K$3)</f>
        <v>-8.4037825143003561E-5</v>
      </c>
      <c r="L108" s="5">
        <f>EnergyLJ($A108,$C$2,$C$4,shape_factors!L$2,$C$3,shape_factors!L$3)</f>
        <v>-1.6233884247527711E-4</v>
      </c>
      <c r="M108" s="5">
        <f>EnergyLJ($A108,$C$2,$C$4,shape_factors!M$2,$C$3,shape_factors!M$3)</f>
        <v>-6.0330325088292264E-5</v>
      </c>
      <c r="N108" s="5">
        <f>EnergyLJ($A108,$C$2,$C$4,shape_factors!N$2,$C$3,shape_factors!N$3)</f>
        <v>-1.8756854491087308E-5</v>
      </c>
      <c r="O108" s="5">
        <f>EnergyLJ($A108,$C$2,$C$4,shape_factors!O$2,$C$3,shape_factors!O$3)</f>
        <v>-1.3383752904628363E-5</v>
      </c>
      <c r="P108" s="5">
        <f>EnergyLJ($A108,$C$2,$C$4,shape_factors!P$2,$C$3,shape_factors!P$3)</f>
        <v>-2.0642421653295013E-5</v>
      </c>
      <c r="Q108" s="5">
        <f>EnergyLJ($A108,$C$2,$C$4,shape_factors!Q$2,$C$3,shape_factors!Q$3)</f>
        <v>-2.3376882966645906E-5</v>
      </c>
      <c r="R108" s="5">
        <f>EnergyLJ($A108,$C$2,$C$4,shape_factors!R$2,$C$3,shape_factors!R$3)</f>
        <v>-2.2607870078269113E-4</v>
      </c>
      <c r="S108" s="5">
        <f>EnergyLJ($A108,$C$2,$C$4,shape_factors!S$2,$C$3,shape_factors!S$3)</f>
        <v>-3.638332135108657E-5</v>
      </c>
      <c r="T108" s="5">
        <f>EnergyLJ($A108,$C$2,$C$4,shape_factors!T$2,$C$3,shape_factors!T$3)</f>
        <v>-1.0605855891383504E-5</v>
      </c>
      <c r="U108" s="5">
        <f>EnergyLJ($A108,$C$2,$C$4,shape_factors!U$2,$C$3,shape_factors!U$3)</f>
        <v>-2.1966384126764679E-4</v>
      </c>
    </row>
    <row r="109" spans="1:21" x14ac:dyDescent="0.25">
      <c r="A109">
        <v>22.4</v>
      </c>
      <c r="B109" s="5">
        <f>EnergyLJ($A109,$C$2,$C$4,shape_factors!B$2,$C$3,shape_factors!B$3)</f>
        <v>-2.5002053381345344E-3</v>
      </c>
      <c r="C109" s="5">
        <f>EnergyLJ($A109,$C$2,$C$4,shape_factors!C$2,$C$3,shape_factors!C$3)</f>
        <v>-2.6544189432834261E-4</v>
      </c>
      <c r="D109" s="5">
        <f>EnergyLJ($A109,$C$2,$C$4,shape_factors!D$2,$C$3,shape_factors!D$3)</f>
        <v>-3.9813842140510366E-3</v>
      </c>
      <c r="E109" s="5">
        <f>EnergyLJ($A109,$C$2,$C$4,shape_factors!E$2,$C$3,shape_factors!E$3)</f>
        <v>-7.3110143076855522E-4</v>
      </c>
      <c r="F109" s="5">
        <f>EnergyLJ($A109,$C$2,$C$4,shape_factors!F$2,$C$3,shape_factors!F$3)</f>
        <v>-2.0343214903057597E-4</v>
      </c>
      <c r="G109" s="5">
        <f>EnergyLJ($A109,$C$2,$C$4,shape_factors!G$2,$C$3,shape_factors!G$3)</f>
        <v>-3.4408492503274705E-4</v>
      </c>
      <c r="H109" s="5">
        <f>EnergyLJ($A109,$C$2,$C$4,shape_factors!H$2,$C$3,shape_factors!H$3)</f>
        <v>-3.1433097786969739E-2</v>
      </c>
      <c r="I109" s="5">
        <f>EnergyLJ($A109,$C$2,$C$4,shape_factors!I$2,$C$3,shape_factors!I$3)</f>
        <v>-1.0628867494460958E-3</v>
      </c>
      <c r="J109" s="5">
        <f>EnergyLJ($A109,$C$2,$C$4,shape_factors!J$2,$C$3,shape_factors!J$3)</f>
        <v>-5.1616004005337676E-5</v>
      </c>
      <c r="K109" s="5">
        <f>EnergyLJ($A109,$C$2,$C$4,shape_factors!K$2,$C$3,shape_factors!K$3)</f>
        <v>-7.9635171676925679E-5</v>
      </c>
      <c r="L109" s="5">
        <f>EnergyLJ($A109,$C$2,$C$4,shape_factors!L$2,$C$3,shape_factors!L$3)</f>
        <v>-1.5383420610511631E-4</v>
      </c>
      <c r="M109" s="5">
        <f>EnergyLJ($A109,$C$2,$C$4,shape_factors!M$2,$C$3,shape_factors!M$3)</f>
        <v>-5.7169668580952287E-5</v>
      </c>
      <c r="N109" s="5">
        <f>EnergyLJ($A109,$C$2,$C$4,shape_factors!N$2,$C$3,shape_factors!N$3)</f>
        <v>-1.7774190506862655E-5</v>
      </c>
      <c r="O109" s="5">
        <f>EnergyLJ($A109,$C$2,$C$4,shape_factors!O$2,$C$3,shape_factors!O$3)</f>
        <v>-1.2682582820593097E-5</v>
      </c>
      <c r="P109" s="5">
        <f>EnergyLJ($A109,$C$2,$C$4,shape_factors!P$2,$C$3,shape_factors!P$3)</f>
        <v>-1.9560973955117185E-5</v>
      </c>
      <c r="Q109" s="5">
        <f>EnergyLJ($A109,$C$2,$C$4,shape_factors!Q$2,$C$3,shape_factors!Q$3)</f>
        <v>-2.2152178631971073E-5</v>
      </c>
      <c r="R109" s="5">
        <f>EnergyLJ($A109,$C$2,$C$4,shape_factors!R$2,$C$3,shape_factors!R$3)</f>
        <v>-2.142349912592632E-4</v>
      </c>
      <c r="S109" s="5">
        <f>EnergyLJ($A109,$C$2,$C$4,shape_factors!S$2,$C$3,shape_factors!S$3)</f>
        <v>-3.4477220248428357E-5</v>
      </c>
      <c r="T109" s="5">
        <f>EnergyLJ($A109,$C$2,$C$4,shape_factors!T$2,$C$3,shape_factors!T$3)</f>
        <v>-1.0050218559783558E-5</v>
      </c>
      <c r="U109" s="5">
        <f>EnergyLJ($A109,$C$2,$C$4,shape_factors!U$2,$C$3,shape_factors!U$3)</f>
        <v>-2.0815617664329448E-4</v>
      </c>
    </row>
    <row r="110" spans="1:21" x14ac:dyDescent="0.25">
      <c r="A110">
        <v>22.6</v>
      </c>
      <c r="B110" s="5">
        <f>EnergyLJ($A110,$C$2,$C$4,shape_factors!B$2,$C$3,shape_factors!B$3)</f>
        <v>-2.3704148184876231E-3</v>
      </c>
      <c r="C110" s="5">
        <f>EnergyLJ($A110,$C$2,$C$4,shape_factors!C$2,$C$3,shape_factors!C$3)</f>
        <v>-2.51656487839817E-4</v>
      </c>
      <c r="D110" s="5">
        <f>EnergyLJ($A110,$C$2,$C$4,shape_factors!D$2,$C$3,shape_factors!D$3)</f>
        <v>-3.7747605809854115E-3</v>
      </c>
      <c r="E110" s="5">
        <f>EnergyLJ($A110,$C$2,$C$4,shape_factors!E$2,$C$3,shape_factors!E$3)</f>
        <v>-6.9313588196685642E-4</v>
      </c>
      <c r="F110" s="5">
        <f>EnergyLJ($A110,$C$2,$C$4,shape_factors!F$2,$C$3,shape_factors!F$3)</f>
        <v>-1.9286702104292572E-4</v>
      </c>
      <c r="G110" s="5">
        <f>EnergyLJ($A110,$C$2,$C$4,shape_factors!G$2,$C$3,shape_factors!G$3)</f>
        <v>-3.2621555147541441E-4</v>
      </c>
      <c r="H110" s="5">
        <f>EnergyLJ($A110,$C$2,$C$4,shape_factors!H$2,$C$3,shape_factors!H$3)</f>
        <v>-2.9810351131714537E-2</v>
      </c>
      <c r="I110" s="5">
        <f>EnergyLJ($A110,$C$2,$C$4,shape_factors!I$2,$C$3,shape_factors!I$3)</f>
        <v>-1.0076952856839458E-3</v>
      </c>
      <c r="J110" s="5">
        <f>EnergyLJ($A110,$C$2,$C$4,shape_factors!J$2,$C$3,shape_factors!J$3)</f>
        <v>-4.8935280890922275E-5</v>
      </c>
      <c r="K110" s="5">
        <f>EnergyLJ($A110,$C$2,$C$4,shape_factors!K$2,$C$3,shape_factors!K$3)</f>
        <v>-7.5499269948252069E-5</v>
      </c>
      <c r="L110" s="5">
        <f>EnergyLJ($A110,$C$2,$C$4,shape_factors!L$2,$C$3,shape_factors!L$3)</f>
        <v>-1.4584484331111526E-4</v>
      </c>
      <c r="M110" s="5">
        <f>EnergyLJ($A110,$C$2,$C$4,shape_factors!M$2,$C$3,shape_factors!M$3)</f>
        <v>-5.4200514055170673E-5</v>
      </c>
      <c r="N110" s="5">
        <f>EnergyLJ($A110,$C$2,$C$4,shape_factors!N$2,$C$3,shape_factors!N$3)</f>
        <v>-1.6851066224342567E-5</v>
      </c>
      <c r="O110" s="5">
        <f>EnergyLJ($A110,$C$2,$C$4,shape_factors!O$2,$C$3,shape_factors!O$3)</f>
        <v>-1.2023896768161113E-5</v>
      </c>
      <c r="P110" s="5">
        <f>EnergyLJ($A110,$C$2,$C$4,shape_factors!P$2,$C$3,shape_factors!P$3)</f>
        <v>-1.8545051234391495E-5</v>
      </c>
      <c r="Q110" s="5">
        <f>EnergyLJ($A110,$C$2,$C$4,shape_factors!Q$2,$C$3,shape_factors!Q$3)</f>
        <v>-2.1001679139065668E-5</v>
      </c>
      <c r="R110" s="5">
        <f>EnergyLJ($A110,$C$2,$C$4,shape_factors!R$2,$C$3,shape_factors!R$3)</f>
        <v>-2.0310884668260781E-4</v>
      </c>
      <c r="S110" s="5">
        <f>EnergyLJ($A110,$C$2,$C$4,shape_factors!S$2,$C$3,shape_factors!S$3)</f>
        <v>-3.2686609351596686E-5</v>
      </c>
      <c r="T110" s="5">
        <f>EnergyLJ($A110,$C$2,$C$4,shape_factors!T$2,$C$3,shape_factors!T$3)</f>
        <v>-9.5282474312768776E-6</v>
      </c>
      <c r="U110" s="5">
        <f>EnergyLJ($A110,$C$2,$C$4,shape_factors!U$2,$C$3,shape_factors!U$3)</f>
        <v>-1.9734571869219221E-4</v>
      </c>
    </row>
    <row r="111" spans="1:21" x14ac:dyDescent="0.25">
      <c r="A111">
        <v>22.8</v>
      </c>
      <c r="B111" s="5">
        <f>EnergyLJ($A111,$C$2,$C$4,shape_factors!B$2,$C$3,shape_factors!B$3)</f>
        <v>-2.2484147904089763E-3</v>
      </c>
      <c r="C111" s="5">
        <f>EnergyLJ($A111,$C$2,$C$4,shape_factors!C$2,$C$3,shape_factors!C$3)</f>
        <v>-2.386991105909186E-4</v>
      </c>
      <c r="D111" s="5">
        <f>EnergyLJ($A111,$C$2,$C$4,shape_factors!D$2,$C$3,shape_factors!D$3)</f>
        <v>-3.580533465546452E-3</v>
      </c>
      <c r="E111" s="5">
        <f>EnergyLJ($A111,$C$2,$C$4,shape_factors!E$2,$C$3,shape_factors!E$3)</f>
        <v>-6.5745042570726031E-4</v>
      </c>
      <c r="F111" s="5">
        <f>EnergyLJ($A111,$C$2,$C$4,shape_factors!F$2,$C$3,shape_factors!F$3)</f>
        <v>-1.8293650652467124E-4</v>
      </c>
      <c r="G111" s="5">
        <f>EnergyLJ($A111,$C$2,$C$4,shape_factors!G$2,$C$3,shape_factors!G$3)</f>
        <v>-3.0941948683162521E-4</v>
      </c>
      <c r="H111" s="5">
        <f>EnergyLJ($A111,$C$2,$C$4,shape_factors!H$2,$C$3,shape_factors!H$3)</f>
        <v>-2.8284107463948518E-2</v>
      </c>
      <c r="I111" s="5">
        <f>EnergyLJ($A111,$C$2,$C$4,shape_factors!I$2,$C$3,shape_factors!I$3)</f>
        <v>-9.5581810479709981E-4</v>
      </c>
      <c r="J111" s="5">
        <f>EnergyLJ($A111,$C$2,$C$4,shape_factors!J$2,$C$3,shape_factors!J$3)</f>
        <v>-4.6415587893883059E-5</v>
      </c>
      <c r="K111" s="5">
        <f>EnergyLJ($A111,$C$2,$C$4,shape_factors!K$2,$C$3,shape_factors!K$3)</f>
        <v>-7.1611808239235619E-5</v>
      </c>
      <c r="L111" s="5">
        <f>EnergyLJ($A111,$C$2,$C$4,shape_factors!L$2,$C$3,shape_factors!L$3)</f>
        <v>-1.3833538345125554E-4</v>
      </c>
      <c r="M111" s="5">
        <f>EnergyLJ($A111,$C$2,$C$4,shape_factors!M$2,$C$3,shape_factors!M$3)</f>
        <v>-5.1409715312789648E-5</v>
      </c>
      <c r="N111" s="5">
        <f>EnergyLJ($A111,$C$2,$C$4,shape_factors!N$2,$C$3,shape_factors!N$3)</f>
        <v>-1.5983394287650041E-5</v>
      </c>
      <c r="O111" s="5">
        <f>EnergyLJ($A111,$C$2,$C$4,shape_factors!O$2,$C$3,shape_factors!O$3)</f>
        <v>-1.1404778242698339E-5</v>
      </c>
      <c r="P111" s="5">
        <f>EnergyLJ($A111,$C$2,$C$4,shape_factors!P$2,$C$3,shape_factors!P$3)</f>
        <v>-1.7590155254727635E-5</v>
      </c>
      <c r="Q111" s="5">
        <f>EnergyLJ($A111,$C$2,$C$4,shape_factors!Q$2,$C$3,shape_factors!Q$3)</f>
        <v>-1.992029039277889E-5</v>
      </c>
      <c r="R111" s="5">
        <f>EnergyLJ($A111,$C$2,$C$4,shape_factors!R$2,$C$3,shape_factors!R$3)</f>
        <v>-1.9265101178972494E-4</v>
      </c>
      <c r="S111" s="5">
        <f>EnergyLJ($A111,$C$2,$C$4,shape_factors!S$2,$C$3,shape_factors!S$3)</f>
        <v>-3.1003560413412393E-5</v>
      </c>
      <c r="T111" s="5">
        <f>EnergyLJ($A111,$C$2,$C$4,shape_factors!T$2,$C$3,shape_factors!T$3)</f>
        <v>-9.0376313369840903E-6</v>
      </c>
      <c r="U111" s="5">
        <f>EnergyLJ($A111,$C$2,$C$4,shape_factors!U$2,$C$3,shape_factors!U$3)</f>
        <v>-1.871846094374476E-4</v>
      </c>
    </row>
    <row r="112" spans="1:21" x14ac:dyDescent="0.25">
      <c r="A112">
        <v>23</v>
      </c>
      <c r="B112" s="5">
        <f>EnergyLJ($A112,$C$2,$C$4,shape_factors!B$2,$C$3,shape_factors!B$3)</f>
        <v>-2.1336756418495165E-3</v>
      </c>
      <c r="C112" s="5">
        <f>EnergyLJ($A112,$C$2,$C$4,shape_factors!C$2,$C$3,shape_factors!C$3)</f>
        <v>-2.2651340935114968E-4</v>
      </c>
      <c r="D112" s="5">
        <f>EnergyLJ($A112,$C$2,$C$4,shape_factors!D$2,$C$3,shape_factors!D$3)</f>
        <v>-3.3978607494449509E-3</v>
      </c>
      <c r="E112" s="5">
        <f>EnergyLJ($A112,$C$2,$C$4,shape_factors!E$2,$C$3,shape_factors!E$3)</f>
        <v>-6.2388992128067184E-4</v>
      </c>
      <c r="F112" s="5">
        <f>EnergyLJ($A112,$C$2,$C$4,shape_factors!F$2,$C$3,shape_factors!F$3)</f>
        <v>-1.7359741423129624E-4</v>
      </c>
      <c r="G112" s="5">
        <f>EnergyLJ($A112,$C$2,$C$4,shape_factors!G$2,$C$3,shape_factors!G$3)</f>
        <v>-2.936236876938138E-4</v>
      </c>
      <c r="H112" s="5">
        <f>EnergyLJ($A112,$C$2,$C$4,shape_factors!H$2,$C$3,shape_factors!H$3)</f>
        <v>-2.6847902997597612E-2</v>
      </c>
      <c r="I112" s="5">
        <f>EnergyLJ($A112,$C$2,$C$4,shape_factors!I$2,$C$3,shape_factors!I$3)</f>
        <v>-9.0702973528000838E-4</v>
      </c>
      <c r="J112" s="5">
        <f>EnergyLJ($A112,$C$2,$C$4,shape_factors!J$2,$C$3,shape_factors!J$3)</f>
        <v>-4.404596462273518E-5</v>
      </c>
      <c r="K112" s="5">
        <f>EnergyLJ($A112,$C$2,$C$4,shape_factors!K$2,$C$3,shape_factors!K$3)</f>
        <v>-6.795587690409679E-5</v>
      </c>
      <c r="L112" s="5">
        <f>EnergyLJ($A112,$C$2,$C$4,shape_factors!L$2,$C$3,shape_factors!L$3)</f>
        <v>-1.3127316394717612E-4</v>
      </c>
      <c r="M112" s="5">
        <f>EnergyLJ($A112,$C$2,$C$4,shape_factors!M$2,$C$3,shape_factors!M$3)</f>
        <v>-4.8785132737401597E-5</v>
      </c>
      <c r="N112" s="5">
        <f>EnergyLJ($A112,$C$2,$C$4,shape_factors!N$2,$C$3,shape_factors!N$3)</f>
        <v>-1.5167400312382835E-5</v>
      </c>
      <c r="O112" s="5">
        <f>EnergyLJ($A112,$C$2,$C$4,shape_factors!O$2,$C$3,shape_factors!O$3)</f>
        <v>-1.082253405910313E-5</v>
      </c>
      <c r="P112" s="5">
        <f>EnergyLJ($A112,$C$2,$C$4,shape_factors!P$2,$C$3,shape_factors!P$3)</f>
        <v>-1.6692132212112961E-5</v>
      </c>
      <c r="Q112" s="5">
        <f>EnergyLJ($A112,$C$2,$C$4,shape_factors!Q$2,$C$3,shape_factors!Q$3)</f>
        <v>-1.8903308354770037E-5</v>
      </c>
      <c r="R112" s="5">
        <f>EnergyLJ($A112,$C$2,$C$4,shape_factors!R$2,$C$3,shape_factors!R$3)</f>
        <v>-1.828160022432896E-4</v>
      </c>
      <c r="S112" s="5">
        <f>EnergyLJ($A112,$C$2,$C$4,shape_factors!S$2,$C$3,shape_factors!S$3)</f>
        <v>-2.9420752249737842E-5</v>
      </c>
      <c r="T112" s="5">
        <f>EnergyLJ($A112,$C$2,$C$4,shape_factors!T$2,$C$3,shape_factors!T$3)</f>
        <v>-8.5762360767895636E-6</v>
      </c>
      <c r="U112" s="5">
        <f>EnergyLJ($A112,$C$2,$C$4,shape_factors!U$2,$C$3,shape_factors!U$3)</f>
        <v>-1.7762865487073301E-4</v>
      </c>
    </row>
    <row r="113" spans="1:21" x14ac:dyDescent="0.25">
      <c r="A113">
        <v>23.2</v>
      </c>
      <c r="B113" s="5">
        <f>EnergyLJ($A113,$C$2,$C$4,shape_factors!B$2,$C$3,shape_factors!B$3)</f>
        <v>-2.0257078969499872E-3</v>
      </c>
      <c r="C113" s="5">
        <f>EnergyLJ($A113,$C$2,$C$4,shape_factors!C$2,$C$3,shape_factors!C$3)</f>
        <v>-2.1504730871653674E-4</v>
      </c>
      <c r="D113" s="5">
        <f>EnergyLJ($A113,$C$2,$C$4,shape_factors!D$2,$C$3,shape_factors!D$3)</f>
        <v>-3.2259640624525449E-3</v>
      </c>
      <c r="E113" s="5">
        <f>EnergyLJ($A113,$C$2,$C$4,shape_factors!E$2,$C$3,shape_factors!E$3)</f>
        <v>-5.9231100076549844E-4</v>
      </c>
      <c r="F113" s="5">
        <f>EnergyLJ($A113,$C$2,$C$4,shape_factors!F$2,$C$3,shape_factors!F$3)</f>
        <v>-1.6480983175760561E-4</v>
      </c>
      <c r="G113" s="5">
        <f>EnergyLJ($A113,$C$2,$C$4,shape_factors!G$2,$C$3,shape_factors!G$3)</f>
        <v>-2.7876065512295113E-4</v>
      </c>
      <c r="H113" s="5">
        <f>EnergyLJ($A113,$C$2,$C$4,shape_factors!H$2,$C$3,shape_factors!H$3)</f>
        <v>-2.5495752705868867E-2</v>
      </c>
      <c r="I113" s="5">
        <f>EnergyLJ($A113,$C$2,$C$4,shape_factors!I$2,$C$3,shape_factors!I$3)</f>
        <v>-8.6112181119856628E-4</v>
      </c>
      <c r="J113" s="5">
        <f>EnergyLJ($A113,$C$2,$C$4,shape_factors!J$2,$C$3,shape_factors!J$3)</f>
        <v>-4.1816282832107772E-5</v>
      </c>
      <c r="K113" s="5">
        <f>EnergyLJ($A113,$C$2,$C$4,shape_factors!K$2,$C$3,shape_factors!K$3)</f>
        <v>-6.4515850101787414E-5</v>
      </c>
      <c r="L113" s="5">
        <f>EnergyLJ($A113,$C$2,$C$4,shape_factors!L$2,$C$3,shape_factors!L$3)</f>
        <v>-1.2462800187361151E-4</v>
      </c>
      <c r="M113" s="5">
        <f>EnergyLJ($A113,$C$2,$C$4,shape_factors!M$2,$C$3,shape_factors!M$3)</f>
        <v>-4.6315548385228855E-5</v>
      </c>
      <c r="N113" s="5">
        <f>EnergyLJ($A113,$C$2,$C$4,shape_factors!N$2,$C$3,shape_factors!N$3)</f>
        <v>-1.4399596484053447E-5</v>
      </c>
      <c r="O113" s="5">
        <f>EnergyLJ($A113,$C$2,$C$4,shape_factors!O$2,$C$3,shape_factors!O$3)</f>
        <v>-1.0274675512970071E-5</v>
      </c>
      <c r="P113" s="5">
        <f>EnergyLJ($A113,$C$2,$C$4,shape_factors!P$2,$C$3,shape_factors!P$3)</f>
        <v>-1.5847143679441716E-5</v>
      </c>
      <c r="Q113" s="5">
        <f>EnergyLJ($A113,$C$2,$C$4,shape_factors!Q$2,$C$3,shape_factors!Q$3)</f>
        <v>-1.7946386139369849E-5</v>
      </c>
      <c r="R113" s="5">
        <f>EnergyLJ($A113,$C$2,$C$4,shape_factors!R$2,$C$3,shape_factors!R$3)</f>
        <v>-1.7356178659637438E-4</v>
      </c>
      <c r="S113" s="5">
        <f>EnergyLJ($A113,$C$2,$C$4,shape_factors!S$2,$C$3,shape_factors!S$3)</f>
        <v>-2.7931419529999747E-5</v>
      </c>
      <c r="T113" s="5">
        <f>EnergyLJ($A113,$C$2,$C$4,shape_factors!T$2,$C$3,shape_factors!T$3)</f>
        <v>-8.1420894905282565E-6</v>
      </c>
      <c r="U113" s="5">
        <f>EnergyLJ($A113,$C$2,$C$4,shape_factors!U$2,$C$3,shape_factors!U$3)</f>
        <v>-1.6863701593549158E-4</v>
      </c>
    </row>
    <row r="114" spans="1:21" x14ac:dyDescent="0.25">
      <c r="A114">
        <v>23.4</v>
      </c>
      <c r="B114" s="5">
        <f>EnergyLJ($A114,$C$2,$C$4,shape_factors!B$2,$C$3,shape_factors!B$3)</f>
        <v>-1.9240588676367196E-3</v>
      </c>
      <c r="C114" s="5">
        <f>EnergyLJ($A114,$C$2,$C$4,shape_factors!C$2,$C$3,shape_factors!C$3)</f>
        <v>-2.042526533554295E-4</v>
      </c>
      <c r="D114" s="5">
        <f>EnergyLJ($A114,$C$2,$C$4,shape_factors!D$2,$C$3,shape_factors!D$3)</f>
        <v>-3.0641234728335034E-3</v>
      </c>
      <c r="E114" s="5">
        <f>EnergyLJ($A114,$C$2,$C$4,shape_factors!E$2,$C$3,shape_factors!E$3)</f>
        <v>-5.6258108496876178E-4</v>
      </c>
      <c r="F114" s="5">
        <f>EnergyLJ($A114,$C$2,$C$4,shape_factors!F$2,$C$3,shape_factors!F$3)</f>
        <v>-1.5653685131026895E-4</v>
      </c>
      <c r="G114" s="5">
        <f>EnergyLJ($A114,$C$2,$C$4,shape_factors!G$2,$C$3,shape_factors!G$3)</f>
        <v>-2.6476797100478738E-4</v>
      </c>
      <c r="H114" s="5">
        <f>EnergyLJ($A114,$C$2,$C$4,shape_factors!H$2,$C$3,shape_factors!H$3)</f>
        <v>-2.4222111733911731E-2</v>
      </c>
      <c r="I114" s="5">
        <f>EnergyLJ($A114,$C$2,$C$4,shape_factors!I$2,$C$3,shape_factors!I$3)</f>
        <v>-8.1790164289327779E-4</v>
      </c>
      <c r="J114" s="5">
        <f>EnergyLJ($A114,$C$2,$C$4,shape_factors!J$2,$C$3,shape_factors!J$3)</f>
        <v>-3.9717176814303378E-5</v>
      </c>
      <c r="K114" s="5">
        <f>EnergyLJ($A114,$C$2,$C$4,shape_factors!K$2,$C$3,shape_factors!K$3)</f>
        <v>-6.1277278409885223E-5</v>
      </c>
      <c r="L114" s="5">
        <f>EnergyLJ($A114,$C$2,$C$4,shape_factors!L$2,$C$3,shape_factors!L$3)</f>
        <v>-1.1837198656013641E-4</v>
      </c>
      <c r="M114" s="5">
        <f>EnergyLJ($A114,$C$2,$C$4,shape_factors!M$2,$C$3,shape_factors!M$3)</f>
        <v>-4.3990588888316912E-5</v>
      </c>
      <c r="N114" s="5">
        <f>EnergyLJ($A114,$C$2,$C$4,shape_factors!N$2,$C$3,shape_factors!N$3)</f>
        <v>-1.3676757585836608E-5</v>
      </c>
      <c r="O114" s="5">
        <f>EnergyLJ($A114,$C$2,$C$4,shape_factors!O$2,$C$3,shape_factors!O$3)</f>
        <v>-9.7589012752007997E-6</v>
      </c>
      <c r="P114" s="5">
        <f>EnergyLJ($A114,$C$2,$C$4,shape_factors!P$2,$C$3,shape_factors!P$3)</f>
        <v>-1.5051640224540509E-5</v>
      </c>
      <c r="Q114" s="5">
        <f>EnergyLJ($A114,$C$2,$C$4,shape_factors!Q$2,$C$3,shape_factors!Q$3)</f>
        <v>-1.7045504137054941E-5</v>
      </c>
      <c r="R114" s="5">
        <f>EnergyLJ($A114,$C$2,$C$4,shape_factors!R$2,$C$3,shape_factors!R$3)</f>
        <v>-1.6484949751152528E-4</v>
      </c>
      <c r="S114" s="5">
        <f>EnergyLJ($A114,$C$2,$C$4,shape_factors!S$2,$C$3,shape_factors!S$3)</f>
        <v>-2.6529306279563316E-5</v>
      </c>
      <c r="T114" s="5">
        <f>EnergyLJ($A114,$C$2,$C$4,shape_factors!T$2,$C$3,shape_factors!T$3)</f>
        <v>-7.7333679028463818E-6</v>
      </c>
      <c r="U114" s="5">
        <f>EnergyLJ($A114,$C$2,$C$4,shape_factors!U$2,$C$3,shape_factors!U$3)</f>
        <v>-1.6017192793521523E-4</v>
      </c>
    </row>
    <row r="115" spans="1:21" x14ac:dyDescent="0.25">
      <c r="A115">
        <v>23.6</v>
      </c>
      <c r="B115" s="5">
        <f>EnergyLJ($A115,$C$2,$C$4,shape_factors!B$2,$C$3,shape_factors!B$3)</f>
        <v>-1.8283096095917284E-3</v>
      </c>
      <c r="C115" s="5">
        <f>EnergyLJ($A115,$C$2,$C$4,shape_factors!C$2,$C$3,shape_factors!C$3)</f>
        <v>-1.9408488288730056E-4</v>
      </c>
      <c r="D115" s="5">
        <f>EnergyLJ($A115,$C$2,$C$4,shape_factors!D$2,$C$3,shape_factors!D$3)</f>
        <v>-2.9116726593013979E-3</v>
      </c>
      <c r="E115" s="5">
        <f>EnergyLJ($A115,$C$2,$C$4,shape_factors!E$2,$C$3,shape_factors!E$3)</f>
        <v>-5.3457748906517112E-4</v>
      </c>
      <c r="F115" s="5">
        <f>EnergyLJ($A115,$C$2,$C$4,shape_factors!F$2,$C$3,shape_factors!F$3)</f>
        <v>-1.4874432049674706E-4</v>
      </c>
      <c r="G115" s="5">
        <f>EnergyLJ($A115,$C$2,$C$4,shape_factors!G$2,$C$3,shape_factors!G$3)</f>
        <v>-2.5158787669284354E-4</v>
      </c>
      <c r="H115" s="5">
        <f>EnergyLJ($A115,$C$2,$C$4,shape_factors!H$2,$C$3,shape_factors!H$3)</f>
        <v>-2.3021840144201392E-2</v>
      </c>
      <c r="I115" s="5">
        <f>EnergyLJ($A115,$C$2,$C$4,shape_factors!I$2,$C$3,shape_factors!I$3)</f>
        <v>-7.7719091789763993E-4</v>
      </c>
      <c r="J115" s="5">
        <f>EnergyLJ($A115,$C$2,$C$4,shape_factors!J$2,$C$3,shape_factors!J$3)</f>
        <v>-3.7739980142360333E-5</v>
      </c>
      <c r="K115" s="5">
        <f>EnergyLJ($A115,$C$2,$C$4,shape_factors!K$2,$C$3,shape_factors!K$3)</f>
        <v>-5.8226791236637646E-5</v>
      </c>
      <c r="L115" s="5">
        <f>EnergyLJ($A115,$C$2,$C$4,shape_factors!L$2,$C$3,shape_factors!L$3)</f>
        <v>-1.1247929111424274E-4</v>
      </c>
      <c r="M115" s="5">
        <f>EnergyLJ($A115,$C$2,$C$4,shape_factors!M$2,$C$3,shape_factors!M$3)</f>
        <v>-4.1800655392455347E-5</v>
      </c>
      <c r="N115" s="5">
        <f>EnergyLJ($A115,$C$2,$C$4,shape_factors!N$2,$C$3,shape_factors!N$3)</f>
        <v>-1.2995899213806147E-5</v>
      </c>
      <c r="O115" s="5">
        <f>EnergyLJ($A115,$C$2,$C$4,shape_factors!O$2,$C$3,shape_factors!O$3)</f>
        <v>-9.2730818475088619E-6</v>
      </c>
      <c r="P115" s="5">
        <f>EnergyLJ($A115,$C$2,$C$4,shape_factors!P$2,$C$3,shape_factors!P$3)</f>
        <v>-1.4302337435565754E-5</v>
      </c>
      <c r="Q115" s="5">
        <f>EnergyLJ($A115,$C$2,$C$4,shape_factors!Q$2,$C$3,shape_factors!Q$3)</f>
        <v>-1.6196942864163483E-5</v>
      </c>
      <c r="R115" s="5">
        <f>EnergyLJ($A115,$C$2,$C$4,shape_factors!R$2,$C$3,shape_factors!R$3)</f>
        <v>-1.5664316932342208E-4</v>
      </c>
      <c r="S115" s="5">
        <f>EnergyLJ($A115,$C$2,$C$4,shape_factors!S$2,$C$3,shape_factors!S$3)</f>
        <v>-2.5208623624947357E-5</v>
      </c>
      <c r="T115" s="5">
        <f>EnergyLJ($A115,$C$2,$C$4,shape_factors!T$2,$C$3,shape_factors!T$3)</f>
        <v>-7.3483838049951561E-6</v>
      </c>
      <c r="U115" s="5">
        <f>EnergyLJ($A115,$C$2,$C$4,shape_factors!U$2,$C$3,shape_factors!U$3)</f>
        <v>-1.5219844553849803E-4</v>
      </c>
    </row>
    <row r="116" spans="1:21" x14ac:dyDescent="0.25">
      <c r="A116">
        <v>23.8</v>
      </c>
      <c r="B116" s="5">
        <f>EnergyLJ($A116,$C$2,$C$4,shape_factors!B$2,$C$3,shape_factors!B$3)</f>
        <v>-1.7380721527072117E-3</v>
      </c>
      <c r="C116" s="5">
        <f>EnergyLJ($A116,$C$2,$C$4,shape_factors!C$2,$C$3,shape_factors!C$3)</f>
        <v>-1.8450273617458341E-4</v>
      </c>
      <c r="D116" s="5">
        <f>EnergyLJ($A116,$C$2,$C$4,shape_factors!D$2,$C$3,shape_factors!D$3)</f>
        <v>-2.7679945173673319E-3</v>
      </c>
      <c r="E116" s="5">
        <f>EnergyLJ($A116,$C$2,$C$4,shape_factors!E$2,$C$3,shape_factors!E$3)</f>
        <v>-5.0818660909220667E-4</v>
      </c>
      <c r="F116" s="5">
        <f>EnergyLJ($A116,$C$2,$C$4,shape_factors!F$2,$C$3,shape_factors!F$3)</f>
        <v>-1.4140061566186095E-4</v>
      </c>
      <c r="G116" s="5">
        <f>EnergyLJ($A116,$C$2,$C$4,shape_factors!G$2,$C$3,shape_factors!G$3)</f>
        <v>-2.3916688976632561E-4</v>
      </c>
      <c r="H116" s="5">
        <f>EnergyLJ($A116,$C$2,$C$4,shape_factors!H$2,$C$3,shape_factors!H$3)</f>
        <v>-2.1890170691216192E-2</v>
      </c>
      <c r="I116" s="5">
        <f>EnergyLJ($A116,$C$2,$C$4,shape_factors!I$2,$C$3,shape_factors!I$3)</f>
        <v>-7.3882451924489059E-4</v>
      </c>
      <c r="J116" s="5">
        <f>EnergyLJ($A116,$C$2,$C$4,shape_factors!J$2,$C$3,shape_factors!J$3)</f>
        <v>-3.5876668137619768E-5</v>
      </c>
      <c r="K116" s="5">
        <f>EnergyLJ($A116,$C$2,$C$4,shape_factors!K$2,$C$3,shape_factors!K$3)</f>
        <v>-5.535200806397277E-5</v>
      </c>
      <c r="L116" s="5">
        <f>EnergyLJ($A116,$C$2,$C$4,shape_factors!L$2,$C$3,shape_factors!L$3)</f>
        <v>-1.0692600099830143E-4</v>
      </c>
      <c r="M116" s="5">
        <f>EnergyLJ($A116,$C$2,$C$4,shape_factors!M$2,$C$3,shape_factors!M$3)</f>
        <v>-3.9736859835390937E-5</v>
      </c>
      <c r="N116" s="5">
        <f>EnergyLJ($A116,$C$2,$C$4,shape_factors!N$2,$C$3,shape_factors!N$3)</f>
        <v>-1.2354257963704445E-5</v>
      </c>
      <c r="O116" s="5">
        <f>EnergyLJ($A116,$C$2,$C$4,shape_factors!O$2,$C$3,shape_factors!O$3)</f>
        <v>-8.8152454247200919E-6</v>
      </c>
      <c r="P116" s="5">
        <f>EnergyLJ($A116,$C$2,$C$4,shape_factors!P$2,$C$3,shape_factors!P$3)</f>
        <v>-1.3596194116109802E-5</v>
      </c>
      <c r="Q116" s="5">
        <f>EnergyLJ($A116,$C$2,$C$4,shape_factors!Q$2,$C$3,shape_factors!Q$3)</f>
        <v>-1.5397258269710365E-5</v>
      </c>
      <c r="R116" s="5">
        <f>EnergyLJ($A116,$C$2,$C$4,shape_factors!R$2,$C$3,shape_factors!R$3)</f>
        <v>-1.4890949934546905E-4</v>
      </c>
      <c r="S116" s="5">
        <f>EnergyLJ($A116,$C$2,$C$4,shape_factors!S$2,$C$3,shape_factors!S$3)</f>
        <v>-2.3964011363027123E-5</v>
      </c>
      <c r="T116" s="5">
        <f>EnergyLJ($A116,$C$2,$C$4,shape_factors!T$2,$C$3,shape_factors!T$3)</f>
        <v>-6.9855746514412916E-6</v>
      </c>
      <c r="U116" s="5">
        <f>EnergyLJ($A116,$C$2,$C$4,shape_factors!U$2,$C$3,shape_factors!U$3)</f>
        <v>-1.4468421085487703E-4</v>
      </c>
    </row>
    <row r="117" spans="1:21" x14ac:dyDescent="0.25">
      <c r="A117">
        <v>24</v>
      </c>
      <c r="B117" s="5">
        <f>EnergyLJ($A117,$C$2,$C$4,shape_factors!B$2,$C$3,shape_factors!B$3)</f>
        <v>-1.6529869792823071E-3</v>
      </c>
      <c r="C117" s="5">
        <f>EnergyLJ($A117,$C$2,$C$4,shape_factors!C$2,$C$3,shape_factors!C$3)</f>
        <v>-1.7546798214889328E-4</v>
      </c>
      <c r="D117" s="5">
        <f>EnergyLJ($A117,$C$2,$C$4,shape_factors!D$2,$C$3,shape_factors!D$3)</f>
        <v>-2.6325171578881201E-3</v>
      </c>
      <c r="E117" s="5">
        <f>EnergyLJ($A117,$C$2,$C$4,shape_factors!E$2,$C$3,shape_factors!E$3)</f>
        <v>-4.8330318139523833E-4</v>
      </c>
      <c r="F117" s="5">
        <f>EnergyLJ($A117,$C$2,$C$4,shape_factors!F$2,$C$3,shape_factors!F$3)</f>
        <v>-1.3447643556499048E-4</v>
      </c>
      <c r="G117" s="5">
        <f>EnergyLJ($A117,$C$2,$C$4,shape_factors!G$2,$C$3,shape_factors!G$3)</f>
        <v>-2.274554551732416E-4</v>
      </c>
      <c r="H117" s="5">
        <f>EnergyLJ($A117,$C$2,$C$4,shape_factors!H$2,$C$3,shape_factors!H$3)</f>
        <v>-2.082267935051502E-2</v>
      </c>
      <c r="I117" s="5">
        <f>EnergyLJ($A117,$C$2,$C$4,shape_factors!I$2,$C$3,shape_factors!I$3)</f>
        <v>-7.0264944969274914E-4</v>
      </c>
      <c r="J117" s="5">
        <f>EnergyLJ($A117,$C$2,$C$4,shape_factors!J$2,$C$3,shape_factors!J$3)</f>
        <v>-3.4119805501299636E-5</v>
      </c>
      <c r="K117" s="5">
        <f>EnergyLJ($A117,$C$2,$C$4,shape_factors!K$2,$C$3,shape_factors!K$3)</f>
        <v>-5.2641457656868633E-5</v>
      </c>
      <c r="L117" s="5">
        <f>EnergyLJ($A117,$C$2,$C$4,shape_factors!L$2,$C$3,shape_factors!L$3)</f>
        <v>-1.0168995799097258E-4</v>
      </c>
      <c r="M117" s="5">
        <f>EnergyLJ($A117,$C$2,$C$4,shape_factors!M$2,$C$3,shape_factors!M$3)</f>
        <v>-3.7790966944548881E-5</v>
      </c>
      <c r="N117" s="5">
        <f>EnergyLJ($A117,$C$2,$C$4,shape_factors!N$2,$C$3,shape_factors!N$3)</f>
        <v>-1.1749273396194774E-5</v>
      </c>
      <c r="O117" s="5">
        <f>EnergyLJ($A117,$C$2,$C$4,shape_factors!O$2,$C$3,shape_factors!O$3)</f>
        <v>-8.3835650261155434E-6</v>
      </c>
      <c r="P117" s="5">
        <f>EnergyLJ($A117,$C$2,$C$4,shape_factors!P$2,$C$3,shape_factors!P$3)</f>
        <v>-1.2930392437561475E-5</v>
      </c>
      <c r="Q117" s="5">
        <f>EnergyLJ($A117,$C$2,$C$4,shape_factors!Q$2,$C$3,shape_factors!Q$3)</f>
        <v>-1.4643259258708103E-5</v>
      </c>
      <c r="R117" s="5">
        <f>EnergyLJ($A117,$C$2,$C$4,shape_factors!R$2,$C$3,shape_factors!R$3)</f>
        <v>-1.416176305962581E-4</v>
      </c>
      <c r="S117" s="5">
        <f>EnergyLJ($A117,$C$2,$C$4,shape_factors!S$2,$C$3,shape_factors!S$3)</f>
        <v>-2.279050297979741E-5</v>
      </c>
      <c r="T117" s="5">
        <f>EnergyLJ($A117,$C$2,$C$4,shape_factors!T$2,$C$3,shape_factors!T$3)</f>
        <v>-6.6434926621311714E-6</v>
      </c>
      <c r="U117" s="5">
        <f>EnergyLJ($A117,$C$2,$C$4,shape_factors!U$2,$C$3,shape_factors!U$3)</f>
        <v>-1.3759924232326022E-4</v>
      </c>
    </row>
    <row r="118" spans="1:21" x14ac:dyDescent="0.25">
      <c r="A118">
        <v>24.2</v>
      </c>
      <c r="B118" s="5">
        <f>EnergyLJ($A118,$C$2,$C$4,shape_factors!B$2,$C$3,shape_factors!B$3)</f>
        <v>-1.572720726014642E-3</v>
      </c>
      <c r="C118" s="5">
        <f>EnergyLJ($A118,$C$2,$C$4,shape_factors!C$2,$C$3,shape_factors!C$3)</f>
        <v>-1.6694517459565572E-4</v>
      </c>
      <c r="D118" s="5">
        <f>EnergyLJ($A118,$C$2,$C$4,shape_factors!D$2,$C$3,shape_factors!D$3)</f>
        <v>-2.5047102600135548E-3</v>
      </c>
      <c r="E118" s="5">
        <f>EnergyLJ($A118,$C$2,$C$4,shape_factors!E$2,$C$3,shape_factors!E$3)</f>
        <v>-4.598296079469509E-4</v>
      </c>
      <c r="F118" s="5">
        <f>EnergyLJ($A118,$C$2,$C$4,shape_factors!F$2,$C$3,shape_factors!F$3)</f>
        <v>-1.2794461342298898E-4</v>
      </c>
      <c r="G118" s="5">
        <f>EnergyLJ($A118,$C$2,$C$4,shape_factors!G$2,$C$3,shape_factors!G$3)</f>
        <v>-2.1640762742108614E-4</v>
      </c>
      <c r="H118" s="5">
        <f>EnergyLJ($A118,$C$2,$C$4,shape_factors!H$2,$C$3,shape_factors!H$3)</f>
        <v>-1.981525835316876E-2</v>
      </c>
      <c r="I118" s="5">
        <f>EnergyLJ($A118,$C$2,$C$4,shape_factors!I$2,$C$3,shape_factors!I$3)</f>
        <v>-6.6852385159926612E-4</v>
      </c>
      <c r="J118" s="5">
        <f>EnergyLJ($A118,$C$2,$C$4,shape_factors!J$2,$C$3,shape_factors!J$3)</f>
        <v>-3.2462498608546881E-5</v>
      </c>
      <c r="K118" s="5">
        <f>EnergyLJ($A118,$C$2,$C$4,shape_factors!K$2,$C$3,shape_factors!K$3)</f>
        <v>-5.008450446542829E-5</v>
      </c>
      <c r="L118" s="5">
        <f>EnergyLJ($A118,$C$2,$C$4,shape_factors!L$2,$C$3,shape_factors!L$3)</f>
        <v>-9.6750618039214567E-5</v>
      </c>
      <c r="M118" s="5">
        <f>EnergyLJ($A118,$C$2,$C$4,shape_factors!M$2,$C$3,shape_factors!M$3)</f>
        <v>-3.5955341398789247E-5</v>
      </c>
      <c r="N118" s="5">
        <f>EnergyLJ($A118,$C$2,$C$4,shape_factors!N$2,$C$3,shape_factors!N$3)</f>
        <v>-1.1178571607858891E-5</v>
      </c>
      <c r="O118" s="5">
        <f>EnergyLJ($A118,$C$2,$C$4,shape_factors!O$2,$C$3,shape_factors!O$3)</f>
        <v>-7.9763467725583506E-6</v>
      </c>
      <c r="P118" s="5">
        <f>EnergyLJ($A118,$C$2,$C$4,shape_factors!P$2,$C$3,shape_factors!P$3)</f>
        <v>-1.2302319858620776E-5</v>
      </c>
      <c r="Q118" s="5">
        <f>EnergyLJ($A118,$C$2,$C$4,shape_factors!Q$2,$C$3,shape_factors!Q$3)</f>
        <v>-1.3931987216714273E-5</v>
      </c>
      <c r="R118" s="5">
        <f>EnergyLJ($A118,$C$2,$C$4,shape_factors!R$2,$C$3,shape_factors!R$3)</f>
        <v>-1.34738953866247E-4</v>
      </c>
      <c r="S118" s="5">
        <f>EnergyLJ($A118,$C$2,$C$4,shape_factors!S$2,$C$3,shape_factors!S$3)</f>
        <v>-2.168349378366375E-5</v>
      </c>
      <c r="T118" s="5">
        <f>EnergyLJ($A118,$C$2,$C$4,shape_factors!T$2,$C$3,shape_factors!T$3)</f>
        <v>-6.3207955327318543E-6</v>
      </c>
      <c r="U118" s="5">
        <f>EnergyLJ($A118,$C$2,$C$4,shape_factors!U$2,$C$3,shape_factors!U$3)</f>
        <v>-1.3091574239222439E-4</v>
      </c>
    </row>
    <row r="119" spans="1:21" x14ac:dyDescent="0.25">
      <c r="A119">
        <v>24.4</v>
      </c>
      <c r="B119" s="5">
        <f>EnergyLJ($A119,$C$2,$C$4,shape_factors!B$2,$C$3,shape_factors!B$3)</f>
        <v>-1.4969640883224153E-3</v>
      </c>
      <c r="C119" s="5">
        <f>EnergyLJ($A119,$C$2,$C$4,shape_factors!C$2,$C$3,shape_factors!C$3)</f>
        <v>-1.5890142858985851E-4</v>
      </c>
      <c r="D119" s="5">
        <f>EnergyLJ($A119,$C$2,$C$4,shape_factors!D$2,$C$3,shape_factors!D$3)</f>
        <v>-2.3840817446361749E-3</v>
      </c>
      <c r="E119" s="5">
        <f>EnergyLJ($A119,$C$2,$C$4,shape_factors!E$2,$C$3,shape_factors!E$3)</f>
        <v>-4.3767534120248554E-4</v>
      </c>
      <c r="F119" s="5">
        <f>EnergyLJ($A119,$C$2,$C$4,shape_factors!F$2,$C$3,shape_factors!F$3)</f>
        <v>-1.2177994554992589E-4</v>
      </c>
      <c r="G119" s="5">
        <f>EnergyLJ($A119,$C$2,$C$4,shape_factors!G$2,$C$3,shape_factors!G$3)</f>
        <v>-2.0598078082551845E-4</v>
      </c>
      <c r="H119" s="5">
        <f>EnergyLJ($A119,$C$2,$C$4,shape_factors!H$2,$C$3,shape_factors!H$3)</f>
        <v>-1.8864091499897429E-2</v>
      </c>
      <c r="I119" s="5">
        <f>EnergyLJ($A119,$C$2,$C$4,shape_factors!I$2,$C$3,shape_factors!I$3)</f>
        <v>-6.363161132515589E-4</v>
      </c>
      <c r="J119" s="5">
        <f>EnergyLJ($A119,$C$2,$C$4,shape_factors!J$2,$C$3,shape_factors!J$3)</f>
        <v>-3.0898352015779144E-5</v>
      </c>
      <c r="K119" s="5">
        <f>EnergyLJ($A119,$C$2,$C$4,shape_factors!K$2,$C$3,shape_factors!K$3)</f>
        <v>-4.7671281526742238E-5</v>
      </c>
      <c r="L119" s="5">
        <f>EnergyLJ($A119,$C$2,$C$4,shape_factors!L$2,$C$3,shape_factors!L$3)</f>
        <v>-9.2088921662902834E-5</v>
      </c>
      <c r="M119" s="5">
        <f>EnergyLJ($A119,$C$2,$C$4,shape_factors!M$2,$C$3,shape_factors!M$3)</f>
        <v>-3.4222899656693962E-5</v>
      </c>
      <c r="N119" s="5">
        <f>EnergyLJ($A119,$C$2,$C$4,shape_factors!N$2,$C$3,shape_factors!N$3)</f>
        <v>-1.0639950253231091E-5</v>
      </c>
      <c r="O119" s="5">
        <f>EnergyLJ($A119,$C$2,$C$4,shape_factors!O$2,$C$3,shape_factors!O$3)</f>
        <v>-7.592019199010511E-6</v>
      </c>
      <c r="P119" s="5">
        <f>EnergyLJ($A119,$C$2,$C$4,shape_factors!P$2,$C$3,shape_factors!P$3)</f>
        <v>-1.1709552641708104E-5</v>
      </c>
      <c r="Q119" s="5">
        <f>EnergyLJ($A119,$C$2,$C$4,shape_factors!Q$2,$C$3,shape_factors!Q$3)</f>
        <v>-1.326069734279454E-5</v>
      </c>
      <c r="R119" s="5">
        <f>EnergyLJ($A119,$C$2,$C$4,shape_factors!R$2,$C$3,shape_factors!R$3)</f>
        <v>-1.282469272619423E-4</v>
      </c>
      <c r="S119" s="5">
        <f>EnergyLJ($A119,$C$2,$C$4,shape_factors!S$2,$C$3,shape_factors!S$3)</f>
        <v>-2.0638711853194739E-5</v>
      </c>
      <c r="T119" s="5">
        <f>EnergyLJ($A119,$C$2,$C$4,shape_factors!T$2,$C$3,shape_factors!T$3)</f>
        <v>-6.0162379653667048E-6</v>
      </c>
      <c r="U119" s="5">
        <f>EnergyLJ($A119,$C$2,$C$4,shape_factors!U$2,$C$3,shape_factors!U$3)</f>
        <v>-1.246079221822643E-4</v>
      </c>
    </row>
    <row r="120" spans="1:21" x14ac:dyDescent="0.25">
      <c r="A120">
        <v>24.6</v>
      </c>
      <c r="B120" s="5">
        <f>EnergyLJ($A120,$C$2,$C$4,shape_factors!B$2,$C$3,shape_factors!B$3)</f>
        <v>-1.425429907741637E-3</v>
      </c>
      <c r="C120" s="5">
        <f>EnergyLJ($A120,$C$2,$C$4,shape_factors!C$2,$C$3,shape_factors!C$3)</f>
        <v>-1.5130621651438859E-4</v>
      </c>
      <c r="D120" s="5">
        <f>EnergyLJ($A120,$C$2,$C$4,shape_factors!D$2,$C$3,shape_factors!D$3)</f>
        <v>-2.2701747379218805E-3</v>
      </c>
      <c r="E120" s="5">
        <f>EnergyLJ($A120,$C$2,$C$4,shape_factors!E$2,$C$3,shape_factors!E$3)</f>
        <v>-4.1675632280686631E-4</v>
      </c>
      <c r="F120" s="5">
        <f>EnergyLJ($A120,$C$2,$C$4,shape_factors!F$2,$C$3,shape_factors!F$3)</f>
        <v>-1.1595903500783656E-4</v>
      </c>
      <c r="G120" s="5">
        <f>EnergyLJ($A120,$C$2,$C$4,shape_factors!G$2,$C$3,shape_factors!G$3)</f>
        <v>-1.9613534513675341E-4</v>
      </c>
      <c r="H120" s="5">
        <f>EnergyLJ($A120,$C$2,$C$4,shape_factors!H$2,$C$3,shape_factors!H$3)</f>
        <v>-1.7965631550435589E-2</v>
      </c>
      <c r="I120" s="5">
        <f>EnergyLJ($A120,$C$2,$C$4,shape_factors!I$2,$C$3,shape_factors!I$3)</f>
        <v>-6.0590405339916757E-4</v>
      </c>
      <c r="J120" s="5">
        <f>EnergyLJ($A120,$C$2,$C$4,shape_factors!J$2,$C$3,shape_factors!J$3)</f>
        <v>-2.9421428778632369E-5</v>
      </c>
      <c r="K120" s="5">
        <f>EnergyLJ($A120,$C$2,$C$4,shape_factors!K$2,$C$3,shape_factors!K$3)</f>
        <v>-4.5392629245353362E-5</v>
      </c>
      <c r="L120" s="5">
        <f>EnergyLJ($A120,$C$2,$C$4,shape_factors!L$2,$C$3,shape_factors!L$3)</f>
        <v>-8.7687175712559387E-5</v>
      </c>
      <c r="M120" s="5">
        <f>EnergyLJ($A120,$C$2,$C$4,shape_factors!M$2,$C$3,shape_factors!M$3)</f>
        <v>-3.258706600538721E-5</v>
      </c>
      <c r="N120" s="5">
        <f>EnergyLJ($A120,$C$2,$C$4,shape_factors!N$2,$C$3,shape_factors!N$3)</f>
        <v>-1.0131364879178397E-5</v>
      </c>
      <c r="O120" s="5">
        <f>EnergyLJ($A120,$C$2,$C$4,shape_factors!O$2,$C$3,shape_factors!O$3)</f>
        <v>-7.2291235034761132E-6</v>
      </c>
      <c r="P120" s="5">
        <f>EnergyLJ($A120,$C$2,$C$4,shape_factors!P$2,$C$3,shape_factors!P$3)</f>
        <v>-1.1149840813637146E-5</v>
      </c>
      <c r="Q120" s="5">
        <f>EnergyLJ($A120,$C$2,$C$4,shape_factors!Q$2,$C$3,shape_factors!Q$3)</f>
        <v>-1.2626841618054091E-5</v>
      </c>
      <c r="R120" s="5">
        <f>EnergyLJ($A120,$C$2,$C$4,shape_factors!R$2,$C$3,shape_factors!R$3)</f>
        <v>-1.2211691155764981E-4</v>
      </c>
      <c r="S120" s="5">
        <f>EnergyLJ($A120,$C$2,$C$4,shape_factors!S$2,$C$3,shape_factors!S$3)</f>
        <v>-1.9652191530336788E-5</v>
      </c>
      <c r="T120" s="5">
        <f>EnergyLJ($A120,$C$2,$C$4,shape_factors!T$2,$C$3,shape_factors!T$3)</f>
        <v>-5.7286639414216634E-6</v>
      </c>
      <c r="U120" s="5">
        <f>EnergyLJ($A120,$C$2,$C$4,shape_factors!U$2,$C$3,shape_factors!U$3)</f>
        <v>-1.1865184150738758E-4</v>
      </c>
    </row>
    <row r="121" spans="1:21" x14ac:dyDescent="0.25">
      <c r="A121">
        <v>24.8</v>
      </c>
      <c r="B121" s="5">
        <f>EnergyLJ($A121,$C$2,$C$4,shape_factors!B$2,$C$3,shape_factors!B$3)</f>
        <v>-1.3578514251095515E-3</v>
      </c>
      <c r="C121" s="5">
        <f>EnergyLJ($A121,$C$2,$C$4,shape_factors!C$2,$C$3,shape_factors!C$3)</f>
        <v>-1.441311818047893E-4</v>
      </c>
      <c r="D121" s="5">
        <f>EnergyLJ($A121,$C$2,$C$4,shape_factors!D$2,$C$3,shape_factors!D$3)</f>
        <v>-2.162564797595583E-3</v>
      </c>
      <c r="E121" s="5">
        <f>EnergyLJ($A121,$C$2,$C$4,shape_factors!E$2,$C$3,shape_factors!E$3)</f>
        <v>-3.9699447105413994E-4</v>
      </c>
      <c r="F121" s="5">
        <f>EnergyLJ($A121,$C$2,$C$4,shape_factors!F$2,$C$3,shape_factors!F$3)</f>
        <v>-1.1046014884549203E-4</v>
      </c>
      <c r="G121" s="5">
        <f>EnergyLJ($A121,$C$2,$C$4,shape_factors!G$2,$C$3,shape_factors!G$3)</f>
        <v>-1.8683456413850689E-4</v>
      </c>
      <c r="H121" s="5">
        <f>EnergyLJ($A121,$C$2,$C$4,shape_factors!H$2,$C$3,shape_factors!H$3)</f>
        <v>-1.7116579502798275E-2</v>
      </c>
      <c r="I121" s="5">
        <f>EnergyLJ($A121,$C$2,$C$4,shape_factors!I$2,$C$3,shape_factors!I$3)</f>
        <v>-5.7717417658900401E-4</v>
      </c>
      <c r="J121" s="5">
        <f>EnergyLJ($A121,$C$2,$C$4,shape_factors!J$2,$C$3,shape_factors!J$3)</f>
        <v>-2.8026214219193923E-5</v>
      </c>
      <c r="K121" s="5">
        <f>EnergyLJ($A121,$C$2,$C$4,shape_factors!K$2,$C$3,shape_factors!K$3)</f>
        <v>-4.3240039494942513E-5</v>
      </c>
      <c r="L121" s="5">
        <f>EnergyLJ($A121,$C$2,$C$4,shape_factors!L$2,$C$3,shape_factors!L$3)</f>
        <v>-8.3528945403873382E-5</v>
      </c>
      <c r="M121" s="5">
        <f>EnergyLJ($A121,$C$2,$C$4,shape_factors!M$2,$C$3,shape_factors!M$3)</f>
        <v>-3.1041732429702456E-5</v>
      </c>
      <c r="N121" s="5">
        <f>EnergyLJ($A121,$C$2,$C$4,shape_factors!N$2,$C$3,shape_factors!N$3)</f>
        <v>-9.6509164471836768E-6</v>
      </c>
      <c r="O121" s="5">
        <f>EnergyLJ($A121,$C$2,$C$4,shape_factors!O$2,$C$3,shape_factors!O$3)</f>
        <v>-6.8863046435734435E-6</v>
      </c>
      <c r="P121" s="5">
        <f>EnergyLJ($A121,$C$2,$C$4,shape_factors!P$2,$C$3,shape_factors!P$3)</f>
        <v>-1.0621094433599329E-5</v>
      </c>
      <c r="Q121" s="5">
        <f>EnergyLJ($A121,$C$2,$C$4,shape_factors!Q$2,$C$3,shape_factors!Q$3)</f>
        <v>-1.2028053254645606E-5</v>
      </c>
      <c r="R121" s="5">
        <f>EnergyLJ($A121,$C$2,$C$4,shape_factors!R$2,$C$3,shape_factors!R$3)</f>
        <v>-1.1632601985632046E-4</v>
      </c>
      <c r="S121" s="5">
        <f>EnergyLJ($A121,$C$2,$C$4,shape_factors!S$2,$C$3,shape_factors!S$3)</f>
        <v>-1.8720249217724339E-5</v>
      </c>
      <c r="T121" s="5">
        <f>EnergyLJ($A121,$C$2,$C$4,shape_factors!T$2,$C$3,shape_factors!T$3)</f>
        <v>-5.4569996660543853E-6</v>
      </c>
      <c r="U121" s="5">
        <f>EnergyLJ($A121,$C$2,$C$4,shape_factors!U$2,$C$3,shape_factors!U$3)</f>
        <v>-1.1302526280005872E-4</v>
      </c>
    </row>
    <row r="122" spans="1:21" x14ac:dyDescent="0.25">
      <c r="A122">
        <v>25</v>
      </c>
      <c r="B122" s="5">
        <f>EnergyLJ($A122,$C$2,$C$4,shape_factors!B$2,$C$3,shape_factors!B$3)</f>
        <v>-1.2939806839975553E-3</v>
      </c>
      <c r="C122" s="5">
        <f>EnergyLJ($A122,$C$2,$C$4,shape_factors!C$2,$C$3,shape_factors!C$3)</f>
        <v>-1.3734996875333774E-4</v>
      </c>
      <c r="D122" s="5">
        <f>EnergyLJ($A122,$C$2,$C$4,shape_factors!D$2,$C$3,shape_factors!D$3)</f>
        <v>-2.0608573774160352E-3</v>
      </c>
      <c r="E122" s="5">
        <f>EnergyLJ($A122,$C$2,$C$4,shape_factors!E$2,$C$3,shape_factors!E$3)</f>
        <v>-3.7831721251666516E-4</v>
      </c>
      <c r="F122" s="5">
        <f>EnergyLJ($A122,$C$2,$C$4,shape_factors!F$2,$C$3,shape_factors!F$3)</f>
        <v>-1.0526308764716699E-4</v>
      </c>
      <c r="G122" s="5">
        <f>EnergyLJ($A122,$C$2,$C$4,shape_factors!G$2,$C$3,shape_factors!G$3)</f>
        <v>-1.7804427505928728E-4</v>
      </c>
      <c r="H122" s="5">
        <f>EnergyLJ($A122,$C$2,$C$4,shape_factors!H$2,$C$3,shape_factors!H$3)</f>
        <v>-1.6313865594434887E-2</v>
      </c>
      <c r="I122" s="5">
        <f>EnergyLJ($A122,$C$2,$C$4,shape_factors!I$2,$C$3,shape_factors!I$3)</f>
        <v>-5.5002099265159755E-4</v>
      </c>
      <c r="J122" s="5">
        <f>EnergyLJ($A122,$C$2,$C$4,shape_factors!J$2,$C$3,shape_factors!J$3)</f>
        <v>-2.6707582818020889E-5</v>
      </c>
      <c r="K122" s="5">
        <f>EnergyLJ($A122,$C$2,$C$4,shape_factors!K$2,$C$3,shape_factors!K$3)</f>
        <v>-4.1205604540649477E-5</v>
      </c>
      <c r="L122" s="5">
        <f>EnergyLJ($A122,$C$2,$C$4,shape_factors!L$2,$C$3,shape_factors!L$3)</f>
        <v>-7.9598955662352739E-5</v>
      </c>
      <c r="M122" s="5">
        <f>EnergyLJ($A122,$C$2,$C$4,shape_factors!M$2,$C$3,shape_factors!M$3)</f>
        <v>-2.9581221942291443E-5</v>
      </c>
      <c r="N122" s="5">
        <f>EnergyLJ($A122,$C$2,$C$4,shape_factors!N$2,$C$3,shape_factors!N$3)</f>
        <v>-9.1968399317708651E-6</v>
      </c>
      <c r="O122" s="5">
        <f>EnergyLJ($A122,$C$2,$C$4,shape_factors!O$2,$C$3,shape_factors!O$3)</f>
        <v>-6.5623032009885641E-6</v>
      </c>
      <c r="P122" s="5">
        <f>EnergyLJ($A122,$C$2,$C$4,shape_factors!P$2,$C$3,shape_factors!P$3)</f>
        <v>-1.0121371045465376E-5</v>
      </c>
      <c r="Q122" s="5">
        <f>EnergyLJ($A122,$C$2,$C$4,shape_factors!Q$2,$C$3,shape_factors!Q$3)</f>
        <v>-1.1462132485968093E-5</v>
      </c>
      <c r="R122" s="5">
        <f>EnergyLJ($A122,$C$2,$C$4,shape_factors!R$2,$C$3,shape_factors!R$3)</f>
        <v>-1.1085298021367146E-4</v>
      </c>
      <c r="S122" s="5">
        <f>EnergyLJ($A122,$C$2,$C$4,shape_factors!S$2,$C$3,shape_factors!S$3)</f>
        <v>-1.7839461263316317E-5</v>
      </c>
      <c r="T122" s="5">
        <f>EnergyLJ($A122,$C$2,$C$4,shape_factors!T$2,$C$3,shape_factors!T$3)</f>
        <v>-5.2002471212100505E-6</v>
      </c>
      <c r="U122" s="5">
        <f>EnergyLJ($A122,$C$2,$C$4,shape_factors!U$2,$C$3,shape_factors!U$3)</f>
        <v>-1.0770751763182093E-4</v>
      </c>
    </row>
    <row r="123" spans="1:21" x14ac:dyDescent="0.25">
      <c r="A123">
        <v>25.2</v>
      </c>
      <c r="B123" s="5">
        <f>EnergyLJ($A123,$C$2,$C$4,shape_factors!B$2,$C$3,shape_factors!B$3)</f>
        <v>-1.2335870704198368E-3</v>
      </c>
      <c r="C123" s="5">
        <f>EnergyLJ($A123,$C$2,$C$4,shape_factors!C$2,$C$3,shape_factors!C$3)</f>
        <v>-1.3093806687384989E-4</v>
      </c>
      <c r="D123" s="5">
        <f>EnergyLJ($A123,$C$2,$C$4,shape_factors!D$2,$C$3,shape_factors!D$3)</f>
        <v>-1.9646855077373308E-3</v>
      </c>
      <c r="E123" s="5">
        <f>EnergyLJ($A123,$C$2,$C$4,shape_factors!E$2,$C$3,shape_factors!E$3)</f>
        <v>-3.6065705372562146E-4</v>
      </c>
      <c r="F123" s="5">
        <f>EnergyLJ($A123,$C$2,$C$4,shape_factors!F$2,$C$3,shape_factors!F$3)</f>
        <v>-1.0034906624257815E-4</v>
      </c>
      <c r="G123" s="5">
        <f>EnergyLJ($A123,$C$2,$C$4,shape_factors!G$2,$C$3,shape_factors!G$3)</f>
        <v>-1.6973270685412977E-4</v>
      </c>
      <c r="H123" s="5">
        <f>EnergyLJ($A123,$C$2,$C$4,shape_factors!H$2,$C$3,shape_factors!H$3)</f>
        <v>-1.5554631872916103E-2</v>
      </c>
      <c r="I123" s="5">
        <f>EnergyLJ($A123,$C$2,$C$4,shape_factors!I$2,$C$3,shape_factors!I$3)</f>
        <v>-5.2434639435940556E-4</v>
      </c>
      <c r="J123" s="5">
        <f>EnergyLJ($A123,$C$2,$C$4,shape_factors!J$2,$C$3,shape_factors!J$3)</f>
        <v>-2.5460767939258557E-5</v>
      </c>
      <c r="K123" s="5">
        <f>EnergyLJ($A123,$C$2,$C$4,shape_factors!K$2,$C$3,shape_factors!K$3)</f>
        <v>-3.9281970332062935E-5</v>
      </c>
      <c r="L123" s="5">
        <f>EnergyLJ($A123,$C$2,$C$4,shape_factors!L$2,$C$3,shape_factors!L$3)</f>
        <v>-7.5883000909178648E-5</v>
      </c>
      <c r="M123" s="5">
        <f>EnergyLJ($A123,$C$2,$C$4,shape_factors!M$2,$C$3,shape_factors!M$3)</f>
        <v>-2.8200255051613026E-5</v>
      </c>
      <c r="N123" s="5">
        <f>EnergyLJ($A123,$C$2,$C$4,shape_factors!N$2,$C$3,shape_factors!N$3)</f>
        <v>-8.7674938946141129E-6</v>
      </c>
      <c r="O123" s="5">
        <f>EnergyLJ($A123,$C$2,$C$4,shape_factors!O$2,$C$3,shape_factors!O$3)</f>
        <v>-6.2559479421276641E-6</v>
      </c>
      <c r="P123" s="5">
        <f>EnergyLJ($A123,$C$2,$C$4,shape_factors!P$2,$C$3,shape_factors!P$3)</f>
        <v>-9.6488642038476605E-6</v>
      </c>
      <c r="Q123" s="5">
        <f>EnergyLJ($A123,$C$2,$C$4,shape_factors!Q$2,$C$3,shape_factors!Q$3)</f>
        <v>-1.0927033572856681E-5</v>
      </c>
      <c r="R123" s="5">
        <f>EnergyLJ($A123,$C$2,$C$4,shape_factors!R$2,$C$3,shape_factors!R$3)</f>
        <v>-1.0567801001580821E-4</v>
      </c>
      <c r="S123" s="5">
        <f>EnergyLJ($A123,$C$2,$C$4,shape_factors!S$2,$C$3,shape_factors!S$3)</f>
        <v>-1.7006643737511064E-5</v>
      </c>
      <c r="T123" s="5">
        <f>EnergyLJ($A123,$C$2,$C$4,shape_factors!T$2,$C$3,shape_factors!T$3)</f>
        <v>-4.9574781703389248E-6</v>
      </c>
      <c r="U123" s="5">
        <f>EnergyLJ($A123,$C$2,$C$4,shape_factors!U$2,$C$3,shape_factors!U$3)</f>
        <v>-1.0267938465411594E-4</v>
      </c>
    </row>
    <row r="124" spans="1:21" x14ac:dyDescent="0.25">
      <c r="A124">
        <v>25.4</v>
      </c>
      <c r="B124" s="5">
        <f>EnergyLJ($A124,$C$2,$C$4,shape_factors!B$2,$C$3,shape_factors!B$3)</f>
        <v>-1.1764559762391061E-3</v>
      </c>
      <c r="C124" s="5">
        <f>EnergyLJ($A124,$C$2,$C$4,shape_factors!C$2,$C$3,shape_factors!C$3)</f>
        <v>-1.2487266847891859E-4</v>
      </c>
      <c r="D124" s="5">
        <f>EnergyLJ($A124,$C$2,$C$4,shape_factors!D$2,$C$3,shape_factors!D$3)</f>
        <v>-1.8737076722544104E-3</v>
      </c>
      <c r="E124" s="5">
        <f>EnergyLJ($A124,$C$2,$C$4,shape_factors!E$2,$C$3,shape_factors!E$3)</f>
        <v>-3.4395118919652314E-4</v>
      </c>
      <c r="F124" s="5">
        <f>EnergyLJ($A124,$C$2,$C$4,shape_factors!F$2,$C$3,shape_factors!F$3)</f>
        <v>-9.5700604544400266E-5</v>
      </c>
      <c r="G124" s="5">
        <f>EnergyLJ($A124,$C$2,$C$4,shape_factors!G$2,$C$3,shape_factors!G$3)</f>
        <v>-1.6187029560960433E-4</v>
      </c>
      <c r="H124" s="5">
        <f>EnergyLJ($A124,$C$2,$C$4,shape_factors!H$2,$C$3,shape_factors!H$3)</f>
        <v>-1.4836216197952905E-2</v>
      </c>
      <c r="I124" s="5">
        <f>EnergyLJ($A124,$C$2,$C$4,shape_factors!I$2,$C$3,shape_factors!I$3)</f>
        <v>-5.000590878766676E-4</v>
      </c>
      <c r="J124" s="5">
        <f>EnergyLJ($A124,$C$2,$C$4,shape_factors!J$2,$C$3,shape_factors!J$3)</f>
        <v>-2.4281334126440274E-5</v>
      </c>
      <c r="K124" s="5">
        <f>EnergyLJ($A124,$C$2,$C$4,shape_factors!K$2,$C$3,shape_factors!K$3)</f>
        <v>-3.746229376205725E-5</v>
      </c>
      <c r="L124" s="5">
        <f>EnergyLJ($A124,$C$2,$C$4,shape_factors!L$2,$C$3,shape_factors!L$3)</f>
        <v>-7.2367862506499605E-5</v>
      </c>
      <c r="M124" s="5">
        <f>EnergyLJ($A124,$C$2,$C$4,shape_factors!M$2,$C$3,shape_factors!M$3)</f>
        <v>-2.6893919077155447E-5</v>
      </c>
      <c r="N124" s="5">
        <f>EnergyLJ($A124,$C$2,$C$4,shape_factors!N$2,$C$3,shape_factors!N$3)</f>
        <v>-8.361350943952706E-6</v>
      </c>
      <c r="O124" s="5">
        <f>EnergyLJ($A124,$C$2,$C$4,shape_factors!O$2,$C$3,shape_factors!O$3)</f>
        <v>-5.9661490104785618E-6</v>
      </c>
      <c r="P124" s="5">
        <f>EnergyLJ($A124,$C$2,$C$4,shape_factors!P$2,$C$3,shape_factors!P$3)</f>
        <v>-9.2018929744606996E-6</v>
      </c>
      <c r="Q124" s="5">
        <f>EnergyLJ($A124,$C$2,$C$4,shape_factors!Q$2,$C$3,shape_factors!Q$3)</f>
        <v>-1.0420852913126175E-5</v>
      </c>
      <c r="R124" s="5">
        <f>EnergyLJ($A124,$C$2,$C$4,shape_factors!R$2,$C$3,shape_factors!R$3)</f>
        <v>-1.0078270102191654E-4</v>
      </c>
      <c r="S124" s="5">
        <f>EnergyLJ($A124,$C$2,$C$4,shape_factors!S$2,$C$3,shape_factors!S$3)</f>
        <v>-1.6218833927442545E-5</v>
      </c>
      <c r="T124" s="5">
        <f>EnergyLJ($A124,$C$2,$C$4,shape_factors!T$2,$C$3,shape_factors!T$3)</f>
        <v>-4.7278291637106393E-6</v>
      </c>
      <c r="U124" s="5">
        <f>EnergyLJ($A124,$C$2,$C$4,shape_factors!U$2,$C$3,shape_factors!U$3)</f>
        <v>-9.7922977901728265E-5</v>
      </c>
    </row>
    <row r="125" spans="1:21" x14ac:dyDescent="0.25">
      <c r="A125">
        <v>25.6</v>
      </c>
      <c r="B125" s="5">
        <f>EnergyLJ($A125,$C$2,$C$4,shape_factors!B$2,$C$3,shape_factors!B$3)</f>
        <v>-1.1223875749373311E-3</v>
      </c>
      <c r="C125" s="5">
        <f>EnergyLJ($A125,$C$2,$C$4,shape_factors!C$2,$C$3,shape_factors!C$3)</f>
        <v>-1.1913253825548712E-4</v>
      </c>
      <c r="D125" s="5">
        <f>EnergyLJ($A125,$C$2,$C$4,shape_factors!D$2,$C$3,shape_factors!D$3)</f>
        <v>-1.7876058629965991E-3</v>
      </c>
      <c r="E125" s="5">
        <f>EnergyLJ($A125,$C$2,$C$4,shape_factors!E$2,$C$3,shape_factors!E$3)</f>
        <v>-3.2814114246207919E-4</v>
      </c>
      <c r="F125" s="5">
        <f>EnergyLJ($A125,$C$2,$C$4,shape_factors!F$2,$C$3,shape_factors!F$3)</f>
        <v>-9.1301427582653975E-5</v>
      </c>
      <c r="G125" s="5">
        <f>EnergyLJ($A125,$C$2,$C$4,shape_factors!G$2,$C$3,shape_factors!G$3)</f>
        <v>-1.5442951549879806E-4</v>
      </c>
      <c r="H125" s="5">
        <f>EnergyLJ($A125,$C$2,$C$4,shape_factors!H$2,$C$3,shape_factors!H$3)</f>
        <v>-1.4156137549344741E-2</v>
      </c>
      <c r="I125" s="5">
        <f>EnergyLJ($A125,$C$2,$C$4,shape_factors!I$2,$C$3,shape_factors!I$3)</f>
        <v>-4.7707407115499495E-4</v>
      </c>
      <c r="J125" s="5">
        <f>EnergyLJ($A125,$C$2,$C$4,shape_factors!J$2,$C$3,shape_factors!J$3)</f>
        <v>-2.3165151732678999E-5</v>
      </c>
      <c r="K125" s="5">
        <f>EnergyLJ($A125,$C$2,$C$4,shape_factors!K$2,$C$3,shape_factors!K$3)</f>
        <v>-3.5740203526961215E-5</v>
      </c>
      <c r="L125" s="5">
        <f>EnergyLJ($A125,$C$2,$C$4,shape_factors!L$2,$C$3,shape_factors!L$3)</f>
        <v>-6.9041233158230168E-5</v>
      </c>
      <c r="M125" s="5">
        <f>EnergyLJ($A125,$C$2,$C$4,shape_factors!M$2,$C$3,shape_factors!M$3)</f>
        <v>-2.565764005018416E-5</v>
      </c>
      <c r="N125" s="5">
        <f>EnergyLJ($A125,$C$2,$C$4,shape_factors!N$2,$C$3,shape_factors!N$3)</f>
        <v>-7.9769889979334411E-6</v>
      </c>
      <c r="O125" s="5">
        <f>EnergyLJ($A125,$C$2,$C$4,shape_factors!O$2,$C$3,shape_factors!O$3)</f>
        <v>-5.6918916926134598E-6</v>
      </c>
      <c r="P125" s="5">
        <f>EnergyLJ($A125,$C$2,$C$4,shape_factors!P$2,$C$3,shape_factors!P$3)</f>
        <v>-8.7788923192213218E-6</v>
      </c>
      <c r="Q125" s="5">
        <f>EnergyLJ($A125,$C$2,$C$4,shape_factors!Q$2,$C$3,shape_factors!Q$3)</f>
        <v>-9.9418181530474283E-6</v>
      </c>
      <c r="R125" s="5">
        <f>EnergyLJ($A125,$C$2,$C$4,shape_factors!R$2,$C$3,shape_factors!R$3)</f>
        <v>-9.6149914091939854E-5</v>
      </c>
      <c r="S125" s="5">
        <f>EnergyLJ($A125,$C$2,$C$4,shape_factors!S$2,$C$3,shape_factors!S$3)</f>
        <v>-1.5473273390616172E-5</v>
      </c>
      <c r="T125" s="5">
        <f>EnergyLJ($A125,$C$2,$C$4,shape_factors!T$2,$C$3,shape_factors!T$3)</f>
        <v>-4.5104959983093326E-6</v>
      </c>
      <c r="U125" s="5">
        <f>EnergyLJ($A125,$C$2,$C$4,shape_factors!U$2,$C$3,shape_factors!U$3)</f>
        <v>-9.3421644506553513E-5</v>
      </c>
    </row>
    <row r="126" spans="1:21" x14ac:dyDescent="0.25">
      <c r="A126">
        <v>25.8</v>
      </c>
      <c r="B126" s="5">
        <f>EnergyLJ($A126,$C$2,$C$4,shape_factors!B$2,$C$3,shape_factors!B$3)</f>
        <v>-1.0711956995341778E-3</v>
      </c>
      <c r="C126" s="5">
        <f>EnergyLJ($A126,$C$2,$C$4,shape_factors!C$2,$C$3,shape_factors!C$3)</f>
        <v>-1.1369789374458713E-4</v>
      </c>
      <c r="D126" s="5">
        <f>EnergyLJ($A126,$C$2,$C$4,shape_factors!D$2,$C$3,shape_factors!D$3)</f>
        <v>-1.7060837973926534E-3</v>
      </c>
      <c r="E126" s="5">
        <f>EnergyLJ($A126,$C$2,$C$4,shape_factors!E$2,$C$3,shape_factors!E$3)</f>
        <v>-3.1317243710414673E-4</v>
      </c>
      <c r="F126" s="5">
        <f>EnergyLJ($A126,$C$2,$C$4,shape_factors!F$2,$C$3,shape_factors!F$3)</f>
        <v>-8.7136373897202506E-5</v>
      </c>
      <c r="G126" s="5">
        <f>EnergyLJ($A126,$C$2,$C$4,shape_factors!G$2,$C$3,shape_factors!G$3)</f>
        <v>-1.4738472386835612E-4</v>
      </c>
      <c r="H126" s="5">
        <f>EnergyLJ($A126,$C$2,$C$4,shape_factors!H$2,$C$3,shape_factors!H$3)</f>
        <v>-1.3512082527025116E-2</v>
      </c>
      <c r="I126" s="5">
        <f>EnergyLJ($A126,$C$2,$C$4,shape_factors!I$2,$C$3,shape_factors!I$3)</f>
        <v>-4.5531215590684769E-4</v>
      </c>
      <c r="J126" s="5">
        <f>EnergyLJ($A126,$C$2,$C$4,shape_factors!J$2,$C$3,shape_factors!J$3)</f>
        <v>-2.2108373672310771E-5</v>
      </c>
      <c r="K126" s="5">
        <f>EnergyLJ($A126,$C$2,$C$4,shape_factors!K$2,$C$3,shape_factors!K$3)</f>
        <v>-3.4109764259561806E-5</v>
      </c>
      <c r="L126" s="5">
        <f>EnergyLJ($A126,$C$2,$C$4,shape_factors!L$2,$C$3,shape_factors!L$3)</f>
        <v>-6.5891647631965183E-5</v>
      </c>
      <c r="M126" s="5">
        <f>EnergyLJ($A126,$C$2,$C$4,shape_factors!M$2,$C$3,shape_factors!M$3)</f>
        <v>-2.4487156964169226E-5</v>
      </c>
      <c r="N126" s="5">
        <f>EnergyLJ($A126,$C$2,$C$4,shape_factors!N$2,$C$3,shape_factors!N$3)</f>
        <v>-7.6130832785440413E-6</v>
      </c>
      <c r="O126" s="5">
        <f>EnergyLJ($A126,$C$2,$C$4,shape_factors!O$2,$C$3,shape_factors!O$3)</f>
        <v>-5.432230705503568E-6</v>
      </c>
      <c r="P126" s="5">
        <f>EnergyLJ($A126,$C$2,$C$4,shape_factors!P$2,$C$3,shape_factors!P$3)</f>
        <v>-8.3784042853804333E-6</v>
      </c>
      <c r="Q126" s="5">
        <f>EnergyLJ($A126,$C$2,$C$4,shape_factors!Q$2,$C$3,shape_factors!Q$3)</f>
        <v>-9.4882782093581386E-6</v>
      </c>
      <c r="R126" s="5">
        <f>EnergyLJ($A126,$C$2,$C$4,shape_factors!R$2,$C$3,shape_factors!R$3)</f>
        <v>-9.176368271597358E-5</v>
      </c>
      <c r="S126" s="5">
        <f>EnergyLJ($A126,$C$2,$C$4,shape_factors!S$2,$C$3,shape_factors!S$3)</f>
        <v>-1.4767392425640055E-5</v>
      </c>
      <c r="T126" s="5">
        <f>EnergyLJ($A126,$C$2,$C$4,shape_factors!T$2,$C$3,shape_factors!T$3)</f>
        <v>-4.3047295908411109E-6</v>
      </c>
      <c r="U126" s="5">
        <f>EnergyLJ($A126,$C$2,$C$4,shape_factors!U$2,$C$3,shape_factors!U$3)</f>
        <v>-8.9159870963466839E-5</v>
      </c>
    </row>
    <row r="127" spans="1:21" x14ac:dyDescent="0.25">
      <c r="A127">
        <v>26</v>
      </c>
      <c r="B127" s="5">
        <f>EnergyLJ($A127,$C$2,$C$4,shape_factors!B$2,$C$3,shape_factors!B$3)</f>
        <v>-1.022706813433526E-3</v>
      </c>
      <c r="C127" s="5">
        <f>EnergyLJ($A127,$C$2,$C$4,shape_factors!C$2,$C$3,shape_factors!C$3)</f>
        <v>-1.0855029573833239E-4</v>
      </c>
      <c r="D127" s="5">
        <f>EnergyLJ($A127,$C$2,$C$4,shape_factors!D$2,$C$3,shape_factors!D$3)</f>
        <v>-1.6288652828062283E-3</v>
      </c>
      <c r="E127" s="5">
        <f>EnergyLJ($A127,$C$2,$C$4,shape_factors!E$2,$C$3,shape_factors!E$3)</f>
        <v>-2.9899429507118685E-4</v>
      </c>
      <c r="F127" s="5">
        <f>EnergyLJ($A127,$C$2,$C$4,shape_factors!F$2,$C$3,shape_factors!F$3)</f>
        <v>-8.3191311531828082E-5</v>
      </c>
      <c r="G127" s="5">
        <f>EnergyLJ($A127,$C$2,$C$4,shape_factors!G$2,$C$3,shape_factors!G$3)</f>
        <v>-1.4071201917864866E-4</v>
      </c>
      <c r="H127" s="5">
        <f>EnergyLJ($A127,$C$2,$C$4,shape_factors!H$2,$C$3,shape_factors!H$3)</f>
        <v>-1.2901892939836221E-2</v>
      </c>
      <c r="I127" s="5">
        <f>EnergyLJ($A127,$C$2,$C$4,shape_factors!I$2,$C$3,shape_factors!I$3)</f>
        <v>-4.3469952921664114E-4</v>
      </c>
      <c r="J127" s="5">
        <f>EnergyLJ($A127,$C$2,$C$4,shape_factors!J$2,$C$3,shape_factors!J$3)</f>
        <v>-2.1107414101932411E-5</v>
      </c>
      <c r="K127" s="5">
        <f>EnergyLJ($A127,$C$2,$C$4,shape_factors!K$2,$C$3,shape_factors!K$3)</f>
        <v>-3.2565443638659701E-5</v>
      </c>
      <c r="L127" s="5">
        <f>EnergyLJ($A127,$C$2,$C$4,shape_factors!L$2,$C$3,shape_factors!L$3)</f>
        <v>-6.2908419229823682E-5</v>
      </c>
      <c r="M127" s="5">
        <f>EnergyLJ($A127,$C$2,$C$4,shape_factors!M$2,$C$3,shape_factors!M$3)</f>
        <v>-2.3378498162174159E-5</v>
      </c>
      <c r="N127" s="5">
        <f>EnergyLJ($A127,$C$2,$C$4,shape_factors!N$2,$C$3,shape_factors!N$3)</f>
        <v>-7.2683989699936202E-6</v>
      </c>
      <c r="O127" s="5">
        <f>EnergyLJ($A127,$C$2,$C$4,shape_factors!O$2,$C$3,shape_factors!O$3)</f>
        <v>-5.1862849579483425E-6</v>
      </c>
      <c r="P127" s="5">
        <f>EnergyLJ($A127,$C$2,$C$4,shape_factors!P$2,$C$3,shape_factors!P$3)</f>
        <v>-7.9990699258935472E-6</v>
      </c>
      <c r="Q127" s="5">
        <f>EnergyLJ($A127,$C$2,$C$4,shape_factors!Q$2,$C$3,shape_factors!Q$3)</f>
        <v>-9.0586941193731753E-6</v>
      </c>
      <c r="R127" s="5">
        <f>EnergyLJ($A127,$C$2,$C$4,shape_factors!R$2,$C$3,shape_factors!R$3)</f>
        <v>-8.7609124548705748E-5</v>
      </c>
      <c r="S127" s="5">
        <f>EnergyLJ($A127,$C$2,$C$4,shape_factors!S$2,$C$3,shape_factors!S$3)</f>
        <v>-1.4098795831757863E-5</v>
      </c>
      <c r="T127" s="5">
        <f>EnergyLJ($A127,$C$2,$C$4,shape_factors!T$2,$C$3,shape_factors!T$3)</f>
        <v>-4.1098317264524326E-6</v>
      </c>
      <c r="U127" s="5">
        <f>EnergyLJ($A127,$C$2,$C$4,shape_factors!U$2,$C$3,shape_factors!U$3)</f>
        <v>-8.5123197174206803E-5</v>
      </c>
    </row>
    <row r="128" spans="1:21" x14ac:dyDescent="0.25">
      <c r="A128">
        <v>26.2</v>
      </c>
      <c r="B128" s="5">
        <f>EnergyLJ($A128,$C$2,$C$4,shape_factors!B$2,$C$3,shape_factors!B$3)</f>
        <v>-9.7675906587223107E-4</v>
      </c>
      <c r="C128" s="5">
        <f>EnergyLJ($A128,$C$2,$C$4,shape_factors!C$2,$C$3,shape_factors!C$3)</f>
        <v>-1.0367254770329298E-4</v>
      </c>
      <c r="D128" s="5">
        <f>EnergyLJ($A128,$C$2,$C$4,shape_factors!D$2,$C$3,shape_factors!D$3)</f>
        <v>-1.5556927153525847E-3</v>
      </c>
      <c r="E128" s="5">
        <f>EnergyLJ($A128,$C$2,$C$4,shape_factors!E$2,$C$3,shape_factors!E$3)</f>
        <v>-2.8555935983148455E-4</v>
      </c>
      <c r="F128" s="5">
        <f>EnergyLJ($A128,$C$2,$C$4,shape_factors!F$2,$C$3,shape_factors!F$3)</f>
        <v>-7.9453060946982636E-5</v>
      </c>
      <c r="G128" s="5">
        <f>EnergyLJ($A128,$C$2,$C$4,shape_factors!G$2,$C$3,shape_factors!G$3)</f>
        <v>-1.3438911064256291E-4</v>
      </c>
      <c r="H128" s="5">
        <f>EnergyLJ($A128,$C$2,$C$4,shape_factors!H$2,$C$3,shape_factors!H$3)</f>
        <v>-1.2323554389128619E-2</v>
      </c>
      <c r="I128" s="5">
        <f>EnergyLJ($A128,$C$2,$C$4,shape_factors!I$2,$C$3,shape_factors!I$3)</f>
        <v>-4.151673512321339E-4</v>
      </c>
      <c r="J128" s="5">
        <f>EnergyLJ($A128,$C$2,$C$4,shape_factors!J$2,$C$3,shape_factors!J$3)</f>
        <v>-2.015892885747084E-5</v>
      </c>
      <c r="K128" s="5">
        <f>EnergyLJ($A128,$C$2,$C$4,shape_factors!K$2,$C$3,shape_factors!K$3)</f>
        <v>-3.1102082207731699E-5</v>
      </c>
      <c r="L128" s="5">
        <f>EnergyLJ($A128,$C$2,$C$4,shape_factors!L$2,$C$3,shape_factors!L$3)</f>
        <v>-6.0081581491722798E-5</v>
      </c>
      <c r="M128" s="5">
        <f>EnergyLJ($A128,$C$2,$C$4,shape_factors!M$2,$C$3,shape_factors!M$3)</f>
        <v>-2.2327959669194221E-5</v>
      </c>
      <c r="N128" s="5">
        <f>EnergyLJ($A128,$C$2,$C$4,shape_factors!N$2,$C$3,shape_factors!N$3)</f>
        <v>-6.9417844818350103E-6</v>
      </c>
      <c r="O128" s="5">
        <f>EnergyLJ($A128,$C$2,$C$4,shape_factors!O$2,$C$3,shape_factors!O$3)</f>
        <v>-4.9532327435166191E-6</v>
      </c>
      <c r="P128" s="5">
        <f>EnergyLJ($A128,$C$2,$C$4,shape_factors!P$2,$C$3,shape_factors!P$3)</f>
        <v>-7.6396218853234016E-6</v>
      </c>
      <c r="Q128" s="5">
        <f>EnergyLJ($A128,$C$2,$C$4,shape_factors!Q$2,$C$3,shape_factors!Q$3)</f>
        <v>-8.6516306447845245E-6</v>
      </c>
      <c r="R128" s="5">
        <f>EnergyLJ($A128,$C$2,$C$4,shape_factors!R$2,$C$3,shape_factors!R$3)</f>
        <v>-8.367236022976119E-5</v>
      </c>
      <c r="S128" s="5">
        <f>EnergyLJ($A128,$C$2,$C$4,shape_factors!S$2,$C$3,shape_factors!S$3)</f>
        <v>-1.3465249841377588E-5</v>
      </c>
      <c r="T128" s="5">
        <f>EnergyLJ($A128,$C$2,$C$4,shape_factors!T$2,$C$3,shape_factors!T$3)</f>
        <v>-3.9251512493988405E-6</v>
      </c>
      <c r="U128" s="5">
        <f>EnergyLJ($A128,$C$2,$C$4,shape_factors!U$2,$C$3,shape_factors!U$3)</f>
        <v>-8.1298137570523258E-5</v>
      </c>
    </row>
    <row r="129" spans="1:21" x14ac:dyDescent="0.25">
      <c r="A129">
        <v>26.4</v>
      </c>
      <c r="B129" s="5">
        <f>EnergyLJ($A129,$C$2,$C$4,shape_factors!B$2,$C$3,shape_factors!B$3)</f>
        <v>-9.3320142444648906E-4</v>
      </c>
      <c r="C129" s="5">
        <f>EnergyLJ($A129,$C$2,$C$4,shape_factors!C$2,$C$3,shape_factors!C$3)</f>
        <v>-9.9048603425409715E-5</v>
      </c>
      <c r="D129" s="5">
        <f>EnergyLJ($A129,$C$2,$C$4,shape_factors!D$2,$C$3,shape_factors!D$3)</f>
        <v>-1.4863257010735078E-3</v>
      </c>
      <c r="E129" s="5">
        <f>EnergyLJ($A129,$C$2,$C$4,shape_factors!E$2,$C$3,shape_factors!E$3)</f>
        <v>-2.7282344214879381E-4</v>
      </c>
      <c r="F129" s="5">
        <f>EnergyLJ($A129,$C$2,$C$4,shape_factors!F$2,$C$3,shape_factors!F$3)</f>
        <v>-7.5909324234263903E-5</v>
      </c>
      <c r="G129" s="5">
        <f>EnergyLJ($A129,$C$2,$C$4,shape_factors!G$2,$C$3,shape_factors!G$3)</f>
        <v>-1.2839519851989988E-4</v>
      </c>
      <c r="H129" s="5">
        <f>EnergyLJ($A129,$C$2,$C$4,shape_factors!H$2,$C$3,shape_factors!H$3)</f>
        <v>-1.1775185761842822E-2</v>
      </c>
      <c r="I129" s="5">
        <f>EnergyLJ($A129,$C$2,$C$4,shape_factors!I$2,$C$3,shape_factors!I$3)</f>
        <v>-3.9665138572185672E-4</v>
      </c>
      <c r="J129" s="5">
        <f>EnergyLJ($A129,$C$2,$C$4,shape_factors!J$2,$C$3,shape_factors!J$3)</f>
        <v>-1.9259797490669649E-5</v>
      </c>
      <c r="K129" s="5">
        <f>EnergyLJ($A129,$C$2,$C$4,shape_factors!K$2,$C$3,shape_factors!K$3)</f>
        <v>-2.9714865661092149E-5</v>
      </c>
      <c r="L129" s="5">
        <f>EnergyLJ($A129,$C$2,$C$4,shape_factors!L$2,$C$3,shape_factors!L$3)</f>
        <v>-5.7401834664473288E-5</v>
      </c>
      <c r="M129" s="5">
        <f>EnergyLJ($A129,$C$2,$C$4,shape_factors!M$2,$C$3,shape_factors!M$3)</f>
        <v>-2.1332085295982241E-5</v>
      </c>
      <c r="N129" s="5">
        <f>EnergyLJ($A129,$C$2,$C$4,shape_factors!N$2,$C$3,shape_factors!N$3)</f>
        <v>-6.6321652628920801E-6</v>
      </c>
      <c r="O129" s="5">
        <f>EnergyLJ($A129,$C$2,$C$4,shape_factors!O$2,$C$3,shape_factors!O$3)</f>
        <v>-4.7323073265129107E-6</v>
      </c>
      <c r="P129" s="5">
        <f>EnergyLJ($A129,$C$2,$C$4,shape_factors!P$2,$C$3,shape_factors!P$3)</f>
        <v>-7.2988775919159918E-6</v>
      </c>
      <c r="Q129" s="5">
        <f>EnergyLJ($A129,$C$2,$C$4,shape_factors!Q$2,$C$3,shape_factors!Q$3)</f>
        <v>-8.2657485619295541E-6</v>
      </c>
      <c r="R129" s="5">
        <f>EnergyLJ($A129,$C$2,$C$4,shape_factors!R$2,$C$3,shape_factors!R$3)</f>
        <v>-7.9940438840261273E-5</v>
      </c>
      <c r="S129" s="5">
        <f>EnergyLJ($A129,$C$2,$C$4,shape_factors!S$2,$C$3,shape_factors!S$3)</f>
        <v>-1.2864670120978953E-5</v>
      </c>
      <c r="T129" s="5">
        <f>EnergyLJ($A129,$C$2,$C$4,shape_factors!T$2,$C$3,shape_factors!T$3)</f>
        <v>-3.75008056516529E-6</v>
      </c>
      <c r="U129" s="5">
        <f>EnergyLJ($A129,$C$2,$C$4,shape_factors!U$2,$C$3,shape_factors!U$3)</f>
        <v>-7.7672108685323624E-5</v>
      </c>
    </row>
    <row r="130" spans="1:21" x14ac:dyDescent="0.25">
      <c r="A130">
        <v>26.6</v>
      </c>
      <c r="B130" s="5">
        <f>EnergyLJ($A130,$C$2,$C$4,shape_factors!B$2,$C$3,shape_factors!B$3)</f>
        <v>-8.9189287791015953E-4</v>
      </c>
      <c r="C130" s="5">
        <f>EnergyLJ($A130,$C$2,$C$4,shape_factors!C$2,$C$3,shape_factors!C$3)</f>
        <v>-9.4663482148775384E-5</v>
      </c>
      <c r="D130" s="5">
        <f>EnergyLJ($A130,$C$2,$C$4,shape_factors!D$2,$C$3,shape_factors!D$3)</f>
        <v>-1.4205397886840495E-3</v>
      </c>
      <c r="E130" s="5">
        <f>EnergyLJ($A130,$C$2,$C$4,shape_factors!E$2,$C$3,shape_factors!E$3)</f>
        <v>-2.6074528647913593E-4</v>
      </c>
      <c r="F130" s="5">
        <f>EnergyLJ($A130,$C$2,$C$4,shape_factors!F$2,$C$3,shape_factors!F$3)</f>
        <v>-7.2548620074825847E-5</v>
      </c>
      <c r="G130" s="5">
        <f>EnergyLJ($A130,$C$2,$C$4,shape_factors!G$2,$C$3,shape_factors!G$3)</f>
        <v>-1.2271086412434686E-4</v>
      </c>
      <c r="H130" s="5">
        <f>EnergyLJ($A130,$C$2,$C$4,shape_factors!H$2,$C$3,shape_factors!H$3)</f>
        <v>-1.1255029555477108E-2</v>
      </c>
      <c r="I130" s="5">
        <f>EnergyLJ($A130,$C$2,$C$4,shape_factors!I$2,$C$3,shape_factors!I$3)</f>
        <v>-3.7909166059215034E-4</v>
      </c>
      <c r="J130" s="5">
        <f>EnergyLJ($A130,$C$2,$C$4,shape_factors!J$2,$C$3,shape_factors!J$3)</f>
        <v>-1.8407106763399169E-5</v>
      </c>
      <c r="K130" s="5">
        <f>EnergyLJ($A130,$C$2,$C$4,shape_factors!K$2,$C$3,shape_factors!K$3)</f>
        <v>-2.8399299379115865E-5</v>
      </c>
      <c r="L130" s="5">
        <f>EnergyLJ($A130,$C$2,$C$4,shape_factors!L$2,$C$3,shape_factors!L$3)</f>
        <v>-5.4860496514831542E-5</v>
      </c>
      <c r="M130" s="5">
        <f>EnergyLJ($A130,$C$2,$C$4,shape_factors!M$2,$C$3,shape_factors!M$3)</f>
        <v>-2.0387648357535544E-5</v>
      </c>
      <c r="N130" s="5">
        <f>EnergyLJ($A130,$C$2,$C$4,shape_factors!N$2,$C$3,shape_factors!N$3)</f>
        <v>-6.33853811722843E-6</v>
      </c>
      <c r="O130" s="5">
        <f>EnergyLJ($A130,$C$2,$C$4,shape_factors!O$2,$C$3,shape_factors!O$3)</f>
        <v>-4.522792886173535E-6</v>
      </c>
      <c r="P130" s="5">
        <f>EnergyLJ($A130,$C$2,$C$4,shape_factors!P$2,$C$3,shape_factors!P$3)</f>
        <v>-6.9757330021846321E-6</v>
      </c>
      <c r="Q130" s="5">
        <f>EnergyLJ($A130,$C$2,$C$4,shape_factors!Q$2,$C$3,shape_factors!Q$3)</f>
        <v>-7.8997975777537672E-6</v>
      </c>
      <c r="R130" s="5">
        <f>EnergyLJ($A130,$C$2,$C$4,shape_factors!R$2,$C$3,shape_factors!R$3)</f>
        <v>-7.6401269408208215E-5</v>
      </c>
      <c r="S130" s="5">
        <f>EnergyLJ($A130,$C$2,$C$4,shape_factors!S$2,$C$3,shape_factors!S$3)</f>
        <v>-1.2295110745815711E-5</v>
      </c>
      <c r="T130" s="5">
        <f>EnergyLJ($A130,$C$2,$C$4,shape_factors!T$2,$C$3,shape_factors!T$3)</f>
        <v>-3.5840524264645117E-6</v>
      </c>
      <c r="U130" s="5">
        <f>EnergyLJ($A130,$C$2,$C$4,shape_factors!U$2,$C$3,shape_factors!U$3)</f>
        <v>-7.4233362601081843E-5</v>
      </c>
    </row>
    <row r="131" spans="1:21" x14ac:dyDescent="0.25">
      <c r="A131">
        <v>26.8</v>
      </c>
      <c r="B131" s="5">
        <f>EnergyLJ($A131,$C$2,$C$4,shape_factors!B$2,$C$3,shape_factors!B$3)</f>
        <v>-8.5270170308495916E-4</v>
      </c>
      <c r="C131" s="5">
        <f>EnergyLJ($A131,$C$2,$C$4,shape_factors!C$2,$C$3,shape_factors!C$3)</f>
        <v>-9.050319054985817E-5</v>
      </c>
      <c r="D131" s="5">
        <f>EnergyLJ($A131,$C$2,$C$4,shape_factors!D$2,$C$3,shape_factors!D$3)</f>
        <v>-1.3581253041256506E-3</v>
      </c>
      <c r="E131" s="5">
        <f>EnergyLJ($A131,$C$2,$C$4,shape_factors!E$2,$C$3,shape_factors!E$3)</f>
        <v>-2.4928635617780051E-4</v>
      </c>
      <c r="F131" s="5">
        <f>EnergyLJ($A131,$C$2,$C$4,shape_factors!F$2,$C$3,shape_factors!F$3)</f>
        <v>-6.9360223937019563E-5</v>
      </c>
      <c r="G131" s="5">
        <f>EnergyLJ($A131,$C$2,$C$4,shape_factors!G$2,$C$3,shape_factors!G$3)</f>
        <v>-1.1731796868973022E-4</v>
      </c>
      <c r="H131" s="5">
        <f>EnergyLJ($A131,$C$2,$C$4,shape_factors!H$2,$C$3,shape_factors!H$3)</f>
        <v>-1.0761442964357854E-2</v>
      </c>
      <c r="I131" s="5">
        <f>EnergyLJ($A131,$C$2,$C$4,shape_factors!I$2,$C$3,shape_factors!I$3)</f>
        <v>-3.6243215573364981E-4</v>
      </c>
      <c r="J131" s="5">
        <f>EnergyLJ($A131,$C$2,$C$4,shape_factors!J$2,$C$3,shape_factors!J$3)</f>
        <v>-1.7598135471674988E-5</v>
      </c>
      <c r="K131" s="5">
        <f>EnergyLJ($A131,$C$2,$C$4,shape_factors!K$2,$C$3,shape_factors!K$3)</f>
        <v>-2.7151185014878741E-5</v>
      </c>
      <c r="L131" s="5">
        <f>EnergyLJ($A131,$C$2,$C$4,shape_factors!L$2,$C$3,shape_factors!L$3)</f>
        <v>-5.2449457104797087E-5</v>
      </c>
      <c r="M131" s="5">
        <f>EnergyLJ($A131,$C$2,$C$4,shape_factors!M$2,$C$3,shape_factors!M$3)</f>
        <v>-1.9491634864347193E-5</v>
      </c>
      <c r="N131" s="5">
        <f>EnergyLJ($A131,$C$2,$C$4,shape_factors!N$2,$C$3,shape_factors!N$3)</f>
        <v>-6.0599659780360188E-6</v>
      </c>
      <c r="O131" s="5">
        <f>EnergyLJ($A131,$C$2,$C$4,shape_factors!O$2,$C$3,shape_factors!O$3)</f>
        <v>-4.3240207876097423E-6</v>
      </c>
      <c r="P131" s="5">
        <f>EnergyLJ($A131,$C$2,$C$4,shape_factors!P$2,$C$3,shape_factors!P$3)</f>
        <v>-6.669156849445564E-6</v>
      </c>
      <c r="Q131" s="5">
        <f>EnergyLJ($A131,$C$2,$C$4,shape_factors!Q$2,$C$3,shape_factors!Q$3)</f>
        <v>-7.55260981647982E-6</v>
      </c>
      <c r="R131" s="5">
        <f>EnergyLJ($A131,$C$2,$C$4,shape_factors!R$2,$C$3,shape_factors!R$3)</f>
        <v>-7.3043557931206279E-5</v>
      </c>
      <c r="S131" s="5">
        <f>EnergyLJ($A131,$C$2,$C$4,shape_factors!S$2,$C$3,shape_factors!S$3)</f>
        <v>-1.1754754062833533E-5</v>
      </c>
      <c r="T131" s="5">
        <f>EnergyLJ($A131,$C$2,$C$4,shape_factors!T$2,$C$3,shape_factors!T$3)</f>
        <v>-3.426536978164918E-6</v>
      </c>
      <c r="U131" s="5">
        <f>EnergyLJ($A131,$C$2,$C$4,shape_factors!U$2,$C$3,shape_factors!U$3)</f>
        <v>-7.0970925759093455E-5</v>
      </c>
    </row>
    <row r="132" spans="1:21" x14ac:dyDescent="0.25">
      <c r="A132">
        <v>27</v>
      </c>
      <c r="B132" s="5">
        <f>EnergyLJ($A132,$C$2,$C$4,shape_factors!B$2,$C$3,shape_factors!B$3)</f>
        <v>-8.1550479030266358E-4</v>
      </c>
      <c r="C132" s="5">
        <f>EnergyLJ($A132,$C$2,$C$4,shape_factors!C$2,$C$3,shape_factors!C$3)</f>
        <v>-8.6554650950952129E-5</v>
      </c>
      <c r="D132" s="5">
        <f>EnergyLJ($A132,$C$2,$C$4,shape_factors!D$2,$C$3,shape_factors!D$3)</f>
        <v>-1.2988862780780846E-3</v>
      </c>
      <c r="E132" s="5">
        <f>EnergyLJ($A132,$C$2,$C$4,shape_factors!E$2,$C$3,shape_factors!E$3)</f>
        <v>-2.3841063587659014E-4</v>
      </c>
      <c r="F132" s="5">
        <f>EnergyLJ($A132,$C$2,$C$4,shape_factors!F$2,$C$3,shape_factors!F$3)</f>
        <v>-6.6334113056249413E-5</v>
      </c>
      <c r="G132" s="5">
        <f>EnergyLJ($A132,$C$2,$C$4,shape_factors!G$2,$C$3,shape_factors!G$3)</f>
        <v>-1.1219956032286493E-4</v>
      </c>
      <c r="H132" s="5">
        <f>EnergyLJ($A132,$C$2,$C$4,shape_factors!H$2,$C$3,shape_factors!H$3)</f>
        <v>-1.0292889662977535E-2</v>
      </c>
      <c r="I132" s="5">
        <f>EnergyLJ($A132,$C$2,$C$4,shape_factors!I$2,$C$3,shape_factors!I$3)</f>
        <v>-3.4662051581528421E-4</v>
      </c>
      <c r="J132" s="5">
        <f>EnergyLJ($A132,$C$2,$C$4,shape_factors!J$2,$C$3,shape_factors!J$3)</f>
        <v>-1.6830340483378413E-5</v>
      </c>
      <c r="K132" s="5">
        <f>EnergyLJ($A132,$C$2,$C$4,shape_factors!K$2,$C$3,shape_factors!K$3)</f>
        <v>-2.5966598953250687E-5</v>
      </c>
      <c r="L132" s="5">
        <f>EnergyLJ($A132,$C$2,$C$4,shape_factors!L$2,$C$3,shape_factors!L$3)</f>
        <v>-5.0161137183515161E-5</v>
      </c>
      <c r="M132" s="5">
        <f>EnergyLJ($A132,$C$2,$C$4,shape_factors!M$2,$C$3,shape_factors!M$3)</f>
        <v>-1.8641228057934889E-5</v>
      </c>
      <c r="N132" s="5">
        <f>EnergyLJ($A132,$C$2,$C$4,shape_factors!N$2,$C$3,shape_factors!N$3)</f>
        <v>-5.7955730994925793E-6</v>
      </c>
      <c r="O132" s="5">
        <f>EnergyLJ($A132,$C$2,$C$4,shape_factors!O$2,$C$3,shape_factors!O$3)</f>
        <v>-4.1353661509907004E-6</v>
      </c>
      <c r="P132" s="5">
        <f>EnergyLJ($A132,$C$2,$C$4,shape_factors!P$2,$C$3,shape_factors!P$3)</f>
        <v>-6.3781853523379098E-6</v>
      </c>
      <c r="Q132" s="5">
        <f>EnergyLJ($A132,$C$2,$C$4,shape_factors!Q$2,$C$3,shape_factors!Q$3)</f>
        <v>-7.2230938271917048E-6</v>
      </c>
      <c r="R132" s="5">
        <f>EnergyLJ($A132,$C$2,$C$4,shape_factors!R$2,$C$3,shape_factors!R$3)</f>
        <v>-6.985674943525019E-5</v>
      </c>
      <c r="S132" s="5">
        <f>EnergyLJ($A132,$C$2,$C$4,shape_factors!S$2,$C$3,shape_factors!S$3)</f>
        <v>-1.124190136431215E-5</v>
      </c>
      <c r="T132" s="5">
        <f>EnergyLJ($A132,$C$2,$C$4,shape_factors!T$2,$C$3,shape_factors!T$3)</f>
        <v>-3.2770390385575328E-6</v>
      </c>
      <c r="U132" s="5">
        <f>EnergyLJ($A132,$C$2,$C$4,shape_factors!U$2,$C$3,shape_factors!U$3)</f>
        <v>-6.7874542661955879E-5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32"/>
  <sheetViews>
    <sheetView workbookViewId="0">
      <selection activeCell="C2" sqref="C2"/>
    </sheetView>
  </sheetViews>
  <sheetFormatPr defaultRowHeight="15" x14ac:dyDescent="0.25"/>
  <cols>
    <col min="2" max="2" width="12.140625" style="5" bestFit="1" customWidth="1"/>
    <col min="3" max="3" width="10.5703125" style="5" bestFit="1" customWidth="1"/>
    <col min="4" max="4" width="12.5703125" style="5" bestFit="1" customWidth="1"/>
    <col min="5" max="5" width="11.5703125" style="5" bestFit="1" customWidth="1"/>
    <col min="6" max="6" width="10.5703125" style="5" bestFit="1" customWidth="1"/>
    <col min="7" max="7" width="11.5703125" style="5" bestFit="1" customWidth="1"/>
    <col min="8" max="8" width="13.7109375" style="5" bestFit="1" customWidth="1"/>
    <col min="9" max="9" width="11.5703125" style="5" bestFit="1" customWidth="1"/>
    <col min="10" max="21" width="10.5703125" style="5" bestFit="1" customWidth="1"/>
  </cols>
  <sheetData>
    <row r="1" spans="1:21" x14ac:dyDescent="0.25">
      <c r="B1" s="5" t="s">
        <v>29</v>
      </c>
      <c r="C1" s="5" t="str">
        <f>shape_factors!D1</f>
        <v>Phe</v>
      </c>
    </row>
    <row r="2" spans="1:21" x14ac:dyDescent="0.25">
      <c r="B2" s="5" t="s">
        <v>4</v>
      </c>
      <c r="C2" s="5">
        <f>interaction_energies!B6</f>
        <v>1.19</v>
      </c>
    </row>
    <row r="3" spans="1:21" x14ac:dyDescent="0.25">
      <c r="B3" s="5" t="s">
        <v>5</v>
      </c>
      <c r="C3" s="5">
        <f>shape_factors!D2</f>
        <v>2.2823000000000002</v>
      </c>
    </row>
    <row r="4" spans="1:21" x14ac:dyDescent="0.25">
      <c r="B4" s="5" t="s">
        <v>6</v>
      </c>
      <c r="C4" s="5">
        <f>shape_factors!D3</f>
        <v>6.3367000000000004</v>
      </c>
    </row>
    <row r="6" spans="1:21" x14ac:dyDescent="0.25">
      <c r="A6" t="s">
        <v>3</v>
      </c>
      <c r="B6" s="6" t="str">
        <f>interaction_energies!B3</f>
        <v>Cys</v>
      </c>
      <c r="C6" s="6" t="str">
        <f>interaction_energies!C3</f>
        <v>Met</v>
      </c>
      <c r="D6" s="6" t="str">
        <f>interaction_energies!D3</f>
        <v>Phe</v>
      </c>
      <c r="E6" s="6" t="str">
        <f>interaction_energies!E3</f>
        <v>Ile</v>
      </c>
      <c r="F6" s="6" t="str">
        <f>interaction_energies!F3</f>
        <v>Leu</v>
      </c>
      <c r="G6" s="6" t="str">
        <f>interaction_energies!G3</f>
        <v>Val</v>
      </c>
      <c r="H6" s="6" t="str">
        <f>interaction_energies!H3</f>
        <v>Trp</v>
      </c>
      <c r="I6" s="6" t="str">
        <f>interaction_energies!I3</f>
        <v>Tyr</v>
      </c>
      <c r="J6" s="6" t="str">
        <f>interaction_energies!J3</f>
        <v>Ala</v>
      </c>
      <c r="K6" s="6" t="str">
        <f>interaction_energies!K3</f>
        <v>Gly</v>
      </c>
      <c r="L6" s="6" t="str">
        <f>interaction_energies!L3</f>
        <v>Thr</v>
      </c>
      <c r="M6" s="6" t="str">
        <f>interaction_energies!M3</f>
        <v>Ser</v>
      </c>
      <c r="N6" s="6" t="str">
        <f>interaction_energies!N3</f>
        <v>Gln</v>
      </c>
      <c r="O6" s="6" t="str">
        <f>interaction_energies!O3</f>
        <v>Asn</v>
      </c>
      <c r="P6" s="6" t="str">
        <f>interaction_energies!P3</f>
        <v>Glu</v>
      </c>
      <c r="Q6" s="6" t="str">
        <f>interaction_energies!Q3</f>
        <v>Asp</v>
      </c>
      <c r="R6" s="6" t="str">
        <f>interaction_energies!R3</f>
        <v>His</v>
      </c>
      <c r="S6" s="6" t="str">
        <f>interaction_energies!S3</f>
        <v>Arg</v>
      </c>
      <c r="T6" s="6" t="str">
        <f>interaction_energies!T3</f>
        <v>Lys</v>
      </c>
      <c r="U6" s="6" t="str">
        <f>interaction_energies!U3</f>
        <v>Pro</v>
      </c>
    </row>
    <row r="7" spans="1:21" x14ac:dyDescent="0.25">
      <c r="A7">
        <v>2</v>
      </c>
      <c r="B7" s="5">
        <f>EnergyLJ($A7,$C$2,$C$3,shape_factors!B$2,$C$4,shape_factors!B$3)</f>
        <v>185270904.43815649</v>
      </c>
      <c r="C7" s="5">
        <f>EnergyLJ($A7,$C$2,$C$3,shape_factors!C$2,$C$4,shape_factors!C$3)</f>
        <v>24940995.49723959</v>
      </c>
      <c r="D7" s="5">
        <f>EnergyLJ($A7,$C$2,$C$3,shape_factors!D$2,$C$4,shape_factors!D$3)</f>
        <v>311695886.07173115</v>
      </c>
      <c r="E7" s="5">
        <f>EnergyLJ($A7,$C$2,$C$3,shape_factors!E$2,$C$4,shape_factors!E$3)</f>
        <v>55722768.858158074</v>
      </c>
      <c r="F7" s="5">
        <f>EnergyLJ($A7,$C$2,$C$3,shape_factors!F$2,$C$4,shape_factors!F$3)</f>
        <v>20738452.28148371</v>
      </c>
      <c r="G7" s="5">
        <f>EnergyLJ($A7,$C$2,$C$3,shape_factors!G$2,$C$4,shape_factors!G$3)</f>
        <v>30171825.832917929</v>
      </c>
      <c r="H7" s="5">
        <f>EnergyLJ($A7,$C$2,$C$3,shape_factors!H$2,$C$4,shape_factors!H$3)</f>
        <v>4754025583.0254383</v>
      </c>
      <c r="I7" s="5">
        <f>EnergyLJ($A7,$C$2,$C$3,shape_factors!I$2,$C$4,shape_factors!I$3)</f>
        <v>78208499.519319296</v>
      </c>
      <c r="J7" s="5">
        <f>EnergyLJ($A7,$C$2,$C$3,shape_factors!J$2,$C$4,shape_factors!J$3)</f>
        <v>9398954.2687677816</v>
      </c>
      <c r="K7" s="5">
        <f>EnergyLJ($A7,$C$2,$C$3,shape_factors!K$2,$C$4,shape_factors!K$3)</f>
        <v>11744567.11579236</v>
      </c>
      <c r="L7" s="5">
        <f>EnergyLJ($A7,$C$2,$C$3,shape_factors!L$2,$C$4,shape_factors!L$3)</f>
        <v>17279474.58956892</v>
      </c>
      <c r="M7" s="5">
        <f>EnergyLJ($A7,$C$2,$C$3,shape_factors!M$2,$C$4,shape_factors!M$3)</f>
        <v>9884449.1492890809</v>
      </c>
      <c r="N7" s="5">
        <f>EnergyLJ($A7,$C$2,$C$3,shape_factors!N$2,$C$4,shape_factors!N$3)</f>
        <v>5973620.3782839356</v>
      </c>
      <c r="O7" s="5">
        <f>EnergyLJ($A7,$C$2,$C$3,shape_factors!O$2,$C$4,shape_factors!O$3)</f>
        <v>5305678.078968592</v>
      </c>
      <c r="P7" s="5">
        <f>EnergyLJ($A7,$C$2,$C$3,shape_factors!P$2,$C$4,shape_factors!P$3)</f>
        <v>6190689.2429838451</v>
      </c>
      <c r="Q7" s="5">
        <f>EnergyLJ($A7,$C$2,$C$3,shape_factors!Q$2,$C$4,shape_factors!Q$3)</f>
        <v>6493496.4526434038</v>
      </c>
      <c r="R7" s="5">
        <f>EnergyLJ($A7,$C$2,$C$3,shape_factors!R$2,$C$4,shape_factors!R$3)</f>
        <v>21478203.435578477</v>
      </c>
      <c r="S7" s="5">
        <f>EnergyLJ($A7,$C$2,$C$3,shape_factors!S$2,$C$4,shape_factors!S$3)</f>
        <v>7799227.1894602403</v>
      </c>
      <c r="T7" s="5">
        <f>EnergyLJ($A7,$C$2,$C$3,shape_factors!T$2,$C$4,shape_factors!T$3)</f>
        <v>4919785.6873859372</v>
      </c>
      <c r="U7" s="5">
        <f>EnergyLJ($A7,$C$2,$C$3,shape_factors!U$2,$C$4,shape_factors!U$3)</f>
        <v>21062423.877524596</v>
      </c>
    </row>
    <row r="8" spans="1:21" x14ac:dyDescent="0.25">
      <c r="A8">
        <v>2.2000000000000002</v>
      </c>
      <c r="B8" s="5">
        <f>EnergyLJ($A8,$C$2,$C$3,shape_factors!B$2,$C$4,shape_factors!B$3)</f>
        <v>59025718.483350411</v>
      </c>
      <c r="C8" s="5">
        <f>EnergyLJ($A8,$C$2,$C$3,shape_factors!C$2,$C$4,shape_factors!C$3)</f>
        <v>7944290.5395598868</v>
      </c>
      <c r="D8" s="5">
        <f>EnergyLJ($A8,$C$2,$C$3,shape_factors!D$2,$C$4,shape_factors!D$3)</f>
        <v>99306444.970679611</v>
      </c>
      <c r="E8" s="5">
        <f>EnergyLJ($A8,$C$2,$C$3,shape_factors!E$2,$C$4,shape_factors!E$3)</f>
        <v>17750986.970591247</v>
      </c>
      <c r="F8" s="5">
        <f>EnergyLJ($A8,$C$2,$C$3,shape_factors!F$2,$C$4,shape_factors!F$3)</f>
        <v>6605466.8382811211</v>
      </c>
      <c r="G8" s="5">
        <f>EnergyLJ($A8,$C$2,$C$3,shape_factors!G$2,$C$4,shape_factors!G$3)</f>
        <v>9610726.7511640526</v>
      </c>
      <c r="H8" s="5">
        <f>EnergyLJ($A8,$C$2,$C$3,shape_factors!H$2,$C$4,shape_factors!H$3)</f>
        <v>1514742076.1897452</v>
      </c>
      <c r="I8" s="5">
        <f>EnergyLJ($A8,$C$2,$C$3,shape_factors!I$2,$C$4,shape_factors!I$3)</f>
        <v>24914894.182257365</v>
      </c>
      <c r="J8" s="5">
        <f>EnergyLJ($A8,$C$2,$C$3,shape_factors!J$2,$C$4,shape_factors!J$3)</f>
        <v>2993151.522461399</v>
      </c>
      <c r="K8" s="5">
        <f>EnergyLJ($A8,$C$2,$C$3,shape_factors!K$2,$C$4,shape_factors!K$3)</f>
        <v>3740342.2924522986</v>
      </c>
      <c r="L8" s="5">
        <f>EnergyLJ($A8,$C$2,$C$3,shape_factors!L$2,$C$4,shape_factors!L$3)</f>
        <v>5503542.9337561568</v>
      </c>
      <c r="M8" s="5">
        <f>EnergyLJ($A8,$C$2,$C$3,shape_factors!M$2,$C$4,shape_factors!M$3)</f>
        <v>3147803.2185180369</v>
      </c>
      <c r="N8" s="5">
        <f>EnergyLJ($A8,$C$2,$C$3,shape_factors!N$2,$C$4,shape_factors!N$3)</f>
        <v>1902068.0280828257</v>
      </c>
      <c r="O8" s="5">
        <f>EnergyLJ($A8,$C$2,$C$3,shape_factors!O$2,$C$4,shape_factors!O$3)</f>
        <v>1689316.4902319128</v>
      </c>
      <c r="P8" s="5">
        <f>EnergyLJ($A8,$C$2,$C$3,shape_factors!P$2,$C$4,shape_factors!P$3)</f>
        <v>1971209.2522041802</v>
      </c>
      <c r="Q8" s="5">
        <f>EnergyLJ($A8,$C$2,$C$3,shape_factors!Q$2,$C$4,shape_factors!Q$3)</f>
        <v>2067660.7123168104</v>
      </c>
      <c r="R8" s="5">
        <f>EnergyLJ($A8,$C$2,$C$3,shape_factors!R$2,$C$4,shape_factors!R$3)</f>
        <v>6841131.1709981803</v>
      </c>
      <c r="S8" s="5">
        <f>EnergyLJ($A8,$C$2,$C$3,shape_factors!S$2,$C$4,shape_factors!S$3)</f>
        <v>2483575.6361908214</v>
      </c>
      <c r="T8" s="5">
        <f>EnergyLJ($A8,$C$2,$C$3,shape_factors!T$2,$C$4,shape_factors!T$3)</f>
        <v>1566405.0590812932</v>
      </c>
      <c r="U8" s="5">
        <f>EnergyLJ($A8,$C$2,$C$3,shape_factors!U$2,$C$4,shape_factors!U$3)</f>
        <v>6708675.168011399</v>
      </c>
    </row>
    <row r="9" spans="1:21" x14ac:dyDescent="0.25">
      <c r="A9">
        <v>2.4</v>
      </c>
      <c r="B9" s="5">
        <f>EnergyLJ($A9,$C$2,$C$3,shape_factors!B$2,$C$4,shape_factors!B$3)</f>
        <v>20772749.675167054</v>
      </c>
      <c r="C9" s="5">
        <f>EnergyLJ($A9,$C$2,$C$3,shape_factors!C$2,$C$4,shape_factors!C$3)</f>
        <v>2794871.1399311484</v>
      </c>
      <c r="D9" s="5">
        <f>EnergyLJ($A9,$C$2,$C$3,shape_factors!D$2,$C$4,shape_factors!D$3)</f>
        <v>34950187.707193933</v>
      </c>
      <c r="E9" s="5">
        <f>EnergyLJ($A9,$C$2,$C$3,shape_factors!E$2,$C$4,shape_factors!E$3)</f>
        <v>6246051.2101135328</v>
      </c>
      <c r="F9" s="5">
        <f>EnergyLJ($A9,$C$2,$C$3,shape_factors!F$2,$C$4,shape_factors!F$3)</f>
        <v>2323741.8469286659</v>
      </c>
      <c r="G9" s="5">
        <f>EnergyLJ($A9,$C$2,$C$3,shape_factors!G$2,$C$4,shape_factors!G$3)</f>
        <v>3381301.1767913834</v>
      </c>
      <c r="H9" s="5">
        <f>EnergyLJ($A9,$C$2,$C$3,shape_factors!H$2,$C$4,shape_factors!H$3)</f>
        <v>533162098.66255188</v>
      </c>
      <c r="I9" s="5">
        <f>EnergyLJ($A9,$C$2,$C$3,shape_factors!I$2,$C$4,shape_factors!I$3)</f>
        <v>8767305.4996526372</v>
      </c>
      <c r="J9" s="5">
        <f>EnergyLJ($A9,$C$2,$C$3,shape_factors!J$2,$C$4,shape_factors!J$3)</f>
        <v>1052664.883921399</v>
      </c>
      <c r="K9" s="5">
        <f>EnergyLJ($A9,$C$2,$C$3,shape_factors!K$2,$C$4,shape_factors!K$3)</f>
        <v>1315565.4132254333</v>
      </c>
      <c r="L9" s="5">
        <f>EnergyLJ($A9,$C$2,$C$3,shape_factors!L$2,$C$4,shape_factors!L$3)</f>
        <v>1935987.4517115874</v>
      </c>
      <c r="M9" s="5">
        <f>EnergyLJ($A9,$C$2,$C$3,shape_factors!M$2,$C$4,shape_factors!M$3)</f>
        <v>1107078.3715083159</v>
      </c>
      <c r="N9" s="5">
        <f>EnergyLJ($A9,$C$2,$C$3,shape_factors!N$2,$C$4,shape_factors!N$3)</f>
        <v>668793.0036994624</v>
      </c>
      <c r="O9" s="5">
        <f>EnergyLJ($A9,$C$2,$C$3,shape_factors!O$2,$C$4,shape_factors!O$3)</f>
        <v>593947.20173557766</v>
      </c>
      <c r="P9" s="5">
        <f>EnergyLJ($A9,$C$2,$C$3,shape_factors!P$2,$C$4,shape_factors!P$3)</f>
        <v>693117.3339074722</v>
      </c>
      <c r="Q9" s="5">
        <f>EnergyLJ($A9,$C$2,$C$3,shape_factors!Q$2,$C$4,shape_factors!Q$3)</f>
        <v>727049.95927763556</v>
      </c>
      <c r="R9" s="5">
        <f>EnergyLJ($A9,$C$2,$C$3,shape_factors!R$2,$C$4,shape_factors!R$3)</f>
        <v>2406670.7371668811</v>
      </c>
      <c r="S9" s="5">
        <f>EnergyLJ($A9,$C$2,$C$3,shape_factors!S$2,$C$4,shape_factors!S$3)</f>
        <v>873377.54436051974</v>
      </c>
      <c r="T9" s="5">
        <f>EnergyLJ($A9,$C$2,$C$3,shape_factors!T$2,$C$4,shape_factors!T$3)</f>
        <v>550708.27745588741</v>
      </c>
      <c r="U9" s="5">
        <f>EnergyLJ($A9,$C$2,$C$3,shape_factors!U$2,$C$4,shape_factors!U$3)</f>
        <v>2360060.1984319594</v>
      </c>
    </row>
    <row r="10" spans="1:21" x14ac:dyDescent="0.25">
      <c r="A10">
        <v>2.6</v>
      </c>
      <c r="B10" s="5">
        <f>EnergyLJ($A10,$C$2,$C$3,shape_factors!B$2,$C$4,shape_factors!B$3)</f>
        <v>7947316.3157738335</v>
      </c>
      <c r="C10" s="5">
        <f>EnergyLJ($A10,$C$2,$C$3,shape_factors!C$2,$C$4,shape_factors!C$3)</f>
        <v>1068726.8928953407</v>
      </c>
      <c r="D10" s="5">
        <f>EnergyLJ($A10,$C$2,$C$3,shape_factors!D$2,$C$4,shape_factors!D$3)</f>
        <v>13372278.129458588</v>
      </c>
      <c r="E10" s="5">
        <f>EnergyLJ($A10,$C$2,$C$3,shape_factors!E$2,$C$4,shape_factors!E$3)</f>
        <v>2389056.2366903806</v>
      </c>
      <c r="F10" s="5">
        <f>EnergyLJ($A10,$C$2,$C$3,shape_factors!F$2,$C$4,shape_factors!F$3)</f>
        <v>888503.13812890905</v>
      </c>
      <c r="G10" s="5">
        <f>EnergyLJ($A10,$C$2,$C$3,shape_factors!G$2,$C$4,shape_factors!G$3)</f>
        <v>1293065.7530751158</v>
      </c>
      <c r="H10" s="5">
        <f>EnergyLJ($A10,$C$2,$C$3,shape_factors!H$2,$C$4,shape_factors!H$3)</f>
        <v>204027493.34738597</v>
      </c>
      <c r="I10" s="5">
        <f>EnergyLJ($A10,$C$2,$C$3,shape_factors!I$2,$C$4,shape_factors!I$3)</f>
        <v>3353694.2695851936</v>
      </c>
      <c r="J10" s="5">
        <f>EnergyLJ($A10,$C$2,$C$3,shape_factors!J$2,$C$4,shape_factors!J$3)</f>
        <v>402322.70775484032</v>
      </c>
      <c r="K10" s="5">
        <f>EnergyLJ($A10,$C$2,$C$3,shape_factors!K$2,$C$4,shape_factors!K$3)</f>
        <v>502871.59865895682</v>
      </c>
      <c r="L10" s="5">
        <f>EnergyLJ($A10,$C$2,$C$3,shape_factors!L$2,$C$4,shape_factors!L$3)</f>
        <v>740179.25991042017</v>
      </c>
      <c r="M10" s="5">
        <f>EnergyLJ($A10,$C$2,$C$3,shape_factors!M$2,$C$4,shape_factors!M$3)</f>
        <v>423133.09279606782</v>
      </c>
      <c r="N10" s="5">
        <f>EnergyLJ($A10,$C$2,$C$3,shape_factors!N$2,$C$4,shape_factors!N$3)</f>
        <v>255523.36946166924</v>
      </c>
      <c r="O10" s="5">
        <f>EnergyLJ($A10,$C$2,$C$3,shape_factors!O$2,$C$4,shape_factors!O$3)</f>
        <v>226904.38075201915</v>
      </c>
      <c r="P10" s="5">
        <f>EnergyLJ($A10,$C$2,$C$3,shape_factors!P$2,$C$4,shape_factors!P$3)</f>
        <v>264824.62384376</v>
      </c>
      <c r="Q10" s="5">
        <f>EnergyLJ($A10,$C$2,$C$3,shape_factors!Q$2,$C$4,shape_factors!Q$3)</f>
        <v>277800.16336433718</v>
      </c>
      <c r="R10" s="5">
        <f>EnergyLJ($A10,$C$2,$C$3,shape_factors!R$2,$C$4,shape_factors!R$3)</f>
        <v>920225.87285552383</v>
      </c>
      <c r="S10" s="5">
        <f>EnergyLJ($A10,$C$2,$C$3,shape_factors!S$2,$C$4,shape_factors!S$3)</f>
        <v>333757.10469898081</v>
      </c>
      <c r="T10" s="5">
        <f>EnergyLJ($A10,$C$2,$C$3,shape_factors!T$2,$C$4,shape_factors!T$3)</f>
        <v>210371.69920433563</v>
      </c>
      <c r="U10" s="5">
        <f>EnergyLJ($A10,$C$2,$C$3,shape_factors!U$2,$C$4,shape_factors!U$3)</f>
        <v>902395.94365215953</v>
      </c>
    </row>
    <row r="11" spans="1:21" x14ac:dyDescent="0.25">
      <c r="A11">
        <v>2.8</v>
      </c>
      <c r="B11" s="5">
        <f>EnergyLJ($A11,$C$2,$C$3,shape_factors!B$2,$C$4,shape_factors!B$3)</f>
        <v>3264494.8278310318</v>
      </c>
      <c r="C11" s="5">
        <f>EnergyLJ($A11,$C$2,$C$3,shape_factors!C$2,$C$4,shape_factors!C$3)</f>
        <v>438668.53055117786</v>
      </c>
      <c r="D11" s="5">
        <f>EnergyLJ($A11,$C$2,$C$3,shape_factors!D$2,$C$4,shape_factors!D$3)</f>
        <v>5493435.7103876751</v>
      </c>
      <c r="E11" s="5">
        <f>EnergyLJ($A11,$C$2,$C$3,shape_factors!E$2,$C$4,shape_factors!E$3)</f>
        <v>980994.42503567995</v>
      </c>
      <c r="F11" s="5">
        <f>EnergyLJ($A11,$C$2,$C$3,shape_factors!F$2,$C$4,shape_factors!F$3)</f>
        <v>364652.24186347442</v>
      </c>
      <c r="G11" s="5">
        <f>EnergyLJ($A11,$C$2,$C$3,shape_factors!G$2,$C$4,shape_factors!G$3)</f>
        <v>530807.60570971912</v>
      </c>
      <c r="H11" s="5">
        <f>EnergyLJ($A11,$C$2,$C$3,shape_factors!H$2,$C$4,shape_factors!H$3)</f>
        <v>83836925.884083554</v>
      </c>
      <c r="I11" s="5">
        <f>EnergyLJ($A11,$C$2,$C$3,shape_factors!I$2,$C$4,shape_factors!I$3)</f>
        <v>1377264.2858193647</v>
      </c>
      <c r="J11" s="5">
        <f>EnergyLJ($A11,$C$2,$C$3,shape_factors!J$2,$C$4,shape_factors!J$3)</f>
        <v>165013.56270430313</v>
      </c>
      <c r="K11" s="5">
        <f>EnergyLJ($A11,$C$2,$C$3,shape_factors!K$2,$C$4,shape_factors!K$3)</f>
        <v>206296.06158874498</v>
      </c>
      <c r="L11" s="5">
        <f>EnergyLJ($A11,$C$2,$C$3,shape_factors!L$2,$C$4,shape_factors!L$3)</f>
        <v>303740.57266682596</v>
      </c>
      <c r="M11" s="5">
        <f>EnergyLJ($A11,$C$2,$C$3,shape_factors!M$2,$C$4,shape_factors!M$3)</f>
        <v>173557.35662942493</v>
      </c>
      <c r="N11" s="5">
        <f>EnergyLJ($A11,$C$2,$C$3,shape_factors!N$2,$C$4,shape_factors!N$3)</f>
        <v>104751.75415998661</v>
      </c>
      <c r="O11" s="5">
        <f>EnergyLJ($A11,$C$2,$C$3,shape_factors!O$2,$C$4,shape_factors!O$3)</f>
        <v>93005.554483261483</v>
      </c>
      <c r="P11" s="5">
        <f>EnergyLJ($A11,$C$2,$C$3,shape_factors!P$2,$C$4,shape_factors!P$3)</f>
        <v>108569.48154419061</v>
      </c>
      <c r="Q11" s="5">
        <f>EnergyLJ($A11,$C$2,$C$3,shape_factors!Q$2,$C$4,shape_factors!Q$3)</f>
        <v>113895.46239049759</v>
      </c>
      <c r="R11" s="5">
        <f>EnergyLJ($A11,$C$2,$C$3,shape_factors!R$2,$C$4,shape_factors!R$3)</f>
        <v>377680.17040550115</v>
      </c>
      <c r="S11" s="5">
        <f>EnergyLJ($A11,$C$2,$C$3,shape_factors!S$2,$C$4,shape_factors!S$3)</f>
        <v>136865.26531174412</v>
      </c>
      <c r="T11" s="5">
        <f>EnergyLJ($A11,$C$2,$C$3,shape_factors!T$2,$C$4,shape_factors!T$3)</f>
        <v>86220.406914795691</v>
      </c>
      <c r="U11" s="5">
        <f>EnergyLJ($A11,$C$2,$C$3,shape_factors!U$2,$C$4,shape_factors!U$3)</f>
        <v>370357.73683788063</v>
      </c>
    </row>
    <row r="12" spans="1:21" x14ac:dyDescent="0.25">
      <c r="A12">
        <v>3</v>
      </c>
      <c r="B12" s="5">
        <f>EnergyLJ($A12,$C$2,$C$3,shape_factors!B$2,$C$4,shape_factors!B$3)</f>
        <v>1425568.661326909</v>
      </c>
      <c r="C12" s="5">
        <f>EnergyLJ($A12,$C$2,$C$3,shape_factors!C$2,$C$4,shape_factors!C$3)</f>
        <v>191356.12358653342</v>
      </c>
      <c r="D12" s="5">
        <f>EnergyLJ($A12,$C$2,$C$3,shape_factors!D$2,$C$4,shape_factors!D$3)</f>
        <v>2399263.327506444</v>
      </c>
      <c r="E12" s="5">
        <f>EnergyLJ($A12,$C$2,$C$3,shape_factors!E$2,$C$4,shape_factors!E$3)</f>
        <v>428170.23748681892</v>
      </c>
      <c r="F12" s="5">
        <f>EnergyLJ($A12,$C$2,$C$3,shape_factors!F$2,$C$4,shape_factors!F$3)</f>
        <v>159042.57008973852</v>
      </c>
      <c r="G12" s="5">
        <f>EnergyLJ($A12,$C$2,$C$3,shape_factors!G$2,$C$4,shape_factors!G$3)</f>
        <v>231584.7956133862</v>
      </c>
      <c r="H12" s="5">
        <f>EnergyLJ($A12,$C$2,$C$3,shape_factors!H$2,$C$4,shape_factors!H$3)</f>
        <v>36628875.809826225</v>
      </c>
      <c r="I12" s="5">
        <f>EnergyLJ($A12,$C$2,$C$3,shape_factors!I$2,$C$4,shape_factors!I$3)</f>
        <v>601234.65187521023</v>
      </c>
      <c r="J12" s="5">
        <f>EnergyLJ($A12,$C$2,$C$3,shape_factors!J$2,$C$4,shape_factors!J$3)</f>
        <v>71905.147139691646</v>
      </c>
      <c r="K12" s="5">
        <f>EnergyLJ($A12,$C$2,$C$3,shape_factors!K$2,$C$4,shape_factors!K$3)</f>
        <v>89920.477404025718</v>
      </c>
      <c r="L12" s="5">
        <f>EnergyLJ($A12,$C$2,$C$3,shape_factors!L$2,$C$4,shape_factors!L$3)</f>
        <v>132452.4108433603</v>
      </c>
      <c r="M12" s="5">
        <f>EnergyLJ($A12,$C$2,$C$3,shape_factors!M$2,$C$4,shape_factors!M$3)</f>
        <v>75633.36410745664</v>
      </c>
      <c r="N12" s="5">
        <f>EnergyLJ($A12,$C$2,$C$3,shape_factors!N$2,$C$4,shape_factors!N$3)</f>
        <v>45613.531956615487</v>
      </c>
      <c r="O12" s="5">
        <f>EnergyLJ($A12,$C$2,$C$3,shape_factors!O$2,$C$4,shape_factors!O$3)</f>
        <v>40490.051484550975</v>
      </c>
      <c r="P12" s="5">
        <f>EnergyLJ($A12,$C$2,$C$3,shape_factors!P$2,$C$4,shape_factors!P$3)</f>
        <v>47278.867297839184</v>
      </c>
      <c r="Q12" s="5">
        <f>EnergyLJ($A12,$C$2,$C$3,shape_factors!Q$2,$C$4,shape_factors!Q$3)</f>
        <v>49602.202308309461</v>
      </c>
      <c r="R12" s="5">
        <f>EnergyLJ($A12,$C$2,$C$3,shape_factors!R$2,$C$4,shape_factors!R$3)</f>
        <v>164730.02184970368</v>
      </c>
      <c r="S12" s="5">
        <f>EnergyLJ($A12,$C$2,$C$3,shape_factors!S$2,$C$4,shape_factors!S$3)</f>
        <v>59623.206187565222</v>
      </c>
      <c r="T12" s="5">
        <f>EnergyLJ($A12,$C$2,$C$3,shape_factors!T$2,$C$4,shape_factors!T$3)</f>
        <v>37530.757100867442</v>
      </c>
      <c r="U12" s="5">
        <f>EnergyLJ($A12,$C$2,$C$3,shape_factors!U$2,$C$4,shape_factors!U$3)</f>
        <v>161533.34059636702</v>
      </c>
    </row>
    <row r="13" spans="1:21" x14ac:dyDescent="0.25">
      <c r="A13">
        <v>3.2</v>
      </c>
      <c r="B13" s="5">
        <f>EnergyLJ($A13,$C$2,$C$3,shape_factors!B$2,$C$4,shape_factors!B$3)</f>
        <v>656549.78992344136</v>
      </c>
      <c r="C13" s="5">
        <f>EnergyLJ($A13,$C$2,$C$3,shape_factors!C$2,$C$4,shape_factors!C$3)</f>
        <v>87997.350065472274</v>
      </c>
      <c r="D13" s="5">
        <f>EnergyLJ($A13,$C$2,$C$3,shape_factors!D$2,$C$4,shape_factors!D$3)</f>
        <v>1105207.0701213151</v>
      </c>
      <c r="E13" s="5">
        <f>EnergyLJ($A13,$C$2,$C$3,shape_factors!E$2,$C$4,shape_factors!E$3)</f>
        <v>197054.03665015061</v>
      </c>
      <c r="F13" s="5">
        <f>EnergyLJ($A13,$C$2,$C$3,shape_factors!F$2,$C$4,shape_factors!F$3)</f>
        <v>73120.743255150068</v>
      </c>
      <c r="G13" s="5">
        <f>EnergyLJ($A13,$C$2,$C$3,shape_factors!G$2,$C$4,shape_factors!G$3)</f>
        <v>106519.99476834688</v>
      </c>
      <c r="H13" s="5">
        <f>EnergyLJ($A13,$C$2,$C$3,shape_factors!H$2,$C$4,shape_factors!H$3)</f>
        <v>16881259.697090756</v>
      </c>
      <c r="I13" s="5">
        <f>EnergyLJ($A13,$C$2,$C$3,shape_factors!I$2,$C$4,shape_factors!I$3)</f>
        <v>276770.78630296182</v>
      </c>
      <c r="J13" s="5">
        <f>EnergyLJ($A13,$C$2,$C$3,shape_factors!J$2,$C$4,shape_factors!J$3)</f>
        <v>33016.744099906522</v>
      </c>
      <c r="K13" s="5">
        <f>EnergyLJ($A13,$C$2,$C$3,shape_factors!K$2,$C$4,shape_factors!K$3)</f>
        <v>41305.855738618346</v>
      </c>
      <c r="L13" s="5">
        <f>EnergyLJ($A13,$C$2,$C$3,shape_factors!L$2,$C$4,shape_factors!L$3)</f>
        <v>60880.546419111117</v>
      </c>
      <c r="M13" s="5">
        <f>EnergyLJ($A13,$C$2,$C$3,shape_factors!M$2,$C$4,shape_factors!M$3)</f>
        <v>34732.007338125455</v>
      </c>
      <c r="N13" s="5">
        <f>EnergyLJ($A13,$C$2,$C$3,shape_factors!N$2,$C$4,shape_factors!N$3)</f>
        <v>20923.538377459725</v>
      </c>
      <c r="O13" s="5">
        <f>EnergyLJ($A13,$C$2,$C$3,shape_factors!O$2,$C$4,shape_factors!O$3)</f>
        <v>18567.736143626527</v>
      </c>
      <c r="P13" s="5">
        <f>EnergyLJ($A13,$C$2,$C$3,shape_factors!P$2,$C$4,shape_factors!P$3)</f>
        <v>21689.339822848739</v>
      </c>
      <c r="Q13" s="5">
        <f>EnergyLJ($A13,$C$2,$C$3,shape_factors!Q$2,$C$4,shape_factors!Q$3)</f>
        <v>22757.774471972672</v>
      </c>
      <c r="R13" s="5">
        <f>EnergyLJ($A13,$C$2,$C$3,shape_factors!R$2,$C$4,shape_factors!R$3)</f>
        <v>75739.021761177064</v>
      </c>
      <c r="S13" s="5">
        <f>EnergyLJ($A13,$C$2,$C$3,shape_factors!S$2,$C$4,shape_factors!S$3)</f>
        <v>27366.764781010264</v>
      </c>
      <c r="T13" s="5">
        <f>EnergyLJ($A13,$C$2,$C$3,shape_factors!T$2,$C$4,shape_factors!T$3)</f>
        <v>17207.208095005481</v>
      </c>
      <c r="U13" s="5">
        <f>EnergyLJ($A13,$C$2,$C$3,shape_factors!U$2,$C$4,shape_factors!U$3)</f>
        <v>74267.388497520515</v>
      </c>
    </row>
    <row r="14" spans="1:21" x14ac:dyDescent="0.25">
      <c r="A14">
        <v>3.4</v>
      </c>
      <c r="B14" s="5">
        <f>EnergyLJ($A14,$C$2,$C$3,shape_factors!B$2,$C$4,shape_factors!B$3)</f>
        <v>316815.47643695411</v>
      </c>
      <c r="C14" s="5">
        <f>EnergyLJ($A14,$C$2,$C$3,shape_factors!C$2,$C$4,shape_factors!C$3)</f>
        <v>42375.377730014661</v>
      </c>
      <c r="D14" s="5">
        <f>EnergyLJ($A14,$C$2,$C$3,shape_factors!D$2,$C$4,shape_factors!D$3)</f>
        <v>533458.19541165128</v>
      </c>
      <c r="E14" s="5">
        <f>EnergyLJ($A14,$C$2,$C$3,shape_factors!E$2,$C$4,shape_factors!E$3)</f>
        <v>94994.470043549023</v>
      </c>
      <c r="F14" s="5">
        <f>EnergyLJ($A14,$C$2,$C$3,shape_factors!F$2,$C$4,shape_factors!F$3)</f>
        <v>35200.360652440977</v>
      </c>
      <c r="G14" s="5">
        <f>EnergyLJ($A14,$C$2,$C$3,shape_factors!G$2,$C$4,shape_factors!G$3)</f>
        <v>51310.242974879358</v>
      </c>
      <c r="H14" s="5">
        <f>EnergyLJ($A14,$C$2,$C$3,shape_factors!H$2,$C$4,shape_factors!H$3)</f>
        <v>8153730.9111631485</v>
      </c>
      <c r="I14" s="5">
        <f>EnergyLJ($A14,$C$2,$C$3,shape_factors!I$2,$C$4,shape_factors!I$3)</f>
        <v>133469.02128993627</v>
      </c>
      <c r="J14" s="5">
        <f>EnergyLJ($A14,$C$2,$C$3,shape_factors!J$2,$C$4,shape_factors!J$3)</f>
        <v>15866.435914903634</v>
      </c>
      <c r="K14" s="5">
        <f>EnergyLJ($A14,$C$2,$C$3,shape_factors!K$2,$C$4,shape_factors!K$3)</f>
        <v>19861.093255180087</v>
      </c>
      <c r="L14" s="5">
        <f>EnergyLJ($A14,$C$2,$C$3,shape_factors!L$2,$C$4,shape_factors!L$3)</f>
        <v>29297.852532377037</v>
      </c>
      <c r="M14" s="5">
        <f>EnergyLJ($A14,$C$2,$C$3,shape_factors!M$2,$C$4,shape_factors!M$3)</f>
        <v>16692.954636938306</v>
      </c>
      <c r="N14" s="5">
        <f>EnergyLJ($A14,$C$2,$C$3,shape_factors!N$2,$C$4,shape_factors!N$3)</f>
        <v>10041.13175735002</v>
      </c>
      <c r="O14" s="5">
        <f>EnergyLJ($A14,$C$2,$C$3,shape_factors!O$2,$C$4,shape_factors!O$3)</f>
        <v>8906.8803885862199</v>
      </c>
      <c r="P14" s="5">
        <f>EnergyLJ($A14,$C$2,$C$3,shape_factors!P$2,$C$4,shape_factors!P$3)</f>
        <v>10409.890779442077</v>
      </c>
      <c r="Q14" s="5">
        <f>EnergyLJ($A14,$C$2,$C$3,shape_factors!Q$2,$C$4,shape_factors!Q$3)</f>
        <v>10924.413050216352</v>
      </c>
      <c r="R14" s="5">
        <f>EnergyLJ($A14,$C$2,$C$3,shape_factors!R$2,$C$4,shape_factors!R$3)</f>
        <v>36463.077703637457</v>
      </c>
      <c r="S14" s="5">
        <f>EnergyLJ($A14,$C$2,$C$3,shape_factors!S$2,$C$4,shape_factors!S$3)</f>
        <v>13144.35844701247</v>
      </c>
      <c r="T14" s="5">
        <f>EnergyLJ($A14,$C$2,$C$3,shape_factors!T$2,$C$4,shape_factors!T$3)</f>
        <v>8251.9378811505285</v>
      </c>
      <c r="U14" s="5">
        <f>EnergyLJ($A14,$C$2,$C$3,shape_factors!U$2,$C$4,shape_factors!U$3)</f>
        <v>35753.348390172847</v>
      </c>
    </row>
    <row r="15" spans="1:21" x14ac:dyDescent="0.25">
      <c r="A15">
        <v>3.6</v>
      </c>
      <c r="B15" s="5">
        <f>EnergyLJ($A15,$C$2,$C$3,shape_factors!B$2,$C$4,shape_factors!B$3)</f>
        <v>159306.25431300976</v>
      </c>
      <c r="C15" s="5">
        <f>EnergyLJ($A15,$C$2,$C$3,shape_factors!C$2,$C$4,shape_factors!C$3)</f>
        <v>21248.750416385792</v>
      </c>
      <c r="D15" s="5">
        <f>EnergyLJ($A15,$C$2,$C$3,shape_factors!D$2,$C$4,shape_factors!D$3)</f>
        <v>268340.08151330129</v>
      </c>
      <c r="E15" s="5">
        <f>EnergyLJ($A15,$C$2,$C$3,shape_factors!E$2,$C$4,shape_factors!E$3)</f>
        <v>47703.621648403576</v>
      </c>
      <c r="F15" s="5">
        <f>EnergyLJ($A15,$C$2,$C$3,shape_factors!F$2,$C$4,shape_factors!F$3)</f>
        <v>17643.348572182378</v>
      </c>
      <c r="G15" s="5">
        <f>EnergyLJ($A15,$C$2,$C$3,shape_factors!G$2,$C$4,shape_factors!G$3)</f>
        <v>25739.383448426859</v>
      </c>
      <c r="H15" s="5">
        <f>EnergyLJ($A15,$C$2,$C$3,shape_factors!H$2,$C$4,shape_factors!H$3)</f>
        <v>4105230.5066984063</v>
      </c>
      <c r="I15" s="5">
        <f>EnergyLJ($A15,$C$2,$C$3,shape_factors!I$2,$C$4,shape_factors!I$3)</f>
        <v>67055.123456593326</v>
      </c>
      <c r="J15" s="5">
        <f>EnergyLJ($A15,$C$2,$C$3,shape_factors!J$2,$C$4,shape_factors!J$3)</f>
        <v>7933.7976078103457</v>
      </c>
      <c r="K15" s="5">
        <f>EnergyLJ($A15,$C$2,$C$3,shape_factors!K$2,$C$4,shape_factors!K$3)</f>
        <v>9938.9240190680594</v>
      </c>
      <c r="L15" s="5">
        <f>EnergyLJ($A15,$C$2,$C$3,shape_factors!L$2,$C$4,shape_factors!L$3)</f>
        <v>14678.026533473167</v>
      </c>
      <c r="M15" s="5">
        <f>EnergyLJ($A15,$C$2,$C$3,shape_factors!M$2,$C$4,shape_factors!M$3)</f>
        <v>8348.6063899721794</v>
      </c>
      <c r="N15" s="5">
        <f>EnergyLJ($A15,$C$2,$C$3,shape_factors!N$2,$C$4,shape_factors!N$3)</f>
        <v>5011.5407285608353</v>
      </c>
      <c r="O15" s="5">
        <f>EnergyLJ($A15,$C$2,$C$3,shape_factors!O$2,$C$4,shape_factors!O$3)</f>
        <v>4442.91077073616</v>
      </c>
      <c r="P15" s="5">
        <f>EnergyLJ($A15,$C$2,$C$3,shape_factors!P$2,$C$4,shape_factors!P$3)</f>
        <v>5196.441527639462</v>
      </c>
      <c r="Q15" s="5">
        <f>EnergyLJ($A15,$C$2,$C$3,shape_factors!Q$2,$C$4,shape_factors!Q$3)</f>
        <v>5454.4538912430253</v>
      </c>
      <c r="R15" s="5">
        <f>EnergyLJ($A15,$C$2,$C$3,shape_factors!R$2,$C$4,shape_factors!R$3)</f>
        <v>18277.799330617574</v>
      </c>
      <c r="S15" s="5">
        <f>EnergyLJ($A15,$C$2,$C$3,shape_factors!S$2,$C$4,shape_factors!S$3)</f>
        <v>6567.9459717315112</v>
      </c>
      <c r="T15" s="5">
        <f>EnergyLJ($A15,$C$2,$C$3,shape_factors!T$2,$C$4,shape_factors!T$3)</f>
        <v>4114.6474054061364</v>
      </c>
      <c r="U15" s="5">
        <f>EnergyLJ($A15,$C$2,$C$3,shape_factors!U$2,$C$4,shape_factors!U$3)</f>
        <v>17921.193382334783</v>
      </c>
    </row>
    <row r="16" spans="1:21" x14ac:dyDescent="0.25">
      <c r="A16">
        <v>3.8</v>
      </c>
      <c r="B16" s="5">
        <f>EnergyLJ($A16,$C$2,$C$3,shape_factors!B$2,$C$4,shape_factors!B$3)</f>
        <v>83089.57122357795</v>
      </c>
      <c r="C16" s="5">
        <f>EnergyLJ($A16,$C$2,$C$3,shape_factors!C$2,$C$4,shape_factors!C$3)</f>
        <v>11041.88904007473</v>
      </c>
      <c r="D16" s="5">
        <f>EnergyLJ($A16,$C$2,$C$3,shape_factors!D$2,$C$4,shape_factors!D$3)</f>
        <v>140026.237112156</v>
      </c>
      <c r="E16" s="5">
        <f>EnergyLJ($A16,$C$2,$C$3,shape_factors!E$2,$C$4,shape_factors!E$3)</f>
        <v>24837.291007374966</v>
      </c>
      <c r="F16" s="5">
        <f>EnergyLJ($A16,$C$2,$C$3,shape_factors!F$2,$C$4,shape_factors!F$3)</f>
        <v>9163.1116890498161</v>
      </c>
      <c r="G16" s="5">
        <f>EnergyLJ($A16,$C$2,$C$3,shape_factors!G$2,$C$4,shape_factors!G$3)</f>
        <v>13382.595941857817</v>
      </c>
      <c r="H16" s="5">
        <f>EnergyLJ($A16,$C$2,$C$3,shape_factors!H$2,$C$4,shape_factors!H$3)</f>
        <v>2144791.3960199701</v>
      </c>
      <c r="I16" s="5">
        <f>EnergyLJ($A16,$C$2,$C$3,shape_factors!I$2,$C$4,shape_factors!I$3)</f>
        <v>34934.009298798497</v>
      </c>
      <c r="J16" s="5">
        <f>EnergyLJ($A16,$C$2,$C$3,shape_factors!J$2,$C$4,shape_factors!J$3)</f>
        <v>4107.3488524136483</v>
      </c>
      <c r="K16" s="5">
        <f>EnergyLJ($A16,$C$2,$C$3,shape_factors!K$2,$C$4,shape_factors!K$3)</f>
        <v>5150.7251125141374</v>
      </c>
      <c r="L16" s="5">
        <f>EnergyLJ($A16,$C$2,$C$3,shape_factors!L$2,$C$4,shape_factors!L$3)</f>
        <v>7618.331112403509</v>
      </c>
      <c r="M16" s="5">
        <f>EnergyLJ($A16,$C$2,$C$3,shape_factors!M$2,$C$4,shape_factors!M$3)</f>
        <v>4323.1521232416653</v>
      </c>
      <c r="N16" s="5">
        <f>EnergyLJ($A16,$C$2,$C$3,shape_factors!N$2,$C$4,shape_factors!N$3)</f>
        <v>2587.9624740726154</v>
      </c>
      <c r="O16" s="5">
        <f>EnergyLJ($A16,$C$2,$C$3,shape_factors!O$2,$C$4,shape_factors!O$3)</f>
        <v>2292.5647396157992</v>
      </c>
      <c r="P16" s="5">
        <f>EnergyLJ($A16,$C$2,$C$3,shape_factors!P$2,$C$4,shape_factors!P$3)</f>
        <v>2684.0389788280145</v>
      </c>
      <c r="Q16" s="5">
        <f>EnergyLJ($A16,$C$2,$C$3,shape_factors!Q$2,$C$4,shape_factors!Q$3)</f>
        <v>2818.1216137935262</v>
      </c>
      <c r="R16" s="5">
        <f>EnergyLJ($A16,$C$2,$C$3,shape_factors!R$2,$C$4,shape_factors!R$3)</f>
        <v>9493.6851539344971</v>
      </c>
      <c r="S16" s="5">
        <f>EnergyLJ($A16,$C$2,$C$3,shape_factors!S$2,$C$4,shape_factors!S$3)</f>
        <v>3396.9685917470006</v>
      </c>
      <c r="T16" s="5">
        <f>EnergyLJ($A16,$C$2,$C$3,shape_factors!T$2,$C$4,shape_factors!T$3)</f>
        <v>2122.0881247601119</v>
      </c>
      <c r="U16" s="5">
        <f>EnergyLJ($A16,$C$2,$C$3,shape_factors!U$2,$C$4,shape_factors!U$3)</f>
        <v>9307.8773659453345</v>
      </c>
    </row>
    <row r="17" spans="1:21" x14ac:dyDescent="0.25">
      <c r="A17">
        <v>4</v>
      </c>
      <c r="B17" s="5">
        <f>EnergyLJ($A17,$C$2,$C$3,shape_factors!B$2,$C$4,shape_factors!B$3)</f>
        <v>44775.358190994069</v>
      </c>
      <c r="C17" s="5">
        <f>EnergyLJ($A17,$C$2,$C$3,shape_factors!C$2,$C$4,shape_factors!C$3)</f>
        <v>5921.4863701884442</v>
      </c>
      <c r="D17" s="5">
        <f>EnergyLJ($A17,$C$2,$C$3,shape_factors!D$2,$C$4,shape_factors!D$3)</f>
        <v>75505.144680143669</v>
      </c>
      <c r="E17" s="5">
        <f>EnergyLJ($A17,$C$2,$C$3,shape_factors!E$2,$C$4,shape_factors!E$3)</f>
        <v>13353.659221952503</v>
      </c>
      <c r="F17" s="5">
        <f>EnergyLJ($A17,$C$2,$C$3,shape_factors!F$2,$C$4,shape_factors!F$3)</f>
        <v>4910.2448869545397</v>
      </c>
      <c r="G17" s="5">
        <f>EnergyLJ($A17,$C$2,$C$3,shape_factors!G$2,$C$4,shape_factors!G$3)</f>
        <v>7181.8065382150926</v>
      </c>
      <c r="H17" s="5">
        <f>EnergyLJ($A17,$C$2,$C$3,shape_factors!H$2,$C$4,shape_factors!H$3)</f>
        <v>1158336.9990055126</v>
      </c>
      <c r="I17" s="5">
        <f>EnergyLJ($A17,$C$2,$C$3,shape_factors!I$2,$C$4,shape_factors!I$3)</f>
        <v>18797.071454588095</v>
      </c>
      <c r="J17" s="5">
        <f>EnergyLJ($A17,$C$2,$C$3,shape_factors!J$2,$C$4,shape_factors!J$3)</f>
        <v>2191.7516407148087</v>
      </c>
      <c r="K17" s="5">
        <f>EnergyLJ($A17,$C$2,$C$3,shape_factors!K$2,$C$4,shape_factors!K$3)</f>
        <v>2752.2880873872173</v>
      </c>
      <c r="L17" s="5">
        <f>EnergyLJ($A17,$C$2,$C$3,shape_factors!L$2,$C$4,shape_factors!L$3)</f>
        <v>4079.093100849605</v>
      </c>
      <c r="M17" s="5">
        <f>EnergyLJ($A17,$C$2,$C$3,shape_factors!M$2,$C$4,shape_factors!M$3)</f>
        <v>2307.6570723669292</v>
      </c>
      <c r="N17" s="5">
        <f>EnergyLJ($A17,$C$2,$C$3,shape_factors!N$2,$C$4,shape_factors!N$3)</f>
        <v>1376.349985380017</v>
      </c>
      <c r="O17" s="5">
        <f>EnergyLJ($A17,$C$2,$C$3,shape_factors!O$2,$C$4,shape_factors!O$3)</f>
        <v>1217.9993910957041</v>
      </c>
      <c r="P17" s="5">
        <f>EnergyLJ($A17,$C$2,$C$3,shape_factors!P$2,$C$4,shape_factors!P$3)</f>
        <v>1427.8684509543925</v>
      </c>
      <c r="Q17" s="5">
        <f>EnergyLJ($A17,$C$2,$C$3,shape_factors!Q$2,$C$4,shape_factors!Q$3)</f>
        <v>1499.7783931610938</v>
      </c>
      <c r="R17" s="5">
        <f>EnergyLJ($A17,$C$2,$C$3,shape_factors!R$2,$C$4,shape_factors!R$3)</f>
        <v>5088.1465436276048</v>
      </c>
      <c r="S17" s="5">
        <f>EnergyLJ($A17,$C$2,$C$3,shape_factors!S$2,$C$4,shape_factors!S$3)</f>
        <v>1810.3564242468847</v>
      </c>
      <c r="T17" s="5">
        <f>EnergyLJ($A17,$C$2,$C$3,shape_factors!T$2,$C$4,shape_factors!T$3)</f>
        <v>1126.6513687732211</v>
      </c>
      <c r="U17" s="5">
        <f>EnergyLJ($A17,$C$2,$C$3,shape_factors!U$2,$C$4,shape_factors!U$3)</f>
        <v>4988.1505019799506</v>
      </c>
    </row>
    <row r="18" spans="1:21" x14ac:dyDescent="0.25">
      <c r="A18">
        <v>4.2</v>
      </c>
      <c r="B18" s="5">
        <f>EnergyLJ($A18,$C$2,$C$3,shape_factors!B$2,$C$4,shape_factors!B$3)</f>
        <v>24844.714580431137</v>
      </c>
      <c r="C18" s="5">
        <f>EnergyLJ($A18,$C$2,$C$3,shape_factors!C$2,$C$4,shape_factors!C$3)</f>
        <v>3265.0570373987898</v>
      </c>
      <c r="D18" s="5">
        <f>EnergyLJ($A18,$C$2,$C$3,shape_factors!D$2,$C$4,shape_factors!D$3)</f>
        <v>41930.105440992658</v>
      </c>
      <c r="E18" s="5">
        <f>EnergyLJ($A18,$C$2,$C$3,shape_factors!E$2,$C$4,shape_factors!E$3)</f>
        <v>7387.6187058068499</v>
      </c>
      <c r="F18" s="5">
        <f>EnergyLJ($A18,$C$2,$C$3,shape_factors!F$2,$C$4,shape_factors!F$3)</f>
        <v>2704.8014605521294</v>
      </c>
      <c r="G18" s="5">
        <f>EnergyLJ($A18,$C$2,$C$3,shape_factors!G$2,$C$4,shape_factors!G$3)</f>
        <v>3963.6303390828798</v>
      </c>
      <c r="H18" s="5">
        <f>EnergyLJ($A18,$C$2,$C$3,shape_factors!H$2,$C$4,shape_factors!H$3)</f>
        <v>644560.25007035432</v>
      </c>
      <c r="I18" s="5">
        <f>EnergyLJ($A18,$C$2,$C$3,shape_factors!I$2,$C$4,shape_factors!I$3)</f>
        <v>10409.813077488221</v>
      </c>
      <c r="J18" s="5">
        <f>EnergyLJ($A18,$C$2,$C$3,shape_factors!J$2,$C$4,shape_factors!J$3)</f>
        <v>1200.6501414902266</v>
      </c>
      <c r="K18" s="5">
        <f>EnergyLJ($A18,$C$2,$C$3,shape_factors!K$2,$C$4,shape_factors!K$3)</f>
        <v>1510.4455498629382</v>
      </c>
      <c r="L18" s="5">
        <f>EnergyLJ($A18,$C$2,$C$3,shape_factors!L$2,$C$4,shape_factors!L$3)</f>
        <v>2244.5485988213086</v>
      </c>
      <c r="M18" s="5">
        <f>EnergyLJ($A18,$C$2,$C$3,shape_factors!M$2,$C$4,shape_factors!M$3)</f>
        <v>1264.6858857550387</v>
      </c>
      <c r="N18" s="5">
        <f>EnergyLJ($A18,$C$2,$C$3,shape_factors!N$2,$C$4,shape_factors!N$3)</f>
        <v>750.61740760811892</v>
      </c>
      <c r="O18" s="5">
        <f>EnergyLJ($A18,$C$2,$C$3,shape_factors!O$2,$C$4,shape_factors!O$3)</f>
        <v>663.35016555681966</v>
      </c>
      <c r="P18" s="5">
        <f>EnergyLJ($A18,$C$2,$C$3,shape_factors!P$2,$C$4,shape_factors!P$3)</f>
        <v>779.02069224152876</v>
      </c>
      <c r="Q18" s="5">
        <f>EnergyLJ($A18,$C$2,$C$3,shape_factors!Q$2,$C$4,shape_factors!Q$3)</f>
        <v>818.67468503815337</v>
      </c>
      <c r="R18" s="5">
        <f>EnergyLJ($A18,$C$2,$C$3,shape_factors!R$2,$C$4,shape_factors!R$3)</f>
        <v>2803.3440051010921</v>
      </c>
      <c r="S18" s="5">
        <f>EnergyLJ($A18,$C$2,$C$3,shape_factors!S$2,$C$4,shape_factors!S$3)</f>
        <v>990.03785757770243</v>
      </c>
      <c r="T18" s="5">
        <f>EnergyLJ($A18,$C$2,$C$3,shape_factors!T$2,$C$4,shape_factors!T$3)</f>
        <v>613.03515392912891</v>
      </c>
      <c r="U18" s="5">
        <f>EnergyLJ($A18,$C$2,$C$3,shape_factors!U$2,$C$4,shape_factors!U$3)</f>
        <v>2747.9534750499347</v>
      </c>
    </row>
    <row r="19" spans="1:21" x14ac:dyDescent="0.25">
      <c r="A19">
        <v>4.4000000000000004</v>
      </c>
      <c r="B19" s="5">
        <f>EnergyLJ($A19,$C$2,$C$3,shape_factors!B$2,$C$4,shape_factors!B$3)</f>
        <v>14152.72624809656</v>
      </c>
      <c r="C19" s="5">
        <f>EnergyLJ($A19,$C$2,$C$3,shape_factors!C$2,$C$4,shape_factors!C$3)</f>
        <v>1844.9047592581869</v>
      </c>
      <c r="D19" s="5">
        <f>EnergyLJ($A19,$C$2,$C$3,shape_factors!D$2,$C$4,shape_factors!D$3)</f>
        <v>23910.295907801406</v>
      </c>
      <c r="E19" s="5">
        <f>EnergyLJ($A19,$C$2,$C$3,shape_factors!E$2,$C$4,shape_factors!E$3)</f>
        <v>4192.3180484280001</v>
      </c>
      <c r="F19" s="5">
        <f>EnergyLJ($A19,$C$2,$C$3,shape_factors!F$2,$C$4,shape_factors!F$3)</f>
        <v>1526.3808088752862</v>
      </c>
      <c r="G19" s="5">
        <f>EnergyLJ($A19,$C$2,$C$3,shape_factors!G$2,$C$4,shape_factors!G$3)</f>
        <v>2242.3013618927494</v>
      </c>
      <c r="H19" s="5">
        <f>EnergyLJ($A19,$C$2,$C$3,shape_factors!H$2,$C$4,shape_factors!H$3)</f>
        <v>368504.00977720914</v>
      </c>
      <c r="I19" s="5">
        <f>EnergyLJ($A19,$C$2,$C$3,shape_factors!I$2,$C$4,shape_factors!I$3)</f>
        <v>5915.201693707937</v>
      </c>
      <c r="J19" s="5">
        <f>EnergyLJ($A19,$C$2,$C$3,shape_factors!J$2,$C$4,shape_factors!J$3)</f>
        <v>672.65708908764611</v>
      </c>
      <c r="K19" s="5">
        <f>EnergyLJ($A19,$C$2,$C$3,shape_factors!K$2,$C$4,shape_factors!K$3)</f>
        <v>848.2336271901147</v>
      </c>
      <c r="L19" s="5">
        <f>EnergyLJ($A19,$C$2,$C$3,shape_factors!L$2,$C$4,shape_factors!L$3)</f>
        <v>1264.8781401854308</v>
      </c>
      <c r="M19" s="5">
        <f>EnergyLJ($A19,$C$2,$C$3,shape_factors!M$2,$C$4,shape_factors!M$3)</f>
        <v>708.93290158243315</v>
      </c>
      <c r="N19" s="5">
        <f>EnergyLJ($A19,$C$2,$C$3,shape_factors!N$2,$C$4,shape_factors!N$3)</f>
        <v>418.05505659360676</v>
      </c>
      <c r="O19" s="5">
        <f>EnergyLJ($A19,$C$2,$C$3,shape_factors!O$2,$C$4,shape_factors!O$3)</f>
        <v>368.77878917798978</v>
      </c>
      <c r="P19" s="5">
        <f>EnergyLJ($A19,$C$2,$C$3,shape_factors!P$2,$C$4,shape_factors!P$3)</f>
        <v>434.10158775930392</v>
      </c>
      <c r="Q19" s="5">
        <f>EnergyLJ($A19,$C$2,$C$3,shape_factors!Q$2,$C$4,shape_factors!Q$3)</f>
        <v>456.51042535571355</v>
      </c>
      <c r="R19" s="5">
        <f>EnergyLJ($A19,$C$2,$C$3,shape_factors!R$2,$C$4,shape_factors!R$3)</f>
        <v>1582.3910339890488</v>
      </c>
      <c r="S19" s="5">
        <f>EnergyLJ($A19,$C$2,$C$3,shape_factors!S$2,$C$4,shape_factors!S$3)</f>
        <v>553.4212744340324</v>
      </c>
      <c r="T19" s="5">
        <f>EnergyLJ($A19,$C$2,$C$3,shape_factors!T$2,$C$4,shape_factors!T$3)</f>
        <v>340.3877617473733</v>
      </c>
      <c r="U19" s="5">
        <f>EnergyLJ($A19,$C$2,$C$3,shape_factors!U$2,$C$4,shape_factors!U$3)</f>
        <v>1550.9069882082463</v>
      </c>
    </row>
    <row r="20" spans="1:21" x14ac:dyDescent="0.25">
      <c r="A20">
        <v>4.5999999999999996</v>
      </c>
      <c r="B20" s="5">
        <f>EnergyLJ($A20,$C$2,$C$3,shape_factors!B$2,$C$4,shape_factors!B$3)</f>
        <v>8254.9479896455741</v>
      </c>
      <c r="C20" s="5">
        <f>EnergyLJ($A20,$C$2,$C$3,shape_factors!C$2,$C$4,shape_factors!C$3)</f>
        <v>1064.9768309823851</v>
      </c>
      <c r="D20" s="5">
        <f>EnergyLJ($A20,$C$2,$C$3,shape_factors!D$2,$C$4,shape_factors!D$3)</f>
        <v>13964.735731701354</v>
      </c>
      <c r="E20" s="5">
        <f>EnergyLJ($A20,$C$2,$C$3,shape_factors!E$2,$C$4,shape_factors!E$3)</f>
        <v>2433.4326533509029</v>
      </c>
      <c r="F20" s="5">
        <f>EnergyLJ($A20,$C$2,$C$3,shape_factors!F$2,$C$4,shape_factors!F$3)</f>
        <v>879.65097562643996</v>
      </c>
      <c r="G20" s="5">
        <f>EnergyLJ($A20,$C$2,$C$3,shape_factors!G$2,$C$4,shape_factors!G$3)</f>
        <v>1296.3666257277337</v>
      </c>
      <c r="H20" s="5">
        <f>EnergyLJ($A20,$C$2,$C$3,shape_factors!H$2,$C$4,shape_factors!H$3)</f>
        <v>215924.60551970653</v>
      </c>
      <c r="I20" s="5">
        <f>EnergyLJ($A20,$C$2,$C$3,shape_factors!I$2,$C$4,shape_factors!I$3)</f>
        <v>3439.309941900498</v>
      </c>
      <c r="J20" s="5">
        <f>EnergyLJ($A20,$C$2,$C$3,shape_factors!J$2,$C$4,shape_factors!J$3)</f>
        <v>383.99571383221547</v>
      </c>
      <c r="K20" s="5">
        <f>EnergyLJ($A20,$C$2,$C$3,shape_factors!K$2,$C$4,shape_factors!K$3)</f>
        <v>485.74154069300187</v>
      </c>
      <c r="L20" s="5">
        <f>EnergyLJ($A20,$C$2,$C$3,shape_factors!L$2,$C$4,shape_factors!L$3)</f>
        <v>727.62494695980592</v>
      </c>
      <c r="M20" s="5">
        <f>EnergyLJ($A20,$C$2,$C$3,shape_factors!M$2,$C$4,shape_factors!M$3)</f>
        <v>405.0051642902535</v>
      </c>
      <c r="N20" s="5">
        <f>EnergyLJ($A20,$C$2,$C$3,shape_factors!N$2,$C$4,shape_factors!N$3)</f>
        <v>236.79242046377001</v>
      </c>
      <c r="O20" s="5">
        <f>EnergyLJ($A20,$C$2,$C$3,shape_factors!O$2,$C$4,shape_factors!O$3)</f>
        <v>208.37264688959434</v>
      </c>
      <c r="P20" s="5">
        <f>EnergyLJ($A20,$C$2,$C$3,shape_factors!P$2,$C$4,shape_factors!P$3)</f>
        <v>246.05338452765307</v>
      </c>
      <c r="Q20" s="5">
        <f>EnergyLJ($A20,$C$2,$C$3,shape_factors!Q$2,$C$4,shape_factors!Q$3)</f>
        <v>258.99084711307762</v>
      </c>
      <c r="R20" s="5">
        <f>EnergyLJ($A20,$C$2,$C$3,shape_factors!R$2,$C$4,shape_factors!R$3)</f>
        <v>912.22850208835405</v>
      </c>
      <c r="S20" s="5">
        <f>EnergyLJ($A20,$C$2,$C$3,shape_factors!S$2,$C$4,shape_factors!S$3)</f>
        <v>314.99474143353007</v>
      </c>
      <c r="T20" s="5">
        <f>EnergyLJ($A20,$C$2,$C$3,shape_factors!T$2,$C$4,shape_factors!T$3)</f>
        <v>192.01308625401251</v>
      </c>
      <c r="U20" s="5">
        <f>EnergyLJ($A20,$C$2,$C$3,shape_factors!U$2,$C$4,shape_factors!U$3)</f>
        <v>893.91565216071251</v>
      </c>
    </row>
    <row r="21" spans="1:21" x14ac:dyDescent="0.25">
      <c r="A21">
        <v>4.8</v>
      </c>
      <c r="B21" s="5">
        <f>EnergyLJ($A21,$C$2,$C$3,shape_factors!B$2,$C$4,shape_factors!B$3)</f>
        <v>4918.4919612241911</v>
      </c>
      <c r="C21" s="5">
        <f>EnergyLJ($A21,$C$2,$C$3,shape_factors!C$2,$C$4,shape_factors!C$3)</f>
        <v>626.20469579876897</v>
      </c>
      <c r="D21" s="5">
        <f>EnergyLJ($A21,$C$2,$C$3,shape_factors!D$2,$C$4,shape_factors!D$3)</f>
        <v>8334.3390598230962</v>
      </c>
      <c r="E21" s="5">
        <f>EnergyLJ($A21,$C$2,$C$3,shape_factors!E$2,$C$4,shape_factors!E$3)</f>
        <v>1441.0120544396816</v>
      </c>
      <c r="F21" s="5">
        <f>EnergyLJ($A21,$C$2,$C$3,shape_factors!F$2,$C$4,shape_factors!F$3)</f>
        <v>516.1293536172426</v>
      </c>
      <c r="G21" s="5">
        <f>EnergyLJ($A21,$C$2,$C$3,shape_factors!G$2,$C$4,shape_factors!G$3)</f>
        <v>763.77056268763727</v>
      </c>
      <c r="H21" s="5">
        <f>EnergyLJ($A21,$C$2,$C$3,shape_factors!H$2,$C$4,shape_factors!H$3)</f>
        <v>129391.64838950681</v>
      </c>
      <c r="I21" s="5">
        <f>EnergyLJ($A21,$C$2,$C$3,shape_factors!I$2,$C$4,shape_factors!I$3)</f>
        <v>2041.0575578690482</v>
      </c>
      <c r="J21" s="5">
        <f>EnergyLJ($A21,$C$2,$C$3,shape_factors!J$2,$C$4,shape_factors!J$3)</f>
        <v>222.53226124792508</v>
      </c>
      <c r="K21" s="5">
        <f>EnergyLJ($A21,$C$2,$C$3,shape_factors!K$2,$C$4,shape_factors!K$3)</f>
        <v>282.65701277185804</v>
      </c>
      <c r="L21" s="5">
        <f>EnergyLJ($A21,$C$2,$C$3,shape_factors!L$2,$C$4,shape_factors!L$3)</f>
        <v>425.92533221155145</v>
      </c>
      <c r="M21" s="5">
        <f>EnergyLJ($A21,$C$2,$C$3,shape_factors!M$2,$C$4,shape_factors!M$3)</f>
        <v>234.93816849264334</v>
      </c>
      <c r="N21" s="5">
        <f>EnergyLJ($A21,$C$2,$C$3,shape_factors!N$2,$C$4,shape_factors!N$3)</f>
        <v>135.80001514072029</v>
      </c>
      <c r="O21" s="5">
        <f>EnergyLJ($A21,$C$2,$C$3,shape_factors!O$2,$C$4,shape_factors!O$3)</f>
        <v>119.10825339745585</v>
      </c>
      <c r="P21" s="5">
        <f>EnergyLJ($A21,$C$2,$C$3,shape_factors!P$2,$C$4,shape_factors!P$3)</f>
        <v>141.243973983145</v>
      </c>
      <c r="Q21" s="5">
        <f>EnergyLJ($A21,$C$2,$C$3,shape_factors!Q$2,$C$4,shape_factors!Q$3)</f>
        <v>148.85261645435699</v>
      </c>
      <c r="R21" s="5">
        <f>EnergyLJ($A21,$C$2,$C$3,shape_factors!R$2,$C$4,shape_factors!R$3)</f>
        <v>535.47088677735223</v>
      </c>
      <c r="S21" s="5">
        <f>EnergyLJ($A21,$C$2,$C$3,shape_factors!S$2,$C$4,shape_factors!S$3)</f>
        <v>181.82965934642891</v>
      </c>
      <c r="T21" s="5">
        <f>EnergyLJ($A21,$C$2,$C$3,shape_factors!T$2,$C$4,shape_factors!T$3)</f>
        <v>109.51101896530787</v>
      </c>
      <c r="U21" s="5">
        <f>EnergyLJ($A21,$C$2,$C$3,shape_factors!U$2,$C$4,shape_factors!U$3)</f>
        <v>524.59794063299432</v>
      </c>
    </row>
    <row r="22" spans="1:21" x14ac:dyDescent="0.25">
      <c r="A22">
        <v>5</v>
      </c>
      <c r="B22" s="5">
        <f>EnergyLJ($A22,$C$2,$C$3,shape_factors!B$2,$C$4,shape_factors!B$3)</f>
        <v>2987.1811261744701</v>
      </c>
      <c r="C22" s="5">
        <f>EnergyLJ($A22,$C$2,$C$3,shape_factors!C$2,$C$4,shape_factors!C$3)</f>
        <v>373.98423602757526</v>
      </c>
      <c r="D22" s="5">
        <f>EnergyLJ($A22,$C$2,$C$3,shape_factors!D$2,$C$4,shape_factors!D$3)</f>
        <v>5072.254083664634</v>
      </c>
      <c r="E22" s="5">
        <f>EnergyLJ($A22,$C$2,$C$3,shape_factors!E$2,$C$4,shape_factors!E$3)</f>
        <v>868.42817320506663</v>
      </c>
      <c r="F22" s="5">
        <f>EnergyLJ($A22,$C$2,$C$3,shape_factors!F$2,$C$4,shape_factors!F$3)</f>
        <v>307.39448661515502</v>
      </c>
      <c r="G22" s="5">
        <f>EnergyLJ($A22,$C$2,$C$3,shape_factors!G$2,$C$4,shape_factors!G$3)</f>
        <v>457.30384549424275</v>
      </c>
      <c r="H22" s="5">
        <f>EnergyLJ($A22,$C$2,$C$3,shape_factors!H$2,$C$4,shape_factors!H$3)</f>
        <v>79145.667197458155</v>
      </c>
      <c r="I22" s="5">
        <f>EnergyLJ($A22,$C$2,$C$3,shape_factors!I$2,$C$4,shape_factors!I$3)</f>
        <v>1233.4051736757983</v>
      </c>
      <c r="J22" s="5">
        <f>EnergyLJ($A22,$C$2,$C$3,shape_factors!J$2,$C$4,shape_factors!J$3)</f>
        <v>130.39378228742888</v>
      </c>
      <c r="K22" s="5">
        <f>EnergyLJ($A22,$C$2,$C$3,shape_factors!K$2,$C$4,shape_factors!K$3)</f>
        <v>166.53145952136578</v>
      </c>
      <c r="L22" s="5">
        <f>EnergyLJ($A22,$C$2,$C$3,shape_factors!L$2,$C$4,shape_factors!L$3)</f>
        <v>252.89650060804564</v>
      </c>
      <c r="M22" s="5">
        <f>EnergyLJ($A22,$C$2,$C$3,shape_factors!M$2,$C$4,shape_factors!M$3)</f>
        <v>137.84322085449608</v>
      </c>
      <c r="N22" s="5">
        <f>EnergyLJ($A22,$C$2,$C$3,shape_factors!N$2,$C$4,shape_factors!N$3)</f>
        <v>78.458982808375097</v>
      </c>
      <c r="O22" s="5">
        <f>EnergyLJ($A22,$C$2,$C$3,shape_factors!O$2,$C$4,shape_factors!O$3)</f>
        <v>68.504914890054607</v>
      </c>
      <c r="P22" s="5">
        <f>EnergyLJ($A22,$C$2,$C$3,shape_factors!P$2,$C$4,shape_factors!P$3)</f>
        <v>81.709109028042008</v>
      </c>
      <c r="Q22" s="5">
        <f>EnergyLJ($A22,$C$2,$C$3,shape_factors!Q$2,$C$4,shape_factors!Q$3)</f>
        <v>86.254274967779082</v>
      </c>
      <c r="R22" s="5">
        <f>EnergyLJ($A22,$C$2,$C$3,shape_factors!R$2,$C$4,shape_factors!R$3)</f>
        <v>319.08893484271817</v>
      </c>
      <c r="S22" s="5">
        <f>EnergyLJ($A22,$C$2,$C$3,shape_factors!S$2,$C$4,shape_factors!S$3)</f>
        <v>105.9850139773017</v>
      </c>
      <c r="T22" s="5">
        <f>EnergyLJ($A22,$C$2,$C$3,shape_factors!T$2,$C$4,shape_factors!T$3)</f>
        <v>62.790285082667687</v>
      </c>
      <c r="U22" s="5">
        <f>EnergyLJ($A22,$C$2,$C$3,shape_factors!U$2,$C$4,shape_factors!U$3)</f>
        <v>312.51448491465459</v>
      </c>
    </row>
    <row r="23" spans="1:21" x14ac:dyDescent="0.25">
      <c r="A23">
        <v>5.2</v>
      </c>
      <c r="B23" s="5">
        <f>EnergyLJ($A23,$C$2,$C$3,shape_factors!B$2,$C$4,shape_factors!B$3)</f>
        <v>1845.6254638126682</v>
      </c>
      <c r="C23" s="5">
        <f>EnergyLJ($A23,$C$2,$C$3,shape_factors!C$2,$C$4,shape_factors!C$3)</f>
        <v>226.19197567611945</v>
      </c>
      <c r="D23" s="5">
        <f>EnergyLJ($A23,$C$2,$C$3,shape_factors!D$2,$C$4,shape_factors!D$3)</f>
        <v>3141.9678006704075</v>
      </c>
      <c r="E23" s="5">
        <f>EnergyLJ($A23,$C$2,$C$3,shape_factors!E$2,$C$4,shape_factors!E$3)</f>
        <v>531.36133069541313</v>
      </c>
      <c r="F23" s="5">
        <f>EnergyLJ($A23,$C$2,$C$3,shape_factors!F$2,$C$4,shape_factors!F$3)</f>
        <v>185.25203731071684</v>
      </c>
      <c r="G23" s="5">
        <f>EnergyLJ($A23,$C$2,$C$3,shape_factors!G$2,$C$4,shape_factors!G$3)</f>
        <v>277.49448577378149</v>
      </c>
      <c r="H23" s="5">
        <f>EnergyLJ($A23,$C$2,$C$3,shape_factors!H$2,$C$4,shape_factors!H$3)</f>
        <v>49332.039963021365</v>
      </c>
      <c r="I23" s="5">
        <f>EnergyLJ($A23,$C$2,$C$3,shape_factors!I$2,$C$4,shape_factors!I$3)</f>
        <v>757.28301235029494</v>
      </c>
      <c r="J23" s="5">
        <f>EnergyLJ($A23,$C$2,$C$3,shape_factors!J$2,$C$4,shape_factors!J$3)</f>
        <v>76.901792313667102</v>
      </c>
      <c r="K23" s="5">
        <f>EnergyLJ($A23,$C$2,$C$3,shape_factors!K$2,$C$4,shape_factors!K$3)</f>
        <v>98.938276646010564</v>
      </c>
      <c r="L23" s="5">
        <f>EnergyLJ($A23,$C$2,$C$3,shape_factors!L$2,$C$4,shape_factors!L$3)</f>
        <v>151.800815243692</v>
      </c>
      <c r="M23" s="5">
        <f>EnergyLJ($A23,$C$2,$C$3,shape_factors!M$2,$C$4,shape_factors!M$3)</f>
        <v>81.438906892363448</v>
      </c>
      <c r="N23" s="5">
        <f>EnergyLJ($A23,$C$2,$C$3,shape_factors!N$2,$C$4,shape_factors!N$3)</f>
        <v>45.384116954893521</v>
      </c>
      <c r="O23" s="5">
        <f>EnergyLJ($A23,$C$2,$C$3,shape_factors!O$2,$C$4,shape_factors!O$3)</f>
        <v>39.375191121707907</v>
      </c>
      <c r="P23" s="5">
        <f>EnergyLJ($A23,$C$2,$C$3,shape_factors!P$2,$C$4,shape_factors!P$3)</f>
        <v>47.34896019016476</v>
      </c>
      <c r="Q23" s="5">
        <f>EnergyLJ($A23,$C$2,$C$3,shape_factors!Q$2,$C$4,shape_factors!Q$3)</f>
        <v>50.098817957872448</v>
      </c>
      <c r="R23" s="5">
        <f>EnergyLJ($A23,$C$2,$C$3,shape_factors!R$2,$C$4,shape_factors!R$3)</f>
        <v>192.43712747917078</v>
      </c>
      <c r="S23" s="5">
        <f>EnergyLJ($A23,$C$2,$C$3,shape_factors!S$2,$C$4,shape_factors!S$3)</f>
        <v>62.06053034693015</v>
      </c>
      <c r="T23" s="5">
        <f>EnergyLJ($A23,$C$2,$C$3,shape_factors!T$2,$C$4,shape_factors!T$3)</f>
        <v>35.932241961537372</v>
      </c>
      <c r="U23" s="5">
        <f>EnergyLJ($A23,$C$2,$C$3,shape_factors!U$2,$C$4,shape_factors!U$3)</f>
        <v>188.39750034372128</v>
      </c>
    </row>
    <row r="24" spans="1:21" x14ac:dyDescent="0.25">
      <c r="A24">
        <v>5.4</v>
      </c>
      <c r="B24" s="5">
        <f>EnergyLJ($A24,$C$2,$C$3,shape_factors!B$2,$C$4,shape_factors!B$3)</f>
        <v>1157.9001489687389</v>
      </c>
      <c r="C24" s="5">
        <f>EnergyLJ($A24,$C$2,$C$3,shape_factors!C$2,$C$4,shape_factors!C$3)</f>
        <v>138.11088741725604</v>
      </c>
      <c r="D24" s="5">
        <f>EnergyLJ($A24,$C$2,$C$3,shape_factors!D$2,$C$4,shape_factors!D$3)</f>
        <v>1977.4900037654679</v>
      </c>
      <c r="E24" s="5">
        <f>EnergyLJ($A24,$C$2,$C$3,shape_factors!E$2,$C$4,shape_factors!E$3)</f>
        <v>329.31574684202582</v>
      </c>
      <c r="F24" s="5">
        <f>EnergyLJ($A24,$C$2,$C$3,shape_factors!F$2,$C$4,shape_factors!F$3)</f>
        <v>112.58386896734149</v>
      </c>
      <c r="G24" s="5">
        <f>EnergyLJ($A24,$C$2,$C$3,shape_factors!G$2,$C$4,shape_factors!G$3)</f>
        <v>170.15942315806117</v>
      </c>
      <c r="H24" s="5">
        <f>EnergyLJ($A24,$C$2,$C$3,shape_factors!H$2,$C$4,shape_factors!H$3)</f>
        <v>31286.231180656985</v>
      </c>
      <c r="I24" s="5">
        <f>EnergyLJ($A24,$C$2,$C$3,shape_factors!I$2,$C$4,shape_factors!I$3)</f>
        <v>471.38155414330788</v>
      </c>
      <c r="J24" s="5">
        <f>EnergyLJ($A24,$C$2,$C$3,shape_factors!J$2,$C$4,shape_factors!J$3)</f>
        <v>45.393858333028433</v>
      </c>
      <c r="K24" s="5">
        <f>EnergyLJ($A24,$C$2,$C$3,shape_factors!K$2,$C$4,shape_factors!K$3)</f>
        <v>58.992229678148291</v>
      </c>
      <c r="L24" s="5">
        <f>EnergyLJ($A24,$C$2,$C$3,shape_factors!L$2,$C$4,shape_factors!L$3)</f>
        <v>91.768982753715946</v>
      </c>
      <c r="M24" s="5">
        <f>EnergyLJ($A24,$C$2,$C$3,shape_factors!M$2,$C$4,shape_factors!M$3)</f>
        <v>48.189302413595428</v>
      </c>
      <c r="N24" s="5">
        <f>EnergyLJ($A24,$C$2,$C$3,shape_factors!N$2,$C$4,shape_factors!N$3)</f>
        <v>26.064582025690317</v>
      </c>
      <c r="O24" s="5">
        <f>EnergyLJ($A24,$C$2,$C$3,shape_factors!O$2,$C$4,shape_factors!O$3)</f>
        <v>22.404704489869172</v>
      </c>
      <c r="P24" s="5">
        <f>EnergyLJ($A24,$C$2,$C$3,shape_factors!P$2,$C$4,shape_factors!P$3)</f>
        <v>27.2635919356402</v>
      </c>
      <c r="Q24" s="5">
        <f>EnergyLJ($A24,$C$2,$C$3,shape_factors!Q$2,$C$4,shape_factors!Q$3)</f>
        <v>28.9433196955735</v>
      </c>
      <c r="R24" s="5">
        <f>EnergyLJ($A24,$C$2,$C$3,shape_factors!R$2,$C$4,shape_factors!R$3)</f>
        <v>117.06022004575857</v>
      </c>
      <c r="S24" s="5">
        <f>EnergyLJ($A24,$C$2,$C$3,shape_factors!S$2,$C$4,shape_factors!S$3)</f>
        <v>36.269502013974879</v>
      </c>
      <c r="T24" s="5">
        <f>EnergyLJ($A24,$C$2,$C$3,shape_factors!T$2,$C$4,shape_factors!T$3)</f>
        <v>20.313096725456106</v>
      </c>
      <c r="U24" s="5">
        <f>EnergyLJ($A24,$C$2,$C$3,shape_factors!U$2,$C$4,shape_factors!U$3)</f>
        <v>114.54329590219236</v>
      </c>
    </row>
    <row r="25" spans="1:21" x14ac:dyDescent="0.25">
      <c r="A25">
        <v>5.6</v>
      </c>
      <c r="B25" s="5">
        <f>EnergyLJ($A25,$C$2,$C$3,shape_factors!B$2,$C$4,shape_factors!B$3)</f>
        <v>736.32856156599189</v>
      </c>
      <c r="C25" s="5">
        <f>EnergyLJ($A25,$C$2,$C$3,shape_factors!C$2,$C$4,shape_factors!C$3)</f>
        <v>84.834632818234297</v>
      </c>
      <c r="D25" s="5">
        <f>EnergyLJ($A25,$C$2,$C$3,shape_factors!D$2,$C$4,shape_factors!D$3)</f>
        <v>1262.4828773267764</v>
      </c>
      <c r="E25" s="5">
        <f>EnergyLJ($A25,$C$2,$C$3,shape_factors!E$2,$C$4,shape_factors!E$3)</f>
        <v>206.22730750619732</v>
      </c>
      <c r="F25" s="5">
        <f>EnergyLJ($A25,$C$2,$C$3,shape_factors!F$2,$C$4,shape_factors!F$3)</f>
        <v>68.725863946628607</v>
      </c>
      <c r="G25" s="5">
        <f>EnergyLJ($A25,$C$2,$C$3,shape_factors!G$2,$C$4,shape_factors!G$3)</f>
        <v>105.10654269268301</v>
      </c>
      <c r="H25" s="5">
        <f>EnergyLJ($A25,$C$2,$C$3,shape_factors!H$2,$C$4,shape_factors!H$3)</f>
        <v>20160.705899815908</v>
      </c>
      <c r="I25" s="5">
        <f>EnergyLJ($A25,$C$2,$C$3,shape_factors!I$2,$C$4,shape_factors!I$3)</f>
        <v>296.82799773999267</v>
      </c>
      <c r="J25" s="5">
        <f>EnergyLJ($A25,$C$2,$C$3,shape_factors!J$2,$C$4,shape_factors!J$3)</f>
        <v>26.618350874413345</v>
      </c>
      <c r="K25" s="5">
        <f>EnergyLJ($A25,$C$2,$C$3,shape_factors!K$2,$C$4,shape_factors!K$3)</f>
        <v>35.08703457619378</v>
      </c>
      <c r="L25" s="5">
        <f>EnergyLJ($A25,$C$2,$C$3,shape_factors!L$2,$C$4,shape_factors!L$3)</f>
        <v>55.624573483926596</v>
      </c>
      <c r="M25" s="5">
        <f>EnergyLJ($A25,$C$2,$C$3,shape_factors!M$2,$C$4,shape_factors!M$3)</f>
        <v>28.355798011525884</v>
      </c>
      <c r="N25" s="5">
        <f>EnergyLJ($A25,$C$2,$C$3,shape_factors!N$2,$C$4,shape_factors!N$3)</f>
        <v>14.676617728342698</v>
      </c>
      <c r="O25" s="5">
        <f>EnergyLJ($A25,$C$2,$C$3,shape_factors!O$2,$C$4,shape_factors!O$3)</f>
        <v>12.435924682232345</v>
      </c>
      <c r="P25" s="5">
        <f>EnergyLJ($A25,$C$2,$C$3,shape_factors!P$2,$C$4,shape_factors!P$3)</f>
        <v>15.412537484155381</v>
      </c>
      <c r="Q25" s="5">
        <f>EnergyLJ($A25,$C$2,$C$3,shape_factors!Q$2,$C$4,shape_factors!Q$3)</f>
        <v>16.444867802396111</v>
      </c>
      <c r="R25" s="5">
        <f>EnergyLJ($A25,$C$2,$C$3,shape_factors!R$2,$C$4,shape_factors!R$3)</f>
        <v>71.547703270016115</v>
      </c>
      <c r="S25" s="5">
        <f>EnergyLJ($A25,$C$2,$C$3,shape_factors!S$2,$C$4,shape_factors!S$3)</f>
        <v>20.96316906833999</v>
      </c>
      <c r="T25" s="5">
        <f>EnergyLJ($A25,$C$2,$C$3,shape_factors!T$2,$C$4,shape_factors!T$3)</f>
        <v>11.159761556853587</v>
      </c>
      <c r="U25" s="5">
        <f>EnergyLJ($A25,$C$2,$C$3,shape_factors!U$2,$C$4,shape_factors!U$3)</f>
        <v>69.96089388350687</v>
      </c>
    </row>
    <row r="26" spans="1:21" x14ac:dyDescent="0.25">
      <c r="A26">
        <v>5.8</v>
      </c>
      <c r="B26" s="5">
        <f>EnergyLJ($A26,$C$2,$C$3,shape_factors!B$2,$C$4,shape_factors!B$3)</f>
        <v>473.7929302893769</v>
      </c>
      <c r="C26" s="5">
        <f>EnergyLJ($A26,$C$2,$C$3,shape_factors!C$2,$C$4,shape_factors!C$3)</f>
        <v>52.200711286852588</v>
      </c>
      <c r="D26" s="5">
        <f>EnergyLJ($A26,$C$2,$C$3,shape_factors!D$2,$C$4,shape_factors!D$3)</f>
        <v>816.30650141609351</v>
      </c>
      <c r="E26" s="5">
        <f>EnergyLJ($A26,$C$2,$C$3,shape_factors!E$2,$C$4,shape_factors!E$3)</f>
        <v>130.15348992447898</v>
      </c>
      <c r="F26" s="5">
        <f>EnergyLJ($A26,$C$2,$C$3,shape_factors!F$2,$C$4,shape_factors!F$3)</f>
        <v>41.934599214727847</v>
      </c>
      <c r="G26" s="5">
        <f>EnergyLJ($A26,$C$2,$C$3,shape_factors!G$2,$C$4,shape_factors!G$3)</f>
        <v>65.158366188415656</v>
      </c>
      <c r="H26" s="5">
        <f>EnergyLJ($A26,$C$2,$C$3,shape_factors!H$2,$C$4,shape_factors!H$3)</f>
        <v>13184.003593401221</v>
      </c>
      <c r="I26" s="5">
        <f>EnergyLJ($A26,$C$2,$C$3,shape_factors!I$2,$C$4,shape_factors!I$3)</f>
        <v>188.65702161209825</v>
      </c>
      <c r="J26" s="5">
        <f>EnergyLJ($A26,$C$2,$C$3,shape_factors!J$2,$C$4,shape_factors!J$3)</f>
        <v>15.334635413224275</v>
      </c>
      <c r="K26" s="5">
        <f>EnergyLJ($A26,$C$2,$C$3,shape_factors!K$2,$C$4,shape_factors!K$3)</f>
        <v>20.64128506050864</v>
      </c>
      <c r="L26" s="5">
        <f>EnergyLJ($A26,$C$2,$C$3,shape_factors!L$2,$C$4,shape_factors!L$3)</f>
        <v>33.612393092294205</v>
      </c>
      <c r="M26" s="5">
        <f>EnergyLJ($A26,$C$2,$C$3,shape_factors!M$2,$C$4,shape_factors!M$3)</f>
        <v>16.420523893097169</v>
      </c>
      <c r="N26" s="5">
        <f>EnergyLJ($A26,$C$2,$C$3,shape_factors!N$2,$C$4,shape_factors!N$3)</f>
        <v>7.9298734254812171</v>
      </c>
      <c r="O26" s="5">
        <f>EnergyLJ($A26,$C$2,$C$3,shape_factors!O$2,$C$4,shape_factors!O$3)</f>
        <v>6.5572221370134933</v>
      </c>
      <c r="P26" s="5">
        <f>EnergyLJ($A26,$C$2,$C$3,shape_factors!P$2,$C$4,shape_factors!P$3)</f>
        <v>8.3822294110048361</v>
      </c>
      <c r="Q26" s="5">
        <f>EnergyLJ($A26,$C$2,$C$3,shape_factors!Q$2,$C$4,shape_factors!Q$3)</f>
        <v>9.0179062330063928</v>
      </c>
      <c r="R26" s="5">
        <f>EnergyLJ($A26,$C$2,$C$3,shape_factors!R$2,$C$4,shape_factors!R$3)</f>
        <v>43.730583850896082</v>
      </c>
      <c r="S26" s="5">
        <f>EnergyLJ($A26,$C$2,$C$3,shape_factors!S$2,$C$4,shape_factors!S$3)</f>
        <v>11.813141452475374</v>
      </c>
      <c r="T26" s="5">
        <f>EnergyLJ($A26,$C$2,$C$3,shape_factors!T$2,$C$4,shape_factors!T$3)</f>
        <v>5.7790756362298863</v>
      </c>
      <c r="U26" s="5">
        <f>EnergyLJ($A26,$C$2,$C$3,shape_factors!U$2,$C$4,shape_factors!U$3)</f>
        <v>42.720508306282149</v>
      </c>
    </row>
    <row r="27" spans="1:21" x14ac:dyDescent="0.25">
      <c r="A27">
        <v>6</v>
      </c>
      <c r="B27" s="5">
        <f>EnergyLJ($A27,$C$2,$C$3,shape_factors!B$2,$C$4,shape_factors!B$3)</f>
        <v>307.93640142922794</v>
      </c>
      <c r="C27" s="5">
        <f>EnergyLJ($A27,$C$2,$C$3,shape_factors!C$2,$C$4,shape_factors!C$3)</f>
        <v>32.001854429872495</v>
      </c>
      <c r="D27" s="5">
        <f>EnergyLJ($A27,$C$2,$C$3,shape_factors!D$2,$C$4,shape_factors!D$3)</f>
        <v>533.74261355485692</v>
      </c>
      <c r="E27" s="5">
        <f>EnergyLJ($A27,$C$2,$C$3,shape_factors!E$2,$C$4,shape_factors!E$3)</f>
        <v>82.539135938200218</v>
      </c>
      <c r="F27" s="5">
        <f>EnergyLJ($A27,$C$2,$C$3,shape_factors!F$2,$C$4,shape_factors!F$3)</f>
        <v>25.40948753451891</v>
      </c>
      <c r="G27" s="5">
        <f>EnergyLJ($A27,$C$2,$C$3,shape_factors!G$2,$C$4,shape_factors!G$3)</f>
        <v>40.353851812088806</v>
      </c>
      <c r="H27" s="5">
        <f>EnergyLJ($A27,$C$2,$C$3,shape_factors!H$2,$C$4,shape_factors!H$3)</f>
        <v>8739.4665942739084</v>
      </c>
      <c r="I27" s="5">
        <f>EnergyLJ($A27,$C$2,$C$3,shape_factors!I$2,$C$4,shape_factors!I$3)</f>
        <v>120.72924415272631</v>
      </c>
      <c r="J27" s="5">
        <f>EnergyLJ($A27,$C$2,$C$3,shape_factors!J$2,$C$4,shape_factors!J$3)</f>
        <v>8.5199120850078121</v>
      </c>
      <c r="K27" s="5">
        <f>EnergyLJ($A27,$C$2,$C$3,shape_factors!K$2,$C$4,shape_factors!K$3)</f>
        <v>11.853895063355449</v>
      </c>
      <c r="L27" s="5">
        <f>EnergyLJ($A27,$C$2,$C$3,shape_factors!L$2,$C$4,shape_factors!L$3)</f>
        <v>20.087587743778105</v>
      </c>
      <c r="M27" s="5">
        <f>EnergyLJ($A27,$C$2,$C$3,shape_factors!M$2,$C$4,shape_factors!M$3)</f>
        <v>9.1997922488503114</v>
      </c>
      <c r="N27" s="5">
        <f>EnergyLJ($A27,$C$2,$C$3,shape_factors!N$2,$C$4,shape_factors!N$3)</f>
        <v>3.9325231326289685</v>
      </c>
      <c r="O27" s="5">
        <f>EnergyLJ($A27,$C$2,$C$3,shape_factors!O$2,$C$4,shape_factors!O$3)</f>
        <v>3.0961595432661593</v>
      </c>
      <c r="P27" s="5">
        <f>EnergyLJ($A27,$C$2,$C$3,shape_factors!P$2,$C$4,shape_factors!P$3)</f>
        <v>4.2094431571458486</v>
      </c>
      <c r="Q27" s="5">
        <f>EnergyLJ($A27,$C$2,$C$3,shape_factors!Q$2,$C$4,shape_factors!Q$3)</f>
        <v>4.5995355669693989</v>
      </c>
      <c r="R27" s="5">
        <f>EnergyLJ($A27,$C$2,$C$3,shape_factors!R$2,$C$4,shape_factors!R$3)</f>
        <v>26.560843455332147</v>
      </c>
      <c r="S27" s="5">
        <f>EnergyLJ($A27,$C$2,$C$3,shape_factors!S$2,$C$4,shape_factors!S$3)</f>
        <v>6.3258382037730394</v>
      </c>
      <c r="T27" s="5">
        <f>EnergyLJ($A27,$C$2,$C$3,shape_factors!T$2,$C$4,shape_factors!T$3)</f>
        <v>2.6251092937938361</v>
      </c>
      <c r="U27" s="5">
        <f>EnergyLJ($A27,$C$2,$C$3,shape_factors!U$2,$C$4,shape_factors!U$3)</f>
        <v>25.913200581185187</v>
      </c>
    </row>
    <row r="28" spans="1:21" x14ac:dyDescent="0.25">
      <c r="A28">
        <v>6.2</v>
      </c>
      <c r="B28" s="5">
        <f>EnergyLJ($A28,$C$2,$C$3,shape_factors!B$2,$C$4,shape_factors!B$3)</f>
        <v>201.79019605476518</v>
      </c>
      <c r="C28" s="5">
        <f>EnergyLJ($A28,$C$2,$C$3,shape_factors!C$2,$C$4,shape_factors!C$3)</f>
        <v>19.39877215777501</v>
      </c>
      <c r="D28" s="5">
        <f>EnergyLJ($A28,$C$2,$C$3,shape_factors!D$2,$C$4,shape_factors!D$3)</f>
        <v>352.3678123482515</v>
      </c>
      <c r="E28" s="5">
        <f>EnergyLJ($A28,$C$2,$C$3,shape_factors!E$2,$C$4,shape_factors!E$3)</f>
        <v>52.41187160118546</v>
      </c>
      <c r="F28" s="5">
        <f>EnergyLJ($A28,$C$2,$C$3,shape_factors!F$2,$C$4,shape_factors!F$3)</f>
        <v>15.144102455197407</v>
      </c>
      <c r="G28" s="5">
        <f>EnergyLJ($A28,$C$2,$C$3,shape_factors!G$2,$C$4,shape_factors!G$3)</f>
        <v>24.814927862042726</v>
      </c>
      <c r="H28" s="5">
        <f>EnergyLJ($A28,$C$2,$C$3,shape_factors!H$2,$C$4,shape_factors!H$3)</f>
        <v>5866.3007668219761</v>
      </c>
      <c r="I28" s="5">
        <f>EnergyLJ($A28,$C$2,$C$3,shape_factors!I$2,$C$4,shape_factors!I$3)</f>
        <v>77.573635090051141</v>
      </c>
      <c r="J28" s="5">
        <f>EnergyLJ($A28,$C$2,$C$3,shape_factors!J$2,$C$4,shape_factors!J$3)</f>
        <v>4.4019675232023499</v>
      </c>
      <c r="K28" s="5">
        <f>EnergyLJ($A28,$C$2,$C$3,shape_factors!K$2,$C$4,shape_factors!K$3)</f>
        <v>6.4928181936124716</v>
      </c>
      <c r="L28" s="5">
        <f>EnergyLJ($A28,$C$2,$C$3,shape_factors!L$2,$C$4,shape_factors!L$3)</f>
        <v>11.72772132846746</v>
      </c>
      <c r="M28" s="5">
        <f>EnergyLJ($A28,$C$2,$C$3,shape_factors!M$2,$C$4,shape_factors!M$3)</f>
        <v>4.8263615873139027</v>
      </c>
      <c r="N28" s="5">
        <f>EnergyLJ($A28,$C$2,$C$3,shape_factors!N$2,$C$4,shape_factors!N$3)</f>
        <v>1.5797655339350072</v>
      </c>
      <c r="O28" s="5">
        <f>EnergyLJ($A28,$C$2,$C$3,shape_factors!O$2,$C$4,shape_factors!O$3)</f>
        <v>1.0772355666345554</v>
      </c>
      <c r="P28" s="5">
        <f>EnergyLJ($A28,$C$2,$C$3,shape_factors!P$2,$C$4,shape_factors!P$3)</f>
        <v>1.7472829160302374</v>
      </c>
      <c r="Q28" s="5">
        <f>EnergyLJ($A28,$C$2,$C$3,shape_factors!Q$2,$C$4,shape_factors!Q$3)</f>
        <v>1.9840837772903923</v>
      </c>
      <c r="R28" s="5">
        <f>EnergyLJ($A28,$C$2,$C$3,shape_factors!R$2,$C$4,shape_factors!R$3)</f>
        <v>15.885582865556337</v>
      </c>
      <c r="S28" s="5">
        <f>EnergyLJ($A28,$C$2,$C$3,shape_factors!S$2,$C$4,shape_factors!S$3)</f>
        <v>3.0414967549770329</v>
      </c>
      <c r="T28" s="5">
        <f>EnergyLJ($A28,$C$2,$C$3,shape_factors!T$2,$C$4,shape_factors!T$3)</f>
        <v>0.79688552376884869</v>
      </c>
      <c r="U28" s="5">
        <f>EnergyLJ($A28,$C$2,$C$3,shape_factors!U$2,$C$4,shape_factors!U$3)</f>
        <v>15.468404541035996</v>
      </c>
    </row>
    <row r="29" spans="1:21" x14ac:dyDescent="0.25">
      <c r="A29">
        <v>6.4</v>
      </c>
      <c r="B29" s="5">
        <f>EnergyLJ($A29,$C$2,$C$3,shape_factors!B$2,$C$4,shape_factors!B$3)</f>
        <v>133.06330005369728</v>
      </c>
      <c r="C29" s="5">
        <f>EnergyLJ($A29,$C$2,$C$3,shape_factors!C$2,$C$4,shape_factors!C$3)</f>
        <v>11.492567493817722</v>
      </c>
      <c r="D29" s="5">
        <f>EnergyLJ($A29,$C$2,$C$3,shape_factors!D$2,$C$4,shape_factors!D$3)</f>
        <v>234.51116108175142</v>
      </c>
      <c r="E29" s="5">
        <f>EnergyLJ($A29,$C$2,$C$3,shape_factors!E$2,$C$4,shape_factors!E$3)</f>
        <v>33.176001328842055</v>
      </c>
      <c r="F29" s="5">
        <f>EnergyLJ($A29,$C$2,$C$3,shape_factors!F$2,$C$4,shape_factors!F$3)</f>
        <v>8.7409466381982543</v>
      </c>
      <c r="G29" s="5">
        <f>EnergyLJ($A29,$C$2,$C$3,shape_factors!G$2,$C$4,shape_factors!G$3)</f>
        <v>15.017033847958576</v>
      </c>
      <c r="H29" s="5">
        <f>EnergyLJ($A29,$C$2,$C$3,shape_factors!H$2,$C$4,shape_factors!H$3)</f>
        <v>3983.4893714771565</v>
      </c>
      <c r="I29" s="5">
        <f>EnergyLJ($A29,$C$2,$C$3,shape_factors!I$2,$C$4,shape_factors!I$3)</f>
        <v>49.880304475200894</v>
      </c>
      <c r="J29" s="5">
        <f>EnergyLJ($A29,$C$2,$C$3,shape_factors!J$2,$C$4,shape_factors!J$3)</f>
        <v>1.9265207662964798</v>
      </c>
      <c r="K29" s="5">
        <f>EnergyLJ($A29,$C$2,$C$3,shape_factors!K$2,$C$4,shape_factors!K$3)</f>
        <v>3.2276461415650712</v>
      </c>
      <c r="L29" s="5">
        <f>EnergyLJ($A29,$C$2,$C$3,shape_factors!L$2,$C$4,shape_factors!L$3)</f>
        <v>6.5468605168646139</v>
      </c>
      <c r="M29" s="5">
        <f>EnergyLJ($A29,$C$2,$C$3,shape_factors!M$2,$C$4,shape_factors!M$3)</f>
        <v>2.1889079413257102</v>
      </c>
      <c r="N29" s="5">
        <f>EnergyLJ($A29,$C$2,$C$3,shape_factors!N$2,$C$4,shape_factors!N$3)</f>
        <v>0.21752035064194039</v>
      </c>
      <c r="O29" s="5">
        <f>EnergyLJ($A29,$C$2,$C$3,shape_factors!O$2,$C$4,shape_factors!O$3)</f>
        <v>-7.6217884313636464E-2</v>
      </c>
      <c r="P29" s="5">
        <f>EnergyLJ($A29,$C$2,$C$3,shape_factors!P$2,$C$4,shape_factors!P$3)</f>
        <v>0.31645571624805618</v>
      </c>
      <c r="Q29" s="5">
        <f>EnergyLJ($A29,$C$2,$C$3,shape_factors!Q$2,$C$4,shape_factors!Q$3)</f>
        <v>0.45704573480191824</v>
      </c>
      <c r="R29" s="5">
        <f>EnergyLJ($A29,$C$2,$C$3,shape_factors!R$2,$C$4,shape_factors!R$3)</f>
        <v>9.2191437555617259</v>
      </c>
      <c r="S29" s="5">
        <f>EnergyLJ($A29,$C$2,$C$3,shape_factors!S$2,$C$4,shape_factors!S$3)</f>
        <v>1.093297734146498</v>
      </c>
      <c r="T29" s="5">
        <f>EnergyLJ($A29,$C$2,$C$3,shape_factors!T$2,$C$4,shape_factors!T$3)</f>
        <v>-0.237671104317522</v>
      </c>
      <c r="U29" s="5">
        <f>EnergyLJ($A29,$C$2,$C$3,shape_factors!U$2,$C$4,shape_factors!U$3)</f>
        <v>8.9500186319361177</v>
      </c>
    </row>
    <row r="30" spans="1:21" x14ac:dyDescent="0.25">
      <c r="A30">
        <v>6.6</v>
      </c>
      <c r="B30" s="5">
        <f>EnergyLJ($A30,$C$2,$C$3,shape_factors!B$2,$C$4,shape_factors!B$3)</f>
        <v>88.102532579842645</v>
      </c>
      <c r="C30" s="5">
        <f>EnergyLJ($A30,$C$2,$C$3,shape_factors!C$2,$C$4,shape_factors!C$3)</f>
        <v>6.5215366667963721</v>
      </c>
      <c r="D30" s="5">
        <f>EnergyLJ($A30,$C$2,$C$3,shape_factors!D$2,$C$4,shape_factors!D$3)</f>
        <v>157.07633057507033</v>
      </c>
      <c r="E30" s="5">
        <f>EnergyLJ($A30,$C$2,$C$3,shape_factors!E$2,$C$4,shape_factors!E$3)</f>
        <v>20.806459196240837</v>
      </c>
      <c r="F30" s="5">
        <f>EnergyLJ($A30,$C$2,$C$3,shape_factors!F$2,$C$4,shape_factors!F$3)</f>
        <v>4.7448463185154495</v>
      </c>
      <c r="G30" s="5">
        <f>EnergyLJ($A30,$C$2,$C$3,shape_factors!G$2,$C$4,shape_factors!G$3)</f>
        <v>8.8157506318640362</v>
      </c>
      <c r="H30" s="5">
        <f>EnergyLJ($A30,$C$2,$C$3,shape_factors!H$2,$C$4,shape_factors!H$3)</f>
        <v>2733.9325977042527</v>
      </c>
      <c r="I30" s="5">
        <f>EnergyLJ($A30,$C$2,$C$3,shape_factors!I$2,$C$4,shape_factors!I$3)</f>
        <v>31.960552321796918</v>
      </c>
      <c r="J30" s="5">
        <f>EnergyLJ($A30,$C$2,$C$3,shape_factors!J$2,$C$4,shape_factors!J$3)</f>
        <v>0.4582431548435637</v>
      </c>
      <c r="K30" s="5">
        <f>EnergyLJ($A30,$C$2,$C$3,shape_factors!K$2,$C$4,shape_factors!K$3)</f>
        <v>1.254751110029249</v>
      </c>
      <c r="L30" s="5">
        <f>EnergyLJ($A30,$C$2,$C$3,shape_factors!L$2,$C$4,shape_factors!L$3)</f>
        <v>3.3412867534612256</v>
      </c>
      <c r="M30" s="5">
        <f>EnergyLJ($A30,$C$2,$C$3,shape_factors!M$2,$C$4,shape_factors!M$3)</f>
        <v>0.61735030866345331</v>
      </c>
      <c r="N30" s="5">
        <f>EnergyLJ($A30,$C$2,$C$3,shape_factors!N$2,$C$4,shape_factors!N$3)</f>
        <v>-0.5460410552310635</v>
      </c>
      <c r="O30" s="5">
        <f>EnergyLJ($A30,$C$2,$C$3,shape_factors!O$2,$C$4,shape_factors!O$3)</f>
        <v>-0.70901627061243866</v>
      </c>
      <c r="P30" s="5">
        <f>EnergyLJ($A30,$C$2,$C$3,shape_factors!P$2,$C$4,shape_factors!P$3)</f>
        <v>-0.49018678551706868</v>
      </c>
      <c r="Q30" s="5">
        <f>EnergyLJ($A30,$C$2,$C$3,shape_factors!Q$2,$C$4,shape_factors!Q$3)</f>
        <v>-0.41012823527994979</v>
      </c>
      <c r="R30" s="5">
        <f>EnergyLJ($A30,$C$2,$C$3,shape_factors!R$2,$C$4,shape_factors!R$3)</f>
        <v>5.0524686607761762</v>
      </c>
      <c r="S30" s="5">
        <f>EnergyLJ($A30,$C$2,$C$3,shape_factors!S$2,$C$4,shape_factors!S$3)</f>
        <v>-3.9949510360859163E-2</v>
      </c>
      <c r="T30" s="5">
        <f>EnergyLJ($A30,$C$2,$C$3,shape_factors!T$2,$C$4,shape_factors!T$3)</f>
        <v>-0.79631298311357823</v>
      </c>
      <c r="U30" s="5">
        <f>EnergyLJ($A30,$C$2,$C$3,shape_factors!U$2,$C$4,shape_factors!U$3)</f>
        <v>4.8792750912286316</v>
      </c>
    </row>
    <row r="31" spans="1:21" x14ac:dyDescent="0.25">
      <c r="A31">
        <v>6.8</v>
      </c>
      <c r="B31" s="5">
        <f>EnergyLJ($A31,$C$2,$C$3,shape_factors!B$2,$C$4,shape_factors!B$3)</f>
        <v>58.422830051080354</v>
      </c>
      <c r="C31" s="5">
        <f>EnergyLJ($A31,$C$2,$C$3,shape_factors!C$2,$C$4,shape_factors!C$3)</f>
        <v>3.4010300453421389</v>
      </c>
      <c r="D31" s="5">
        <f>EnergyLJ($A31,$C$2,$C$3,shape_factors!D$2,$C$4,shape_factors!D$3)</f>
        <v>105.69269350411179</v>
      </c>
      <c r="E31" s="5">
        <f>EnergyLJ($A31,$C$2,$C$3,shape_factors!E$2,$C$4,shape_factors!E$3)</f>
        <v>12.812654440404115</v>
      </c>
      <c r="F31" s="5">
        <f>EnergyLJ($A31,$C$2,$C$3,shape_factors!F$2,$C$4,shape_factors!F$3)</f>
        <v>2.2612278943673196</v>
      </c>
      <c r="G31" s="5">
        <f>EnergyLJ($A31,$C$2,$C$3,shape_factors!G$2,$C$4,shape_factors!G$3)</f>
        <v>4.8889509977941801</v>
      </c>
      <c r="H31" s="5">
        <f>EnergyLJ($A31,$C$2,$C$3,shape_factors!H$2,$C$4,shape_factors!H$3)</f>
        <v>1894.7990017023026</v>
      </c>
      <c r="I31" s="5">
        <f>EnergyLJ($A31,$C$2,$C$3,shape_factors!I$2,$C$4,shape_factors!I$3)</f>
        <v>20.289005203566308</v>
      </c>
      <c r="J31" s="5">
        <f>EnergyLJ($A31,$C$2,$C$3,shape_factors!J$2,$C$4,shape_factors!J$3)</f>
        <v>-0.39004084757085045</v>
      </c>
      <c r="K31" s="5">
        <f>EnergyLJ($A31,$C$2,$C$3,shape_factors!K$2,$C$4,shape_factors!K$3)</f>
        <v>8.2973681440069044E-2</v>
      </c>
      <c r="L31" s="5">
        <f>EnergyLJ($A31,$C$2,$C$3,shape_factors!L$2,$C$4,shape_factors!L$3)</f>
        <v>1.3722377162074351</v>
      </c>
      <c r="M31" s="5">
        <f>EnergyLJ($A31,$C$2,$C$3,shape_factors!M$2,$C$4,shape_factors!M$3)</f>
        <v>-0.29694734539588069</v>
      </c>
      <c r="N31" s="5">
        <f>EnergyLJ($A31,$C$2,$C$3,shape_factors!N$2,$C$4,shape_factors!N$3)</f>
        <v>-0.94795907662271084</v>
      </c>
      <c r="O31" s="5">
        <f>EnergyLJ($A31,$C$2,$C$3,shape_factors!O$2,$C$4,shape_factors!O$3)</f>
        <v>-1.0292780840122073</v>
      </c>
      <c r="P31" s="5">
        <f>EnergyLJ($A31,$C$2,$C$3,shape_factors!P$2,$C$4,shape_factors!P$3)</f>
        <v>-0.91911524893369978</v>
      </c>
      <c r="Q31" s="5">
        <f>EnergyLJ($A31,$C$2,$C$3,shape_factors!Q$2,$C$4,shape_factors!Q$3)</f>
        <v>-0.87708696701877542</v>
      </c>
      <c r="R31" s="5">
        <f>EnergyLJ($A31,$C$2,$C$3,shape_factors!R$2,$C$4,shape_factors!R$3)</f>
        <v>2.4575811449367668</v>
      </c>
      <c r="S31" s="5">
        <f>EnergyLJ($A31,$C$2,$C$3,shape_factors!S$2,$C$4,shape_factors!S$3)</f>
        <v>-0.67498853008425197</v>
      </c>
      <c r="T31" s="5">
        <f>EnergyLJ($A31,$C$2,$C$3,shape_factors!T$2,$C$4,shape_factors!T$3)</f>
        <v>-1.0705234733583271</v>
      </c>
      <c r="U31" s="5">
        <f>EnergyLJ($A31,$C$2,$C$3,shape_factors!U$2,$C$4,shape_factors!U$3)</f>
        <v>2.3469748209993484</v>
      </c>
    </row>
    <row r="32" spans="1:21" x14ac:dyDescent="0.25">
      <c r="A32">
        <v>7</v>
      </c>
      <c r="B32" s="5">
        <f>EnergyLJ($A32,$C$2,$C$3,shape_factors!B$2,$C$4,shape_factors!B$3)</f>
        <v>38.679317888623928</v>
      </c>
      <c r="C32" s="5">
        <f>EnergyLJ($A32,$C$2,$C$3,shape_factors!C$2,$C$4,shape_factors!C$3)</f>
        <v>1.4553907060895663</v>
      </c>
      <c r="D32" s="5">
        <f>EnergyLJ($A32,$C$2,$C$3,shape_factors!D$2,$C$4,shape_factors!D$3)</f>
        <v>71.295393276908783</v>
      </c>
      <c r="E32" s="5">
        <f>EnergyLJ($A32,$C$2,$C$3,shape_factors!E$2,$C$4,shape_factors!E$3)</f>
        <v>7.6338068062681028</v>
      </c>
      <c r="F32" s="5">
        <f>EnergyLJ($A32,$C$2,$C$3,shape_factors!F$2,$C$4,shape_factors!F$3)</f>
        <v>0.73385141971338852</v>
      </c>
      <c r="G32" s="5">
        <f>EnergyLJ($A32,$C$2,$C$3,shape_factors!G$2,$C$4,shape_factors!G$3)</f>
        <v>2.4116615383144495</v>
      </c>
      <c r="H32" s="5">
        <f>EnergyLJ($A32,$C$2,$C$3,shape_factors!H$2,$C$4,shape_factors!H$3)</f>
        <v>1325.0515830118179</v>
      </c>
      <c r="I32" s="5">
        <f>EnergyLJ($A32,$C$2,$C$3,shape_factors!I$2,$C$4,shape_factors!I$3)</f>
        <v>12.652401903423895</v>
      </c>
      <c r="J32" s="5">
        <f>EnergyLJ($A32,$C$2,$C$3,shape_factors!J$2,$C$4,shape_factors!J$3)</f>
        <v>-0.85652326974305049</v>
      </c>
      <c r="K32" s="5">
        <f>EnergyLJ($A32,$C$2,$C$3,shape_factors!K$2,$C$4,shape_factors!K$3)</f>
        <v>-0.59092640611439162</v>
      </c>
      <c r="L32" s="5">
        <f>EnergyLJ($A32,$C$2,$C$3,shape_factors!L$2,$C$4,shape_factors!L$3)</f>
        <v>0.1812787863332273</v>
      </c>
      <c r="M32" s="5">
        <f>EnergyLJ($A32,$C$2,$C$3,shape_factors!M$2,$C$4,shape_factors!M$3)</f>
        <v>-0.80559345378207903</v>
      </c>
      <c r="N32" s="5">
        <f>EnergyLJ($A32,$C$2,$C$3,shape_factors!N$2,$C$4,shape_factors!N$3)</f>
        <v>-1.1327401456043302</v>
      </c>
      <c r="O32" s="5">
        <f>EnergyLJ($A32,$C$2,$C$3,shape_factors!O$2,$C$4,shape_factors!O$3)</f>
        <v>-1.1635110021237838</v>
      </c>
      <c r="P32" s="5">
        <f>EnergyLJ($A32,$C$2,$C$3,shape_factors!P$2,$C$4,shape_factors!P$3)</f>
        <v>-1.1207091157511897</v>
      </c>
      <c r="Q32" s="5">
        <f>EnergyLJ($A32,$C$2,$C$3,shape_factors!Q$2,$C$4,shape_factors!Q$3)</f>
        <v>-1.1024202526525451</v>
      </c>
      <c r="R32" s="5">
        <f>EnergyLJ($A32,$C$2,$C$3,shape_factors!R$2,$C$4,shape_factors!R$3)</f>
        <v>0.85726299069030032</v>
      </c>
      <c r="S32" s="5">
        <f>EnergyLJ($A32,$C$2,$C$3,shape_factors!S$2,$C$4,shape_factors!S$3)</f>
        <v>-1.0060179302202186</v>
      </c>
      <c r="T32" s="5">
        <f>EnergyLJ($A32,$C$2,$C$3,shape_factors!T$2,$C$4,shape_factors!T$3)</f>
        <v>-1.1764681359229339</v>
      </c>
      <c r="U32" s="5">
        <f>EnergyLJ($A32,$C$2,$C$3,shape_factors!U$2,$C$4,shape_factors!U$3)</f>
        <v>0.78769292085515152</v>
      </c>
    </row>
    <row r="33" spans="1:21" x14ac:dyDescent="0.25">
      <c r="A33">
        <v>7.2</v>
      </c>
      <c r="B33" s="5">
        <f>EnergyLJ($A33,$C$2,$C$3,shape_factors!B$2,$C$4,shape_factors!B$3)</f>
        <v>25.462774370742501</v>
      </c>
      <c r="C33" s="5">
        <f>EnergyLJ($A33,$C$2,$C$3,shape_factors!C$2,$C$4,shape_factors!C$3)</f>
        <v>0.25934160177155174</v>
      </c>
      <c r="D33" s="5">
        <f>EnergyLJ($A33,$C$2,$C$3,shape_factors!D$2,$C$4,shape_factors!D$3)</f>
        <v>48.092985314405752</v>
      </c>
      <c r="E33" s="5">
        <f>EnergyLJ($A33,$C$2,$C$3,shape_factors!E$2,$C$4,shape_factors!E$3)</f>
        <v>4.2804404623253314</v>
      </c>
      <c r="F33" s="5">
        <f>EnergyLJ($A33,$C$2,$C$3,shape_factors!F$2,$C$4,shape_factors!F$3)</f>
        <v>-0.18662652568640775</v>
      </c>
      <c r="G33" s="5">
        <f>EnergyLJ($A33,$C$2,$C$3,shape_factors!G$2,$C$4,shape_factors!G$3)</f>
        <v>0.86356979958453084</v>
      </c>
      <c r="H33" s="5">
        <f>EnergyLJ($A33,$C$2,$C$3,shape_factors!H$2,$C$4,shape_factors!H$3)</f>
        <v>934.22570261551607</v>
      </c>
      <c r="I33" s="5">
        <f>EnergyLJ($A33,$C$2,$C$3,shape_factors!I$2,$C$4,shape_factors!I$3)</f>
        <v>7.6445906850510932</v>
      </c>
      <c r="J33" s="5">
        <f>EnergyLJ($A33,$C$2,$C$3,shape_factors!J$2,$C$4,shape_factors!J$3)</f>
        <v>-1.0888594923146697</v>
      </c>
      <c r="K33" s="5">
        <f>EnergyLJ($A33,$C$2,$C$3,shape_factors!K$2,$C$4,shape_factors!K$3)</f>
        <v>-0.9557555835735051</v>
      </c>
      <c r="L33" s="5">
        <f>EnergyLJ($A33,$C$2,$C$3,shape_factors!L$2,$C$4,shape_factors!L$3)</f>
        <v>-0.51880561964655925</v>
      </c>
      <c r="M33" s="5">
        <f>EnergyLJ($A33,$C$2,$C$3,shape_factors!M$2,$C$4,shape_factors!M$3)</f>
        <v>-1.0647245520763011</v>
      </c>
      <c r="N33" s="5">
        <f>EnergyLJ($A33,$C$2,$C$3,shape_factors!N$2,$C$4,shape_factors!N$3)</f>
        <v>-1.1889480575233358</v>
      </c>
      <c r="O33" s="5">
        <f>EnergyLJ($A33,$C$2,$C$3,shape_factors!O$2,$C$4,shape_factors!O$3)</f>
        <v>-1.1889631627589539</v>
      </c>
      <c r="P33" s="5">
        <f>EnergyLJ($A33,$C$2,$C$3,shape_factors!P$2,$C$4,shape_factors!P$3)</f>
        <v>-1.1872277884246873</v>
      </c>
      <c r="Q33" s="5">
        <f>EnergyLJ($A33,$C$2,$C$3,shape_factors!Q$2,$C$4,shape_factors!Q$3)</f>
        <v>-1.1835563148501629</v>
      </c>
      <c r="R33" s="5">
        <f>EnergyLJ($A33,$C$2,$C$3,shape_factors!R$2,$C$4,shape_factors!R$3)</f>
        <v>-0.1111631285693281</v>
      </c>
      <c r="S33" s="5">
        <f>EnergyLJ($A33,$C$2,$C$3,shape_factors!S$2,$C$4,shape_factors!S$3)</f>
        <v>-1.1529117389680343</v>
      </c>
      <c r="T33" s="5">
        <f>EnergyLJ($A33,$C$2,$C$3,shape_factors!T$2,$C$4,shape_factors!T$3)</f>
        <v>-1.1849009381812012</v>
      </c>
      <c r="U33" s="5">
        <f>EnergyLJ($A33,$C$2,$C$3,shape_factors!U$2,$C$4,shape_factors!U$3)</f>
        <v>-0.15375171957641812</v>
      </c>
    </row>
    <row r="34" spans="1:21" x14ac:dyDescent="0.25">
      <c r="A34">
        <v>7.4</v>
      </c>
      <c r="B34" s="5">
        <f>EnergyLJ($A34,$C$2,$C$3,shape_factors!B$2,$C$4,shape_factors!B$3)</f>
        <v>16.573276396718825</v>
      </c>
      <c r="C34" s="5">
        <f>EnergyLJ($A34,$C$2,$C$3,shape_factors!C$2,$C$4,shape_factors!C$3)</f>
        <v>-0.45723185635176661</v>
      </c>
      <c r="D34" s="5">
        <f>EnergyLJ($A34,$C$2,$C$3,shape_factors!D$2,$C$4,shape_factors!D$3)</f>
        <v>32.341181916379554</v>
      </c>
      <c r="E34" s="5">
        <f>EnergyLJ($A34,$C$2,$C$3,shape_factors!E$2,$C$4,shape_factors!E$3)</f>
        <v>2.118656136347365</v>
      </c>
      <c r="F34" s="5">
        <f>EnergyLJ($A34,$C$2,$C$3,shape_factors!F$2,$C$4,shape_factors!F$3)</f>
        <v>-0.72150068196474337</v>
      </c>
      <c r="G34" s="5">
        <f>EnergyLJ($A34,$C$2,$C$3,shape_factors!G$2,$C$4,shape_factors!G$3)</f>
        <v>-8.6607810294304144E-2</v>
      </c>
      <c r="H34" s="5">
        <f>EnergyLJ($A34,$C$2,$C$3,shape_factors!H$2,$C$4,shape_factors!H$3)</f>
        <v>663.56368366016852</v>
      </c>
      <c r="I34" s="5">
        <f>EnergyLJ($A34,$C$2,$C$3,shape_factors!I$2,$C$4,shape_factors!I$3)</f>
        <v>4.3624246079947104</v>
      </c>
      <c r="J34" s="5">
        <f>EnergyLJ($A34,$C$2,$C$3,shape_factors!J$2,$C$4,shape_factors!J$3)</f>
        <v>-1.1790905830625844</v>
      </c>
      <c r="K34" s="5">
        <f>EnergyLJ($A34,$C$2,$C$3,shape_factors!K$2,$C$4,shape_factors!K$3)</f>
        <v>-1.1298516139351029</v>
      </c>
      <c r="L34" s="5">
        <f>EnergyLJ($A34,$C$2,$C$3,shape_factors!L$2,$C$4,shape_factors!L$3)</f>
        <v>-0.90941485447222259</v>
      </c>
      <c r="M34" s="5">
        <f>EnergyLJ($A34,$C$2,$C$3,shape_factors!M$2,$C$4,shape_factors!M$3)</f>
        <v>-1.1717965348925905</v>
      </c>
      <c r="N34" s="5">
        <f>EnergyLJ($A34,$C$2,$C$3,shape_factors!N$2,$C$4,shape_factors!N$3)</f>
        <v>-1.1709972181923725</v>
      </c>
      <c r="O34" s="5">
        <f>EnergyLJ($A34,$C$2,$C$3,shape_factors!O$2,$C$4,shape_factors!O$3)</f>
        <v>-1.1528720105940695</v>
      </c>
      <c r="P34" s="5">
        <f>EnergyLJ($A34,$C$2,$C$3,shape_factors!P$2,$C$4,shape_factors!P$3)</f>
        <v>-1.1754321482740313</v>
      </c>
      <c r="Q34" s="5">
        <f>EnergyLJ($A34,$C$2,$C$3,shape_factors!Q$2,$C$4,shape_factors!Q$3)</f>
        <v>-1.1805397771652271</v>
      </c>
      <c r="R34" s="5">
        <f>EnergyLJ($A34,$C$2,$C$3,shape_factors!R$2,$C$4,shape_factors!R$3)</f>
        <v>-0.67756048422583115</v>
      </c>
      <c r="S34" s="5">
        <f>EnergyLJ($A34,$C$2,$C$3,shape_factors!S$2,$C$4,shape_factors!S$3)</f>
        <v>-1.1899960854574638</v>
      </c>
      <c r="T34" s="5">
        <f>EnergyLJ($A34,$C$2,$C$3,shape_factors!T$2,$C$4,shape_factors!T$3)</f>
        <v>-1.1389464101807474</v>
      </c>
      <c r="U34" s="5">
        <f>EnergyLJ($A34,$C$2,$C$3,shape_factors!U$2,$C$4,shape_factors!U$3)</f>
        <v>-0.70240496960625798</v>
      </c>
    </row>
    <row r="35" spans="1:21" x14ac:dyDescent="0.25">
      <c r="A35">
        <v>7.6</v>
      </c>
      <c r="B35" s="5">
        <f>EnergyLJ($A35,$C$2,$C$3,shape_factors!B$2,$C$4,shape_factors!B$3)</f>
        <v>10.575949910001853</v>
      </c>
      <c r="C35" s="5">
        <f>EnergyLJ($A35,$C$2,$C$3,shape_factors!C$2,$C$4,shape_factors!C$3)</f>
        <v>-0.86721322829789249</v>
      </c>
      <c r="D35" s="5">
        <f>EnergyLJ($A35,$C$2,$C$3,shape_factors!D$2,$C$4,shape_factors!D$3)</f>
        <v>21.592349602519807</v>
      </c>
      <c r="E35" s="5">
        <f>EnergyLJ($A35,$C$2,$C$3,shape_factors!E$2,$C$4,shape_factors!E$3)</f>
        <v>0.73851377686722319</v>
      </c>
      <c r="F35" s="5">
        <f>EnergyLJ($A35,$C$2,$C$3,shape_factors!F$2,$C$4,shape_factors!F$3)</f>
        <v>-1.0119493237292971</v>
      </c>
      <c r="G35" s="5">
        <f>EnergyLJ($A35,$C$2,$C$3,shape_factors!G$2,$C$4,shape_factors!G$3)</f>
        <v>-0.65153234443296615</v>
      </c>
      <c r="H35" s="5">
        <f>EnergyLJ($A35,$C$2,$C$3,shape_factors!H$2,$C$4,shape_factors!H$3)</f>
        <v>474.44940101294736</v>
      </c>
      <c r="I35" s="5">
        <f>EnergyLJ($A35,$C$2,$C$3,shape_factors!I$2,$C$4,shape_factors!I$3)</f>
        <v>2.2200651871491224</v>
      </c>
      <c r="J35" s="5">
        <f>EnergyLJ($A35,$C$2,$C$3,shape_factors!J$2,$C$4,shape_factors!J$3)</f>
        <v>-1.1847731587183432</v>
      </c>
      <c r="K35" s="5">
        <f>EnergyLJ($A35,$C$2,$C$3,shape_factors!K$2,$C$4,shape_factors!K$3)</f>
        <v>-1.187725967718767</v>
      </c>
      <c r="L35" s="5">
        <f>EnergyLJ($A35,$C$2,$C$3,shape_factors!L$2,$C$4,shape_factors!L$3)</f>
        <v>-1.1058548445292309</v>
      </c>
      <c r="M35" s="5">
        <f>EnergyLJ($A35,$C$2,$C$3,shape_factors!M$2,$C$4,shape_factors!M$3)</f>
        <v>-1.1878534788814767</v>
      </c>
      <c r="N35" s="5">
        <f>EnergyLJ($A35,$C$2,$C$3,shape_factors!N$2,$C$4,shape_factors!N$3)</f>
        <v>-1.1122882357227575</v>
      </c>
      <c r="O35" s="5">
        <f>EnergyLJ($A35,$C$2,$C$3,shape_factors!O$2,$C$4,shape_factors!O$3)</f>
        <v>-1.0840525300632833</v>
      </c>
      <c r="P35" s="5">
        <f>EnergyLJ($A35,$C$2,$C$3,shape_factors!P$2,$C$4,shape_factors!P$3)</f>
        <v>-1.1202240243291608</v>
      </c>
      <c r="Q35" s="5">
        <f>EnergyLJ($A35,$C$2,$C$3,shape_factors!Q$2,$C$4,shape_factors!Q$3)</f>
        <v>-1.1303747841483838</v>
      </c>
      <c r="R35" s="5">
        <f>EnergyLJ($A35,$C$2,$C$3,shape_factors!R$2,$C$4,shape_factors!R$3)</f>
        <v>-0.98866881936179285</v>
      </c>
      <c r="S35" s="5">
        <f>EnergyLJ($A35,$C$2,$C$3,shape_factors!S$2,$C$4,shape_factors!S$3)</f>
        <v>-1.1634352813395679</v>
      </c>
      <c r="T35" s="5">
        <f>EnergyLJ($A35,$C$2,$C$3,shape_factors!T$2,$C$4,shape_factors!T$3)</f>
        <v>-1.0647963235799607</v>
      </c>
      <c r="U35" s="5">
        <f>EnergyLJ($A35,$C$2,$C$3,shape_factors!U$2,$C$4,shape_factors!U$3)</f>
        <v>-1.0018796162538095</v>
      </c>
    </row>
    <row r="36" spans="1:21" x14ac:dyDescent="0.25">
      <c r="A36">
        <v>7.8000000000000096</v>
      </c>
      <c r="B36" s="5">
        <f>EnergyLJ($A36,$C$2,$C$3,shape_factors!B$2,$C$4,shape_factors!B$3)</f>
        <v>6.5256261494190611</v>
      </c>
      <c r="C36" s="5">
        <f>EnergyLJ($A36,$C$2,$C$3,shape_factors!C$2,$C$4,shape_factors!C$3)</f>
        <v>-1.081941417274777</v>
      </c>
      <c r="D36" s="5">
        <f>EnergyLJ($A36,$C$2,$C$3,shape_factors!D$2,$C$4,shape_factors!D$3)</f>
        <v>14.229987545856083</v>
      </c>
      <c r="E36" s="5">
        <f>EnergyLJ($A36,$C$2,$C$3,shape_factors!E$2,$C$4,shape_factors!E$3)</f>
        <v>-0.12730949973363342</v>
      </c>
      <c r="F36" s="5">
        <f>EnergyLJ($A36,$C$2,$C$3,shape_factors!F$2,$C$4,shape_factors!F$3)</f>
        <v>-1.1485322736731014</v>
      </c>
      <c r="G36" s="5">
        <f>EnergyLJ($A36,$C$2,$C$3,shape_factors!G$2,$C$4,shape_factors!G$3)</f>
        <v>-0.96865263276377389</v>
      </c>
      <c r="H36" s="5">
        <f>EnergyLJ($A36,$C$2,$C$3,shape_factors!H$2,$C$4,shape_factors!H$3)</f>
        <v>341.22066097564039</v>
      </c>
      <c r="I36" s="5">
        <f>EnergyLJ($A36,$C$2,$C$3,shape_factors!I$2,$C$4,shape_factors!I$3)</f>
        <v>0.83410348727628314</v>
      </c>
      <c r="J36" s="5">
        <f>EnergyLJ($A36,$C$2,$C$3,shape_factors!J$2,$C$4,shape_factors!J$3)</f>
        <v>-1.1419108381770102</v>
      </c>
      <c r="K36" s="5">
        <f>EnergyLJ($A36,$C$2,$C$3,shape_factors!K$2,$C$4,shape_factors!K$3)</f>
        <v>-1.1763988087371506</v>
      </c>
      <c r="L36" s="5">
        <f>EnergyLJ($A36,$C$2,$C$3,shape_factors!L$2,$C$4,shape_factors!L$3)</f>
        <v>-1.181757860174512</v>
      </c>
      <c r="M36" s="5">
        <f>EnergyLJ($A36,$C$2,$C$3,shape_factors!M$2,$C$4,shape_factors!M$3)</f>
        <v>-1.1511620715061874</v>
      </c>
      <c r="N36" s="5">
        <f>EnergyLJ($A36,$C$2,$C$3,shape_factors!N$2,$C$4,shape_factors!N$3)</f>
        <v>-1.0332102135609067</v>
      </c>
      <c r="O36" s="5">
        <f>EnergyLJ($A36,$C$2,$C$3,shape_factors!O$2,$C$4,shape_factors!O$3)</f>
        <v>-0.99994684403185097</v>
      </c>
      <c r="P36" s="5">
        <f>EnergyLJ($A36,$C$2,$C$3,shape_factors!P$2,$C$4,shape_factors!P$3)</f>
        <v>-1.0429588415710065</v>
      </c>
      <c r="Q36" s="5">
        <f>EnergyLJ($A36,$C$2,$C$3,shape_factors!Q$2,$C$4,shape_factors!Q$3)</f>
        <v>-1.0557711435398542</v>
      </c>
      <c r="R36" s="5">
        <f>EnergyLJ($A36,$C$2,$C$3,shape_factors!R$2,$C$4,shape_factors!R$3)</f>
        <v>-1.1386903425858923</v>
      </c>
      <c r="S36" s="5">
        <f>EnergyLJ($A36,$C$2,$C$3,shape_factors!S$2,$C$4,shape_factors!S$3)</f>
        <v>-1.1018536785616764</v>
      </c>
      <c r="T36" s="5">
        <f>EnergyLJ($A36,$C$2,$C$3,shape_factors!T$2,$C$4,shape_factors!T$3)</f>
        <v>-0.9782106605057086</v>
      </c>
      <c r="U36" s="5">
        <f>EnergyLJ($A36,$C$2,$C$3,shape_factors!U$2,$C$4,shape_factors!U$3)</f>
        <v>-1.1443297793766591</v>
      </c>
    </row>
    <row r="37" spans="1:21" x14ac:dyDescent="0.25">
      <c r="A37">
        <v>8.0000000000000107</v>
      </c>
      <c r="B37" s="5">
        <f>EnergyLJ($A37,$C$2,$C$3,shape_factors!B$2,$C$4,shape_factors!B$3)</f>
        <v>3.7940431075242134</v>
      </c>
      <c r="C37" s="5">
        <f>EnergyLJ($A37,$C$2,$C$3,shape_factors!C$2,$C$4,shape_factors!C$3)</f>
        <v>-1.1734474077440886</v>
      </c>
      <c r="D37" s="5">
        <f>EnergyLJ($A37,$C$2,$C$3,shape_factors!D$2,$C$4,shape_factors!D$3)</f>
        <v>9.1763145357759477</v>
      </c>
      <c r="E37" s="5">
        <f>EnergyLJ($A37,$C$2,$C$3,shape_factors!E$2,$C$4,shape_factors!E$3)</f>
        <v>-0.6543979447771926</v>
      </c>
      <c r="F37" s="5">
        <f>EnergyLJ($A37,$C$2,$C$3,shape_factors!F$2,$C$4,shape_factors!F$3)</f>
        <v>-1.1895505972016267</v>
      </c>
      <c r="G37" s="5">
        <f>EnergyLJ($A37,$C$2,$C$3,shape_factors!G$2,$C$4,shape_factors!G$3)</f>
        <v>-1.127283607266035</v>
      </c>
      <c r="H37" s="5">
        <f>EnergyLJ($A37,$C$2,$C$3,shape_factors!H$2,$C$4,shape_factors!H$3)</f>
        <v>246.64433608052536</v>
      </c>
      <c r="I37" s="5">
        <f>EnergyLJ($A37,$C$2,$C$3,shape_factors!I$2,$C$4,shape_factors!I$3)</f>
        <v>-4.8379013949735823E-2</v>
      </c>
      <c r="J37" s="5">
        <f>EnergyLJ($A37,$C$2,$C$3,shape_factors!J$2,$C$4,shape_factors!J$3)</f>
        <v>-1.0729501472251013</v>
      </c>
      <c r="K37" s="5">
        <f>EnergyLJ($A37,$C$2,$C$3,shape_factors!K$2,$C$4,shape_factors!K$3)</f>
        <v>-1.1255213633023673</v>
      </c>
      <c r="L37" s="5">
        <f>EnergyLJ($A37,$C$2,$C$3,shape_factors!L$2,$C$4,shape_factors!L$3)</f>
        <v>-1.1842624284155441</v>
      </c>
      <c r="M37" s="5">
        <f>EnergyLJ($A37,$C$2,$C$3,shape_factors!M$2,$C$4,shape_factors!M$3)</f>
        <v>-1.0856465463358069</v>
      </c>
      <c r="N37" s="5">
        <f>EnergyLJ($A37,$C$2,$C$3,shape_factors!N$2,$C$4,shape_factors!N$3)</f>
        <v>-0.94606185570931955</v>
      </c>
      <c r="O37" s="5">
        <f>EnergyLJ($A37,$C$2,$C$3,shape_factors!O$2,$C$4,shape_factors!O$3)</f>
        <v>-0.91095204166588328</v>
      </c>
      <c r="P37" s="5">
        <f>EnergyLJ($A37,$C$2,$C$3,shape_factors!P$2,$C$4,shape_factors!P$3)</f>
        <v>-0.95656008534839765</v>
      </c>
      <c r="Q37" s="5">
        <f>EnergyLJ($A37,$C$2,$C$3,shape_factors!Q$2,$C$4,shape_factors!Q$3)</f>
        <v>-0.97052893483448766</v>
      </c>
      <c r="R37" s="5">
        <f>EnergyLJ($A37,$C$2,$C$3,shape_factors!R$2,$C$4,shape_factors!R$3)</f>
        <v>-1.1883308948045275</v>
      </c>
      <c r="S37" s="5">
        <f>EnergyLJ($A37,$C$2,$C$3,shape_factors!S$2,$C$4,shape_factors!S$3)</f>
        <v>-1.0228899558761537</v>
      </c>
      <c r="T37" s="5">
        <f>EnergyLJ($A37,$C$2,$C$3,shape_factors!T$2,$C$4,shape_factors!T$3)</f>
        <v>-0.8885040027211597</v>
      </c>
      <c r="U37" s="5">
        <f>EnergyLJ($A37,$C$2,$C$3,shape_factors!U$2,$C$4,shape_factors!U$3)</f>
        <v>-1.189108998443605</v>
      </c>
    </row>
    <row r="38" spans="1:21" x14ac:dyDescent="0.25">
      <c r="A38">
        <v>8.2000000000000099</v>
      </c>
      <c r="B38" s="5">
        <f>EnergyLJ($A38,$C$2,$C$3,shape_factors!B$2,$C$4,shape_factors!B$3)</f>
        <v>1.9601238681361912</v>
      </c>
      <c r="C38" s="5">
        <f>EnergyLJ($A38,$C$2,$C$3,shape_factors!C$2,$C$4,shape_factors!C$3)</f>
        <v>-1.1884573988112528</v>
      </c>
      <c r="D38" s="5">
        <f>EnergyLJ($A38,$C$2,$C$3,shape_factors!D$2,$C$4,shape_factors!D$3)</f>
        <v>5.7064026398315617</v>
      </c>
      <c r="E38" s="5">
        <f>EnergyLJ($A38,$C$2,$C$3,shape_factors!E$2,$C$4,shape_factors!E$3)</f>
        <v>-0.95877925557020027</v>
      </c>
      <c r="F38" s="5">
        <f>EnergyLJ($A38,$C$2,$C$3,shape_factors!F$2,$C$4,shape_factors!F$3)</f>
        <v>-1.1725927737720396</v>
      </c>
      <c r="G38" s="5">
        <f>EnergyLJ($A38,$C$2,$C$3,shape_factors!G$2,$C$4,shape_factors!G$3)</f>
        <v>-1.1856794752186048</v>
      </c>
      <c r="H38" s="5">
        <f>EnergyLJ($A38,$C$2,$C$3,shape_factors!H$2,$C$4,shape_factors!H$3)</f>
        <v>179.03289076052033</v>
      </c>
      <c r="I38" s="5">
        <f>EnergyLJ($A38,$C$2,$C$3,shape_factors!I$2,$C$4,shape_factors!I$3)</f>
        <v>-0.59537539438672915</v>
      </c>
      <c r="J38" s="5">
        <f>EnergyLJ($A38,$C$2,$C$3,shape_factors!J$2,$C$4,shape_factors!J$3)</f>
        <v>-0.99177013597306951</v>
      </c>
      <c r="K38" s="5">
        <f>EnergyLJ($A38,$C$2,$C$3,shape_factors!K$2,$C$4,shape_factors!K$3)</f>
        <v>-1.053708816950701</v>
      </c>
      <c r="L38" s="5">
        <f>EnergyLJ($A38,$C$2,$C$3,shape_factors!L$2,$C$4,shape_factors!L$3)</f>
        <v>-1.1435457078074189</v>
      </c>
      <c r="M38" s="5">
        <f>EnergyLJ($A38,$C$2,$C$3,shape_factors!M$2,$C$4,shape_factors!M$3)</f>
        <v>-1.0061555051908646</v>
      </c>
      <c r="N38" s="5">
        <f>EnergyLJ($A38,$C$2,$C$3,shape_factors!N$2,$C$4,shape_factors!N$3)</f>
        <v>-0.85810231191379172</v>
      </c>
      <c r="O38" s="5">
        <f>EnergyLJ($A38,$C$2,$C$3,shape_factors!O$2,$C$4,shape_factors!O$3)</f>
        <v>-0.82309768584372389</v>
      </c>
      <c r="P38" s="5">
        <f>EnergyLJ($A38,$C$2,$C$3,shape_factors!P$2,$C$4,shape_factors!P$3)</f>
        <v>-0.86869188993540691</v>
      </c>
      <c r="Q38" s="5">
        <f>EnergyLJ($A38,$C$2,$C$3,shape_factors!Q$2,$C$4,shape_factors!Q$3)</f>
        <v>-0.88288123573008104</v>
      </c>
      <c r="R38" s="5">
        <f>EnergyLJ($A38,$C$2,$C$3,shape_factors!R$2,$C$4,shape_factors!R$3)</f>
        <v>-1.1767778705255576</v>
      </c>
      <c r="S38" s="5">
        <f>EnergyLJ($A38,$C$2,$C$3,shape_factors!S$2,$C$4,shape_factors!S$3)</f>
        <v>-0.93727708265163323</v>
      </c>
      <c r="T38" s="5">
        <f>EnergyLJ($A38,$C$2,$C$3,shape_factors!T$2,$C$4,shape_factors!T$3)</f>
        <v>-0.80100833554961892</v>
      </c>
      <c r="U38" s="5">
        <f>EnergyLJ($A38,$C$2,$C$3,shape_factors!U$2,$C$4,shape_factors!U$3)</f>
        <v>-1.1745054451747778</v>
      </c>
    </row>
    <row r="39" spans="1:21" x14ac:dyDescent="0.25">
      <c r="A39">
        <v>8.4000000000000092</v>
      </c>
      <c r="B39" s="5">
        <f>EnergyLJ($A39,$C$2,$C$3,shape_factors!B$2,$C$4,shape_factors!B$3)</f>
        <v>0.73953590880043185</v>
      </c>
      <c r="C39" s="5">
        <f>EnergyLJ($A39,$C$2,$C$3,shape_factors!C$2,$C$4,shape_factors!C$3)</f>
        <v>-1.1572966866227163</v>
      </c>
      <c r="D39" s="5">
        <f>EnergyLJ($A39,$C$2,$C$3,shape_factors!D$2,$C$4,shape_factors!D$3)</f>
        <v>3.3287093285237686</v>
      </c>
      <c r="E39" s="5">
        <f>EnergyLJ($A39,$C$2,$C$3,shape_factors!E$2,$C$4,shape_factors!E$3)</f>
        <v>-1.1174935521575942</v>
      </c>
      <c r="F39" s="5">
        <f>EnergyLJ($A39,$C$2,$C$3,shape_factors!F$2,$C$4,shape_factors!F$3)</f>
        <v>-1.1218647976998004</v>
      </c>
      <c r="G39" s="5">
        <f>EnergyLJ($A39,$C$2,$C$3,shape_factors!G$2,$C$4,shape_factors!G$3)</f>
        <v>-1.1819054357290275</v>
      </c>
      <c r="H39" s="5">
        <f>EnergyLJ($A39,$C$2,$C$3,shape_factors!H$2,$C$4,shape_factors!H$3)</f>
        <v>130.38557913280084</v>
      </c>
      <c r="I39" s="5">
        <f>EnergyLJ($A39,$C$2,$C$3,shape_factors!I$2,$C$4,shape_factors!I$3)</f>
        <v>-0.9191214418422271</v>
      </c>
      <c r="J39" s="5">
        <f>EnergyLJ($A39,$C$2,$C$3,shape_factors!J$2,$C$4,shape_factors!J$3)</f>
        <v>-0.90682103062400798</v>
      </c>
      <c r="K39" s="5">
        <f>EnergyLJ($A39,$C$2,$C$3,shape_factors!K$2,$C$4,shape_factors!K$3)</f>
        <v>-0.97253620377330996</v>
      </c>
      <c r="L39" s="5">
        <f>EnergyLJ($A39,$C$2,$C$3,shape_factors!L$2,$C$4,shape_factors!L$3)</f>
        <v>-1.0788646324848568</v>
      </c>
      <c r="M39" s="5">
        <f>EnergyLJ($A39,$C$2,$C$3,shape_factors!M$2,$C$4,shape_factors!M$3)</f>
        <v>-0.92177737711733232</v>
      </c>
      <c r="N39" s="5">
        <f>EnergyLJ($A39,$C$2,$C$3,shape_factors!N$2,$C$4,shape_factors!N$3)</f>
        <v>-0.77345521553837626</v>
      </c>
      <c r="O39" s="5">
        <f>EnergyLJ($A39,$C$2,$C$3,shape_factors!O$2,$C$4,shape_factors!O$3)</f>
        <v>-0.73971266300780092</v>
      </c>
      <c r="P39" s="5">
        <f>EnergyLJ($A39,$C$2,$C$3,shape_factors!P$2,$C$4,shape_factors!P$3)</f>
        <v>-0.78374047146189818</v>
      </c>
      <c r="Q39" s="5">
        <f>EnergyLJ($A39,$C$2,$C$3,shape_factors!Q$2,$C$4,shape_factors!Q$3)</f>
        <v>-0.79758375209233978</v>
      </c>
      <c r="R39" s="5">
        <f>EnergyLJ($A39,$C$2,$C$3,shape_factors!R$2,$C$4,shape_factors!R$3)</f>
        <v>-1.1293067880532064</v>
      </c>
      <c r="S39" s="5">
        <f>EnergyLJ($A39,$C$2,$C$3,shape_factors!S$2,$C$4,shape_factors!S$3)</f>
        <v>-0.85140120962689281</v>
      </c>
      <c r="T39" s="5">
        <f>EnergyLJ($A39,$C$2,$C$3,shape_factors!T$2,$C$4,shape_factors!T$3)</f>
        <v>-0.7186036099901244</v>
      </c>
      <c r="U39" s="5">
        <f>EnergyLJ($A39,$C$2,$C$3,shape_factors!U$2,$C$4,shape_factors!U$3)</f>
        <v>-1.1251930714012279</v>
      </c>
    </row>
    <row r="40" spans="1:21" x14ac:dyDescent="0.25">
      <c r="A40">
        <v>8.6000000000000103</v>
      </c>
      <c r="B40" s="5">
        <f>EnergyLJ($A40,$C$2,$C$3,shape_factors!B$2,$C$4,shape_factors!B$3)</f>
        <v>-6.1001230065846283E-2</v>
      </c>
      <c r="C40" s="5">
        <f>EnergyLJ($A40,$C$2,$C$3,shape_factors!C$2,$C$4,shape_factors!C$3)</f>
        <v>-1.0996011959018033</v>
      </c>
      <c r="D40" s="5">
        <f>EnergyLJ($A40,$C$2,$C$3,shape_factors!D$2,$C$4,shape_factors!D$3)</f>
        <v>1.7074766857593244</v>
      </c>
      <c r="E40" s="5">
        <f>EnergyLJ($A40,$C$2,$C$3,shape_factors!E$2,$C$4,shape_factors!E$3)</f>
        <v>-1.1818673972508478</v>
      </c>
      <c r="F40" s="5">
        <f>EnergyLJ($A40,$C$2,$C$3,shape_factors!F$2,$C$4,shape_factors!F$3)</f>
        <v>-1.0528835168969091</v>
      </c>
      <c r="G40" s="5">
        <f>EnergyLJ($A40,$C$2,$C$3,shape_factors!G$2,$C$4,shape_factors!G$3)</f>
        <v>-1.1408233543096693</v>
      </c>
      <c r="H40" s="5">
        <f>EnergyLJ($A40,$C$2,$C$3,shape_factors!H$2,$C$4,shape_factors!H$3)</f>
        <v>95.177025835777073</v>
      </c>
      <c r="I40" s="5">
        <f>EnergyLJ($A40,$C$2,$C$3,shape_factors!I$2,$C$4,shape_factors!I$3)</f>
        <v>-1.0949531883568639</v>
      </c>
      <c r="J40" s="5">
        <f>EnergyLJ($A40,$C$2,$C$3,shape_factors!J$2,$C$4,shape_factors!J$3)</f>
        <v>-0.82311200560267184</v>
      </c>
      <c r="K40" s="5">
        <f>EnergyLJ($A40,$C$2,$C$3,shape_factors!K$2,$C$4,shape_factors!K$3)</f>
        <v>-0.88907840882918154</v>
      </c>
      <c r="L40" s="5">
        <f>EnergyLJ($A40,$C$2,$C$3,shape_factors!L$2,$C$4,shape_factors!L$3)</f>
        <v>-1.0024160482457019</v>
      </c>
      <c r="M40" s="5">
        <f>EnergyLJ($A40,$C$2,$C$3,shape_factors!M$2,$C$4,shape_factors!M$3)</f>
        <v>-0.83794201740647356</v>
      </c>
      <c r="N40" s="5">
        <f>EnergyLJ($A40,$C$2,$C$3,shape_factors!N$2,$C$4,shape_factors!N$3)</f>
        <v>-0.69430310475591539</v>
      </c>
      <c r="O40" s="5">
        <f>EnergyLJ($A40,$C$2,$C$3,shape_factors!O$2,$C$4,shape_factors!O$3)</f>
        <v>-0.6624676057772626</v>
      </c>
      <c r="P40" s="5">
        <f>EnergyLJ($A40,$C$2,$C$3,shape_factors!P$2,$C$4,shape_factors!P$3)</f>
        <v>-0.70405818377999685</v>
      </c>
      <c r="Q40" s="5">
        <f>EnergyLJ($A40,$C$2,$C$3,shape_factors!Q$2,$C$4,shape_factors!Q$3)</f>
        <v>-0.71722828972751795</v>
      </c>
      <c r="R40" s="5">
        <f>EnergyLJ($A40,$C$2,$C$3,shape_factors!R$2,$C$4,shape_factors!R$3)</f>
        <v>-1.0621534338154492</v>
      </c>
      <c r="S40" s="5">
        <f>EnergyLJ($A40,$C$2,$C$3,shape_factors!S$2,$C$4,shape_factors!S$3)</f>
        <v>-0.76891652289321422</v>
      </c>
      <c r="T40" s="5">
        <f>EnergyLJ($A40,$C$2,$C$3,shape_factors!T$2,$C$4,shape_factors!T$3)</f>
        <v>-0.64267291544190297</v>
      </c>
      <c r="U40" s="5">
        <f>EnergyLJ($A40,$C$2,$C$3,shape_factors!U$2,$C$4,shape_factors!U$3)</f>
        <v>-1.0570032309684991</v>
      </c>
    </row>
    <row r="41" spans="1:21" x14ac:dyDescent="0.25">
      <c r="A41">
        <v>8.8000000000000096</v>
      </c>
      <c r="B41" s="5">
        <f>EnergyLJ($A41,$C$2,$C$3,shape_factors!B$2,$C$4,shape_factors!B$3)</f>
        <v>-0.57364384181487427</v>
      </c>
      <c r="C41" s="5">
        <f>EnergyLJ($A41,$C$2,$C$3,shape_factors!C$2,$C$4,shape_factors!C$3)</f>
        <v>-1.028010334189712</v>
      </c>
      <c r="D41" s="5">
        <f>EnergyLJ($A41,$C$2,$C$3,shape_factors!D$2,$C$4,shape_factors!D$3)</f>
        <v>0.61182405767149883</v>
      </c>
      <c r="E41" s="5">
        <f>EnergyLJ($A41,$C$2,$C$3,shape_factors!E$2,$C$4,shape_factors!E$3)</f>
        <v>-1.1861568036299421</v>
      </c>
      <c r="F41" s="5">
        <f>EnergyLJ($A41,$C$2,$C$3,shape_factors!F$2,$C$4,shape_factors!F$3)</f>
        <v>-0.97550458282443675</v>
      </c>
      <c r="G41" s="5">
        <f>EnergyLJ($A41,$C$2,$C$3,shape_factors!G$2,$C$4,shape_factors!G$3)</f>
        <v>-1.0786174228294902</v>
      </c>
      <c r="H41" s="5">
        <f>EnergyLJ($A41,$C$2,$C$3,shape_factors!H$2,$C$4,shape_factors!H$3)</f>
        <v>69.559495862750637</v>
      </c>
      <c r="I41" s="5">
        <f>EnergyLJ($A41,$C$2,$C$3,shape_factors!I$2,$C$4,shape_factors!I$3)</f>
        <v>-1.1736112077039591</v>
      </c>
      <c r="J41" s="5">
        <f>EnergyLJ($A41,$C$2,$C$3,shape_factors!J$2,$C$4,shape_factors!J$3)</f>
        <v>-0.74347698919979199</v>
      </c>
      <c r="K41" s="5">
        <f>EnergyLJ($A41,$C$2,$C$3,shape_factors!K$2,$C$4,shape_factors!K$3)</f>
        <v>-0.80753480278556922</v>
      </c>
      <c r="L41" s="5">
        <f>EnergyLJ($A41,$C$2,$C$3,shape_factors!L$2,$C$4,shape_factors!L$3)</f>
        <v>-0.92182110055833366</v>
      </c>
      <c r="M41" s="5">
        <f>EnergyLJ($A41,$C$2,$C$3,shape_factors!M$2,$C$4,shape_factors!M$3)</f>
        <v>-0.75776042150540979</v>
      </c>
      <c r="N41" s="5">
        <f>EnergyLJ($A41,$C$2,$C$3,shape_factors!N$2,$C$4,shape_factors!N$3)</f>
        <v>-0.62163922368400915</v>
      </c>
      <c r="O41" s="5">
        <f>EnergyLJ($A41,$C$2,$C$3,shape_factors!O$2,$C$4,shape_factors!O$3)</f>
        <v>-0.59202853108014841</v>
      </c>
      <c r="P41" s="5">
        <f>EnergyLJ($A41,$C$2,$C$3,shape_factors!P$2,$C$4,shape_factors!P$3)</f>
        <v>-0.63074740266981144</v>
      </c>
      <c r="Q41" s="5">
        <f>EnergyLJ($A41,$C$2,$C$3,shape_factors!Q$2,$C$4,shape_factors!Q$3)</f>
        <v>-0.64307152876678941</v>
      </c>
      <c r="R41" s="5">
        <f>EnergyLJ($A41,$C$2,$C$3,shape_factors!R$2,$C$4,shape_factors!R$3)</f>
        <v>-0.98565852967733625</v>
      </c>
      <c r="S41" s="5">
        <f>EnergyLJ($A41,$C$2,$C$3,shape_factors!S$2,$C$4,shape_factors!S$3)</f>
        <v>-0.69176915948961593</v>
      </c>
      <c r="T41" s="5">
        <f>EnergyLJ($A41,$C$2,$C$3,shape_factors!T$2,$C$4,shape_factors!T$3)</f>
        <v>-0.57369983754050957</v>
      </c>
      <c r="U41" s="5">
        <f>EnergyLJ($A41,$C$2,$C$3,shape_factors!U$2,$C$4,shape_factors!U$3)</f>
        <v>-0.98000372720754236</v>
      </c>
    </row>
    <row r="42" spans="1:21" x14ac:dyDescent="0.25">
      <c r="A42">
        <v>9.0000000000000107</v>
      </c>
      <c r="B42" s="5">
        <f>EnergyLJ($A42,$C$2,$C$3,shape_factors!B$2,$C$4,shape_factors!B$3)</f>
        <v>-0.8892055958606816</v>
      </c>
      <c r="C42" s="5">
        <f>EnergyLJ($A42,$C$2,$C$3,shape_factors!C$2,$C$4,shape_factors!C$3)</f>
        <v>-0.95057145117726027</v>
      </c>
      <c r="D42" s="5">
        <f>EnergyLJ($A42,$C$2,$C$3,shape_factors!D$2,$C$4,shape_factors!D$3)</f>
        <v>-0.11796075211028681</v>
      </c>
      <c r="E42" s="5">
        <f>EnergyLJ($A42,$C$2,$C$3,shape_factors!E$2,$C$4,shape_factors!E$3)</f>
        <v>-1.1532212058555049</v>
      </c>
      <c r="F42" s="5">
        <f>EnergyLJ($A42,$C$2,$C$3,shape_factors!F$2,$C$4,shape_factors!F$3)</f>
        <v>-0.89588893856946084</v>
      </c>
      <c r="G42" s="5">
        <f>EnergyLJ($A42,$C$2,$C$3,shape_factors!G$2,$C$4,shape_factors!G$3)</f>
        <v>-1.0057477631468725</v>
      </c>
      <c r="H42" s="5">
        <f>EnergyLJ($A42,$C$2,$C$3,shape_factors!H$2,$C$4,shape_factors!H$3)</f>
        <v>50.83238795017909</v>
      </c>
      <c r="I42" s="5">
        <f>EnergyLJ($A42,$C$2,$C$3,shape_factors!I$2,$C$4,shape_factors!I$3)</f>
        <v>-1.1893377496258091</v>
      </c>
      <c r="J42" s="5">
        <f>EnergyLJ($A42,$C$2,$C$3,shape_factors!J$2,$C$4,shape_factors!J$3)</f>
        <v>-0.66938396394597588</v>
      </c>
      <c r="K42" s="5">
        <f>EnergyLJ($A42,$C$2,$C$3,shape_factors!K$2,$C$4,shape_factors!K$3)</f>
        <v>-0.73027354321427052</v>
      </c>
      <c r="L42" s="5">
        <f>EnergyLJ($A42,$C$2,$C$3,shape_factors!L$2,$C$4,shape_factors!L$3)</f>
        <v>-0.84173408873727484</v>
      </c>
      <c r="M42" s="5">
        <f>EnergyLJ($A42,$C$2,$C$3,shape_factors!M$2,$C$4,shape_factors!M$3)</f>
        <v>-0.68288238725237649</v>
      </c>
      <c r="N42" s="5">
        <f>EnergyLJ($A42,$C$2,$C$3,shape_factors!N$2,$C$4,shape_factors!N$3)</f>
        <v>-0.55574134010666509</v>
      </c>
      <c r="O42" s="5">
        <f>EnergyLJ($A42,$C$2,$C$3,shape_factors!O$2,$C$4,shape_factors!O$3)</f>
        <v>-0.52846682973559644</v>
      </c>
      <c r="P42" s="5">
        <f>EnergyLJ($A42,$C$2,$C$3,shape_factors!P$2,$C$4,shape_factors!P$3)</f>
        <v>-0.56415522647984706</v>
      </c>
      <c r="Q42" s="5">
        <f>EnergyLJ($A42,$C$2,$C$3,shape_factors!Q$2,$C$4,shape_factors!Q$3)</f>
        <v>-0.57555895936801793</v>
      </c>
      <c r="R42" s="5">
        <f>EnergyLJ($A42,$C$2,$C$3,shape_factors!R$2,$C$4,shape_factors!R$3)</f>
        <v>-0.90631106688034591</v>
      </c>
      <c r="S42" s="5">
        <f>EnergyLJ($A42,$C$2,$C$3,shape_factors!S$2,$C$4,shape_factors!S$3)</f>
        <v>-0.62084841578998806</v>
      </c>
      <c r="T42" s="5">
        <f>EnergyLJ($A42,$C$2,$C$3,shape_factors!T$2,$C$4,shape_factors!T$3)</f>
        <v>-0.51164190425965939</v>
      </c>
      <c r="U42" s="5">
        <f>EnergyLJ($A42,$C$2,$C$3,shape_factors!U$2,$C$4,shape_factors!U$3)</f>
        <v>-0.90049894119724716</v>
      </c>
    </row>
    <row r="43" spans="1:21" x14ac:dyDescent="0.25">
      <c r="A43">
        <v>9.2000000000000099</v>
      </c>
      <c r="B43" s="5">
        <f>EnergyLJ($A43,$C$2,$C$3,shape_factors!B$2,$C$4,shape_factors!B$3)</f>
        <v>-1.0703444716548547</v>
      </c>
      <c r="C43" s="5">
        <f>EnergyLJ($A43,$C$2,$C$3,shape_factors!C$2,$C$4,shape_factors!C$3)</f>
        <v>-0.8723149505429203</v>
      </c>
      <c r="D43" s="5">
        <f>EnergyLJ($A43,$C$2,$C$3,shape_factors!D$2,$C$4,shape_factors!D$3)</f>
        <v>-0.59293877740484535</v>
      </c>
      <c r="E43" s="5">
        <f>EnergyLJ($A43,$C$2,$C$3,shape_factors!E$2,$C$4,shape_factors!E$3)</f>
        <v>-1.0982762860108548</v>
      </c>
      <c r="F43" s="5">
        <f>EnergyLJ($A43,$C$2,$C$3,shape_factors!F$2,$C$4,shape_factors!F$3)</f>
        <v>-0.81778712013956856</v>
      </c>
      <c r="G43" s="5">
        <f>EnergyLJ($A43,$C$2,$C$3,shape_factors!G$2,$C$4,shape_factors!G$3)</f>
        <v>-0.92889060901773002</v>
      </c>
      <c r="H43" s="5">
        <f>EnergyLJ($A43,$C$2,$C$3,shape_factors!H$2,$C$4,shape_factors!H$3)</f>
        <v>37.086122463542765</v>
      </c>
      <c r="I43" s="5">
        <f>EnergyLJ($A43,$C$2,$C$3,shape_factors!I$2,$C$4,shape_factors!I$3)</f>
        <v>-1.1652473138089015</v>
      </c>
      <c r="J43" s="5">
        <f>EnergyLJ($A43,$C$2,$C$3,shape_factors!J$2,$C$4,shape_factors!J$3)</f>
        <v>-0.60145360510299828</v>
      </c>
      <c r="K43" s="5">
        <f>EnergyLJ($A43,$C$2,$C$3,shape_factors!K$2,$C$4,shape_factors!K$3)</f>
        <v>-0.65850521257112971</v>
      </c>
      <c r="L43" s="5">
        <f>EnergyLJ($A43,$C$2,$C$3,shape_factors!L$2,$C$4,shape_factors!L$3)</f>
        <v>-0.76488961347585638</v>
      </c>
      <c r="M43" s="5">
        <f>EnergyLJ($A43,$C$2,$C$3,shape_factors!M$2,$C$4,shape_factors!M$3)</f>
        <v>-0.61404701949115359</v>
      </c>
      <c r="N43" s="5">
        <f>EnergyLJ($A43,$C$2,$C$3,shape_factors!N$2,$C$4,shape_factors!N$3)</f>
        <v>-0.4964699903988799</v>
      </c>
      <c r="O43" s="5">
        <f>EnergyLJ($A43,$C$2,$C$3,shape_factors!O$2,$C$4,shape_factors!O$3)</f>
        <v>-0.47151576614571428</v>
      </c>
      <c r="P43" s="5">
        <f>EnergyLJ($A43,$C$2,$C$3,shape_factors!P$2,$C$4,shape_factors!P$3)</f>
        <v>-0.50418539581106103</v>
      </c>
      <c r="Q43" s="5">
        <f>EnergyLJ($A43,$C$2,$C$3,shape_factors!Q$2,$C$4,shape_factors!Q$3)</f>
        <v>-0.51465595776173423</v>
      </c>
      <c r="R43" s="5">
        <f>EnergyLJ($A43,$C$2,$C$3,shape_factors!R$2,$C$4,shape_factors!R$3)</f>
        <v>-0.82808360529569336</v>
      </c>
      <c r="S43" s="5">
        <f>EnergyLJ($A43,$C$2,$C$3,shape_factors!S$2,$C$4,shape_factors!S$3)</f>
        <v>-0.55640136292890652</v>
      </c>
      <c r="T43" s="5">
        <f>EnergyLJ($A43,$C$2,$C$3,shape_factors!T$2,$C$4,shape_factors!T$3)</f>
        <v>-0.45616322509831991</v>
      </c>
      <c r="U43" s="5">
        <f>EnergyLJ($A43,$C$2,$C$3,shape_factors!U$2,$C$4,shape_factors!U$3)</f>
        <v>-0.82233645645021292</v>
      </c>
    </row>
    <row r="44" spans="1:21" x14ac:dyDescent="0.25">
      <c r="A44">
        <v>9.4000000000000092</v>
      </c>
      <c r="B44" s="5">
        <f>EnergyLJ($A44,$C$2,$C$3,shape_factors!B$2,$C$4,shape_factors!B$3)</f>
        <v>-1.1604237957499113</v>
      </c>
      <c r="C44" s="5">
        <f>EnergyLJ($A44,$C$2,$C$3,shape_factors!C$2,$C$4,shape_factors!C$3)</f>
        <v>-0.79629136621474683</v>
      </c>
      <c r="D44" s="5">
        <f>EnergyLJ($A44,$C$2,$C$3,shape_factors!D$2,$C$4,shape_factors!D$3)</f>
        <v>-0.89068589225738615</v>
      </c>
      <c r="E44" s="5">
        <f>EnergyLJ($A44,$C$2,$C$3,shape_factors!E$2,$C$4,shape_factors!E$3)</f>
        <v>-1.031392967822518</v>
      </c>
      <c r="F44" s="5">
        <f>EnergyLJ($A44,$C$2,$C$3,shape_factors!F$2,$C$4,shape_factors!F$3)</f>
        <v>-0.74338180686068056</v>
      </c>
      <c r="G44" s="5">
        <f>EnergyLJ($A44,$C$2,$C$3,shape_factors!G$2,$C$4,shape_factors!G$3)</f>
        <v>-0.85221992135988989</v>
      </c>
      <c r="H44" s="5">
        <f>EnergyLJ($A44,$C$2,$C$3,shape_factors!H$2,$C$4,shape_factors!H$3)</f>
        <v>26.960959128390233</v>
      </c>
      <c r="I44" s="5">
        <f>EnergyLJ($A44,$C$2,$C$3,shape_factors!I$2,$C$4,shape_factors!I$3)</f>
        <v>-1.1169145426250362</v>
      </c>
      <c r="J44" s="5">
        <f>EnergyLJ($A44,$C$2,$C$3,shape_factors!J$2,$C$4,shape_factors!J$3)</f>
        <v>-0.53979175700205906</v>
      </c>
      <c r="K44" s="5">
        <f>EnergyLJ($A44,$C$2,$C$3,shape_factors!K$2,$C$4,shape_factors!K$3)</f>
        <v>-0.59271817323735376</v>
      </c>
      <c r="L44" s="5">
        <f>EnergyLJ($A44,$C$2,$C$3,shape_factors!L$2,$C$4,shape_factors!L$3)</f>
        <v>-0.69278673443456151</v>
      </c>
      <c r="M44" s="5">
        <f>EnergyLJ($A44,$C$2,$C$3,shape_factors!M$2,$C$4,shape_factors!M$3)</f>
        <v>-0.55143633233348233</v>
      </c>
      <c r="N44" s="5">
        <f>EnergyLJ($A44,$C$2,$C$3,shape_factors!N$2,$C$4,shape_factors!N$3)</f>
        <v>-0.44345535642987721</v>
      </c>
      <c r="O44" s="5">
        <f>EnergyLJ($A44,$C$2,$C$3,shape_factors!O$2,$C$4,shape_factors!O$3)</f>
        <v>-0.42072992211819621</v>
      </c>
      <c r="P44" s="5">
        <f>EnergyLJ($A44,$C$2,$C$3,shape_factors!P$2,$C$4,shape_factors!P$3)</f>
        <v>-0.45049417000503961</v>
      </c>
      <c r="Q44" s="5">
        <f>EnergyLJ($A44,$C$2,$C$3,shape_factors!Q$2,$C$4,shape_factors!Q$3)</f>
        <v>-0.46005627952985928</v>
      </c>
      <c r="R44" s="5">
        <f>EnergyLJ($A44,$C$2,$C$3,shape_factors!R$2,$C$4,shape_factors!R$3)</f>
        <v>-0.75330891579314785</v>
      </c>
      <c r="S44" s="5">
        <f>EnergyLJ($A44,$C$2,$C$3,shape_factors!S$2,$C$4,shape_factors!S$3)</f>
        <v>-0.49829647309823755</v>
      </c>
      <c r="T44" s="5">
        <f>EnergyLJ($A44,$C$2,$C$3,shape_factors!T$2,$C$4,shape_factors!T$3)</f>
        <v>-0.40677828606797134</v>
      </c>
      <c r="U44" s="5">
        <f>EnergyLJ($A44,$C$2,$C$3,shape_factors!U$2,$C$4,shape_factors!U$3)</f>
        <v>-0.74776453121531072</v>
      </c>
    </row>
    <row r="45" spans="1:21" x14ac:dyDescent="0.25">
      <c r="A45">
        <v>9.6000000000000103</v>
      </c>
      <c r="B45" s="5">
        <f>EnergyLJ($A45,$C$2,$C$3,shape_factors!B$2,$C$4,shape_factors!B$3)</f>
        <v>-1.1895107897736212</v>
      </c>
      <c r="C45" s="5">
        <f>EnergyLJ($A45,$C$2,$C$3,shape_factors!C$2,$C$4,shape_factors!C$3)</f>
        <v>-0.72425691760356437</v>
      </c>
      <c r="D45" s="5">
        <f>EnergyLJ($A45,$C$2,$C$3,shape_factors!D$2,$C$4,shape_factors!D$3)</f>
        <v>-1.0655869229501953</v>
      </c>
      <c r="E45" s="5">
        <f>EnergyLJ($A45,$C$2,$C$3,shape_factors!E$2,$C$4,shape_factors!E$3)</f>
        <v>-0.95917153795034726</v>
      </c>
      <c r="F45" s="5">
        <f>EnergyLJ($A45,$C$2,$C$3,shape_factors!F$2,$C$4,shape_factors!F$3)</f>
        <v>-0.67384237625478982</v>
      </c>
      <c r="G45" s="5">
        <f>EnergyLJ($A45,$C$2,$C$3,shape_factors!G$2,$C$4,shape_factors!G$3)</f>
        <v>-0.77825788883518809</v>
      </c>
      <c r="H45" s="5">
        <f>EnergyLJ($A45,$C$2,$C$3,shape_factors!H$2,$C$4,shape_factors!H$3)</f>
        <v>19.482264090714757</v>
      </c>
      <c r="I45" s="5">
        <f>EnergyLJ($A45,$C$2,$C$3,shape_factors!I$2,$C$4,shape_factors!I$3)</f>
        <v>-1.0547869068809306</v>
      </c>
      <c r="J45" s="5">
        <f>EnergyLJ($A45,$C$2,$C$3,shape_factors!J$2,$C$4,shape_factors!J$3)</f>
        <v>-0.48420210697185551</v>
      </c>
      <c r="K45" s="5">
        <f>EnergyLJ($A45,$C$2,$C$3,shape_factors!K$2,$C$4,shape_factors!K$3)</f>
        <v>-0.5329599002628439</v>
      </c>
      <c r="L45" s="5">
        <f>EnergyLJ($A45,$C$2,$C$3,shape_factors!L$2,$C$4,shape_factors!L$3)</f>
        <v>-0.62613704571354878</v>
      </c>
      <c r="M45" s="5">
        <f>EnergyLJ($A45,$C$2,$C$3,shape_factors!M$2,$C$4,shape_factors!M$3)</f>
        <v>-0.49490200263564649</v>
      </c>
      <c r="N45" s="5">
        <f>EnergyLJ($A45,$C$2,$C$3,shape_factors!N$2,$C$4,shape_factors!N$3)</f>
        <v>-0.39621330533624777</v>
      </c>
      <c r="O45" s="5">
        <f>EnergyLJ($A45,$C$2,$C$3,shape_factors!O$2,$C$4,shape_factors!O$3)</f>
        <v>-0.37558314362396467</v>
      </c>
      <c r="P45" s="5">
        <f>EnergyLJ($A45,$C$2,$C$3,shape_factors!P$2,$C$4,shape_factors!P$3)</f>
        <v>-0.40261231284175342</v>
      </c>
      <c r="Q45" s="5">
        <f>EnergyLJ($A45,$C$2,$C$3,shape_factors!Q$2,$C$4,shape_factors!Q$3)</f>
        <v>-0.41131238871578157</v>
      </c>
      <c r="R45" s="5">
        <f>EnergyLJ($A45,$C$2,$C$3,shape_factors!R$2,$C$4,shape_factors!R$3)</f>
        <v>-0.68325747746694565</v>
      </c>
      <c r="S45" s="5">
        <f>EnergyLJ($A45,$C$2,$C$3,shape_factors!S$2,$C$4,shape_factors!S$3)</f>
        <v>-0.4461904963660232</v>
      </c>
      <c r="T45" s="5">
        <f>EnergyLJ($A45,$C$2,$C$3,shape_factors!T$2,$C$4,shape_factors!T$3)</f>
        <v>-0.36293960022051303</v>
      </c>
      <c r="U45" s="5">
        <f>EnergyLJ($A45,$C$2,$C$3,shape_factors!U$2,$C$4,shape_factors!U$3)</f>
        <v>-0.67799669417839825</v>
      </c>
    </row>
    <row r="46" spans="1:21" x14ac:dyDescent="0.25">
      <c r="A46">
        <v>9.8000000000000096</v>
      </c>
      <c r="B46" s="5">
        <f>EnergyLJ($A46,$C$2,$C$3,shape_factors!B$2,$C$4,shape_factors!B$3)</f>
        <v>-1.1784653786447303</v>
      </c>
      <c r="C46" s="5">
        <f>EnergyLJ($A46,$C$2,$C$3,shape_factors!C$2,$C$4,shape_factors!C$3)</f>
        <v>-0.65712794949250353</v>
      </c>
      <c r="D46" s="5">
        <f>EnergyLJ($A46,$C$2,$C$3,shape_factors!D$2,$C$4,shape_factors!D$3)</f>
        <v>-1.1558737784307949</v>
      </c>
      <c r="E46" s="5">
        <f>EnergyLJ($A46,$C$2,$C$3,shape_factors!E$2,$C$4,shape_factors!E$3)</f>
        <v>-0.88586907537267168</v>
      </c>
      <c r="F46" s="5">
        <f>EnergyLJ($A46,$C$2,$C$3,shape_factors!F$2,$C$4,shape_factors!F$3)</f>
        <v>-0.60969058382458563</v>
      </c>
      <c r="G46" s="5">
        <f>EnergyLJ($A46,$C$2,$C$3,shape_factors!G$2,$C$4,shape_factors!G$3)</f>
        <v>-0.7084413346002677</v>
      </c>
      <c r="H46" s="5">
        <f>EnergyLJ($A46,$C$2,$C$3,shape_factors!H$2,$C$4,shape_factors!H$3)</f>
        <v>13.947082831532551</v>
      </c>
      <c r="I46" s="5">
        <f>EnergyLJ($A46,$C$2,$C$3,shape_factors!I$2,$C$4,shape_factors!I$3)</f>
        <v>-0.98581667622286839</v>
      </c>
      <c r="J46" s="5">
        <f>EnergyLJ($A46,$C$2,$C$3,shape_factors!J$2,$C$4,shape_factors!J$3)</f>
        <v>-0.43432149064129177</v>
      </c>
      <c r="K46" s="5">
        <f>EnergyLJ($A46,$C$2,$C$3,shape_factors!K$2,$C$4,shape_factors!K$3)</f>
        <v>-0.4790183187597124</v>
      </c>
      <c r="L46" s="5">
        <f>EnergyLJ($A46,$C$2,$C$3,shape_factors!L$2,$C$4,shape_factors!L$3)</f>
        <v>-0.56515835687984883</v>
      </c>
      <c r="M46" s="5">
        <f>EnergyLJ($A46,$C$2,$C$3,shape_factors!M$2,$C$4,shape_factors!M$3)</f>
        <v>-0.44411009956328018</v>
      </c>
      <c r="N46" s="5">
        <f>EnergyLJ($A46,$C$2,$C$3,shape_factors!N$2,$C$4,shape_factors!N$3)</f>
        <v>-0.35421632995109259</v>
      </c>
      <c r="O46" s="5">
        <f>EnergyLJ($A46,$C$2,$C$3,shape_factors!O$2,$C$4,shape_factors!O$3)</f>
        <v>-0.33552752087917931</v>
      </c>
      <c r="P46" s="5">
        <f>EnergyLJ($A46,$C$2,$C$3,shape_factors!P$2,$C$4,shape_factors!P$3)</f>
        <v>-0.36001997182877071</v>
      </c>
      <c r="Q46" s="5">
        <f>EnergyLJ($A46,$C$2,$C$3,shape_factors!Q$2,$C$4,shape_factors!Q$3)</f>
        <v>-0.36791587028200079</v>
      </c>
      <c r="R46" s="5">
        <f>EnergyLJ($A46,$C$2,$C$3,shape_factors!R$2,$C$4,shape_factors!R$3)</f>
        <v>-0.61851868934642429</v>
      </c>
      <c r="S46" s="5">
        <f>EnergyLJ($A46,$C$2,$C$3,shape_factors!S$2,$C$4,shape_factors!S$3)</f>
        <v>-0.39963318140664733</v>
      </c>
      <c r="T46" s="5">
        <f>EnergyLJ($A46,$C$2,$C$3,shape_factors!T$2,$C$4,shape_factors!T$3)</f>
        <v>-0.32408990117610492</v>
      </c>
      <c r="U46" s="5">
        <f>EnergyLJ($A46,$C$2,$C$3,shape_factors!U$2,$C$4,shape_factors!U$3)</f>
        <v>-0.61358422112724986</v>
      </c>
    </row>
    <row r="47" spans="1:21" x14ac:dyDescent="0.25">
      <c r="A47">
        <v>10</v>
      </c>
      <c r="B47" s="5">
        <f>EnergyLJ($A47,$C$2,$C$3,shape_factors!B$2,$C$4,shape_factors!B$3)</f>
        <v>-1.1417450207123234</v>
      </c>
      <c r="C47" s="5">
        <f>EnergyLJ($A47,$C$2,$C$3,shape_factors!C$2,$C$4,shape_factors!C$3)</f>
        <v>-0.5952825798238065</v>
      </c>
      <c r="D47" s="5">
        <f>EnergyLJ($A47,$C$2,$C$3,shape_factors!D$2,$C$4,shape_factors!D$3)</f>
        <v>-1.1884701797180015</v>
      </c>
      <c r="E47" s="5">
        <f>EnergyLJ($A47,$C$2,$C$3,shape_factors!E$2,$C$4,shape_factors!E$3)</f>
        <v>-0.8141620880667334</v>
      </c>
      <c r="F47" s="5">
        <f>EnergyLJ($A47,$C$2,$C$3,shape_factors!F$2,$C$4,shape_factors!F$3)</f>
        <v>-0.55104174243413551</v>
      </c>
      <c r="G47" s="5">
        <f>EnergyLJ($A47,$C$2,$C$3,shape_factors!G$2,$C$4,shape_factors!G$3)</f>
        <v>-0.64349980573504384</v>
      </c>
      <c r="H47" s="5">
        <f>EnergyLJ($A47,$C$2,$C$3,shape_factors!H$2,$C$4,shape_factors!H$3)</f>
        <v>9.8454375567709818</v>
      </c>
      <c r="I47" s="5">
        <f>EnergyLJ($A47,$C$2,$C$3,shape_factors!I$2,$C$4,shape_factors!I$3)</f>
        <v>-0.9145705313470246</v>
      </c>
      <c r="J47" s="5">
        <f>EnergyLJ($A47,$C$2,$C$3,shape_factors!J$2,$C$4,shape_factors!J$3)</f>
        <v>-0.38970512889615899</v>
      </c>
      <c r="K47" s="5">
        <f>EnergyLJ($A47,$C$2,$C$3,shape_factors!K$2,$C$4,shape_factors!K$3)</f>
        <v>-0.43053801524461011</v>
      </c>
      <c r="L47" s="5">
        <f>EnergyLJ($A47,$C$2,$C$3,shape_factors!L$2,$C$4,shape_factors!L$3)</f>
        <v>-0.50976693877017831</v>
      </c>
      <c r="M47" s="5">
        <f>EnergyLJ($A47,$C$2,$C$3,shape_factors!M$2,$C$4,shape_factors!M$3)</f>
        <v>-0.39863265078270865</v>
      </c>
      <c r="N47" s="5">
        <f>EnergyLJ($A47,$C$2,$C$3,shape_factors!N$2,$C$4,shape_factors!N$3)</f>
        <v>-0.31693581306768526</v>
      </c>
      <c r="O47" s="5">
        <f>EnergyLJ($A47,$C$2,$C$3,shape_factors!O$2,$C$4,shape_factors!O$3)</f>
        <v>-0.30002774030375784</v>
      </c>
      <c r="P47" s="5">
        <f>EnergyLJ($A47,$C$2,$C$3,shape_factors!P$2,$C$4,shape_factors!P$3)</f>
        <v>-0.32219155492835333</v>
      </c>
      <c r="Q47" s="5">
        <f>EnergyLJ($A47,$C$2,$C$3,shape_factors!Q$2,$C$4,shape_factors!Q$3)</f>
        <v>-0.3293459816560077</v>
      </c>
      <c r="R47" s="5">
        <f>EnergyLJ($A47,$C$2,$C$3,shape_factors!R$2,$C$4,shape_factors!R$3)</f>
        <v>-0.55925262089671912</v>
      </c>
      <c r="S47" s="5">
        <f>EnergyLJ($A47,$C$2,$C$3,shape_factors!S$2,$C$4,shape_factors!S$3)</f>
        <v>-0.358132028191948</v>
      </c>
      <c r="T47" s="5">
        <f>EnergyLJ($A47,$C$2,$C$3,shape_factors!T$2,$C$4,shape_factors!T$3)</f>
        <v>-0.28969202144681239</v>
      </c>
      <c r="U47" s="5">
        <f>EnergyLJ($A47,$C$2,$C$3,shape_factors!U$2,$C$4,shape_factors!U$3)</f>
        <v>-0.55466193974610001</v>
      </c>
    </row>
    <row r="48" spans="1:21" x14ac:dyDescent="0.25">
      <c r="A48">
        <v>10.199999999999999</v>
      </c>
      <c r="B48" s="5">
        <f>EnergyLJ($A48,$C$2,$C$3,shape_factors!B$2,$C$4,shape_factors!B$3)</f>
        <v>-1.0893399946834756</v>
      </c>
      <c r="C48" s="5">
        <f>EnergyLJ($A48,$C$2,$C$3,shape_factors!C$2,$C$4,shape_factors!C$3)</f>
        <v>-0.53876086203284335</v>
      </c>
      <c r="D48" s="5">
        <f>EnergyLJ($A48,$C$2,$C$3,shape_factors!D$2,$C$4,shape_factors!D$3)</f>
        <v>-1.1823476619755058</v>
      </c>
      <c r="E48" s="5">
        <f>EnergyLJ($A48,$C$2,$C$3,shape_factors!E$2,$C$4,shape_factors!E$3)</f>
        <v>-0.74566422341354277</v>
      </c>
      <c r="F48" s="5">
        <f>EnergyLJ($A48,$C$2,$C$3,shape_factors!F$2,$C$4,shape_factors!F$3)</f>
        <v>-0.49776349347606563</v>
      </c>
      <c r="G48" s="5">
        <f>EnergyLJ($A48,$C$2,$C$3,shape_factors!G$2,$C$4,shape_factors!G$3)</f>
        <v>-0.58370819061741408</v>
      </c>
      <c r="H48" s="5">
        <f>EnergyLJ($A48,$C$2,$C$3,shape_factors!H$2,$C$4,shape_factors!H$3)</f>
        <v>6.8053172371918684</v>
      </c>
      <c r="I48" s="5">
        <f>EnergyLJ($A48,$C$2,$C$3,shape_factors!I$2,$C$4,shape_factors!I$3)</f>
        <v>-0.84398737058675388</v>
      </c>
      <c r="J48" s="5">
        <f>EnergyLJ($A48,$C$2,$C$3,shape_factors!J$2,$C$4,shape_factors!J$3)</f>
        <v>-0.34987945193194148</v>
      </c>
      <c r="K48" s="5">
        <f>EnergyLJ($A48,$C$2,$C$3,shape_factors!K$2,$C$4,shape_factors!K$3)</f>
        <v>-0.38709395744098318</v>
      </c>
      <c r="L48" s="5">
        <f>EnergyLJ($A48,$C$2,$C$3,shape_factors!L$2,$C$4,shape_factors!L$3)</f>
        <v>-0.45970289150419147</v>
      </c>
      <c r="M48" s="5">
        <f>EnergyLJ($A48,$C$2,$C$3,shape_factors!M$2,$C$4,shape_factors!M$3)</f>
        <v>-0.35800472645552534</v>
      </c>
      <c r="N48" s="5">
        <f>EnergyLJ($A48,$C$2,$C$3,shape_factors!N$2,$C$4,shape_factors!N$3)</f>
        <v>-0.28386613340883049</v>
      </c>
      <c r="O48" s="5">
        <f>EnergyLJ($A48,$C$2,$C$3,shape_factors!O$2,$C$4,shape_factors!O$3)</f>
        <v>-0.26857996199756828</v>
      </c>
      <c r="P48" s="5">
        <f>EnergyLJ($A48,$C$2,$C$3,shape_factors!P$2,$C$4,shape_factors!P$3)</f>
        <v>-0.2886215683707693</v>
      </c>
      <c r="Q48" s="5">
        <f>EnergyLJ($A48,$C$2,$C$3,shape_factors!Q$2,$C$4,shape_factors!Q$3)</f>
        <v>-0.29509793066379469</v>
      </c>
      <c r="R48" s="5">
        <f>EnergyLJ($A48,$C$2,$C$3,shape_factors!R$2,$C$4,shape_factors!R$3)</f>
        <v>-0.50535601117231044</v>
      </c>
      <c r="S48" s="5">
        <f>EnergyLJ($A48,$C$2,$C$3,shape_factors!S$2,$C$4,shape_factors!S$3)</f>
        <v>-0.32119137014385707</v>
      </c>
      <c r="T48" s="5">
        <f>EnergyLJ($A48,$C$2,$C$3,shape_factors!T$2,$C$4,shape_factors!T$3)</f>
        <v>-0.25924482679782657</v>
      </c>
      <c r="U48" s="5">
        <f>EnergyLJ($A48,$C$2,$C$3,shape_factors!U$2,$C$4,shape_factors!U$3)</f>
        <v>-0.50111016293808996</v>
      </c>
    </row>
    <row r="49" spans="1:21" x14ac:dyDescent="0.25">
      <c r="A49">
        <v>10.4</v>
      </c>
      <c r="B49" s="5">
        <f>EnergyLJ($A49,$C$2,$C$3,shape_factors!B$2,$C$4,shape_factors!B$3)</f>
        <v>-1.0281157925153119</v>
      </c>
      <c r="C49" s="5">
        <f>EnergyLJ($A49,$C$2,$C$3,shape_factors!C$2,$C$4,shape_factors!C$3)</f>
        <v>-0.48739728577683905</v>
      </c>
      <c r="D49" s="5">
        <f>EnergyLJ($A49,$C$2,$C$3,shape_factors!D$2,$C$4,shape_factors!D$3)</f>
        <v>-1.1508639475619942</v>
      </c>
      <c r="E49" s="5">
        <f>EnergyLJ($A49,$C$2,$C$3,shape_factors!E$2,$C$4,shape_factors!E$3)</f>
        <v>-0.68127861403450907</v>
      </c>
      <c r="F49" s="5">
        <f>EnergyLJ($A49,$C$2,$C$3,shape_factors!F$2,$C$4,shape_factors!F$3)</f>
        <v>-0.44957986036806802</v>
      </c>
      <c r="G49" s="5">
        <f>EnergyLJ($A49,$C$2,$C$3,shape_factors!G$2,$C$4,shape_factors!G$3)</f>
        <v>-0.52905537512277523</v>
      </c>
      <c r="H49" s="5">
        <f>EnergyLJ($A49,$C$2,$C$3,shape_factors!H$2,$C$4,shape_factors!H$3)</f>
        <v>4.5539585067096056</v>
      </c>
      <c r="I49" s="5">
        <f>EnergyLJ($A49,$C$2,$C$3,shape_factors!I$2,$C$4,shape_factors!I$3)</f>
        <v>-0.77589774401842848</v>
      </c>
      <c r="J49" s="5">
        <f>EnergyLJ($A49,$C$2,$C$3,shape_factors!J$2,$C$4,shape_factors!J$3)</f>
        <v>-0.31437397663110822</v>
      </c>
      <c r="K49" s="5">
        <f>EnergyLJ($A49,$C$2,$C$3,shape_factors!K$2,$C$4,shape_factors!K$3)</f>
        <v>-0.34823748707409979</v>
      </c>
      <c r="L49" s="5">
        <f>EnergyLJ($A49,$C$2,$C$3,shape_factors!L$2,$C$4,shape_factors!L$3)</f>
        <v>-0.4146113147608238</v>
      </c>
      <c r="M49" s="5">
        <f>EnergyLJ($A49,$C$2,$C$3,shape_factors!M$2,$C$4,shape_factors!M$3)</f>
        <v>-0.32175918626341193</v>
      </c>
      <c r="N49" s="5">
        <f>EnergyLJ($A49,$C$2,$C$3,shape_factors!N$2,$C$4,shape_factors!N$3)</f>
        <v>-0.25453736469006422</v>
      </c>
      <c r="O49" s="5">
        <f>EnergyLJ($A49,$C$2,$C$3,shape_factors!O$2,$C$4,shape_factors!O$3)</f>
        <v>-0.24072107576642704</v>
      </c>
      <c r="P49" s="5">
        <f>EnergyLJ($A49,$C$2,$C$3,shape_factors!P$2,$C$4,shape_factors!P$3)</f>
        <v>-0.25883846074170908</v>
      </c>
      <c r="Q49" s="5">
        <f>EnergyLJ($A49,$C$2,$C$3,shape_factors!Q$2,$C$4,shape_factors!Q$3)</f>
        <v>-0.26469833625636202</v>
      </c>
      <c r="R49" s="5">
        <f>EnergyLJ($A49,$C$2,$C$3,shape_factors!R$2,$C$4,shape_factors!R$3)</f>
        <v>-0.45657128350133291</v>
      </c>
      <c r="S49" s="5">
        <f>EnergyLJ($A49,$C$2,$C$3,shape_factors!S$2,$C$4,shape_factors!S$3)</f>
        <v>-0.28833503134060418</v>
      </c>
      <c r="T49" s="5">
        <f>EnergyLJ($A49,$C$2,$C$3,shape_factors!T$2,$C$4,shape_factors!T$3)</f>
        <v>-0.23229054506050167</v>
      </c>
      <c r="U49" s="5">
        <f>EnergyLJ($A49,$C$2,$C$3,shape_factors!U$2,$C$4,shape_factors!U$3)</f>
        <v>-0.45266091240798534</v>
      </c>
    </row>
    <row r="50" spans="1:21" x14ac:dyDescent="0.25">
      <c r="A50">
        <v>10.6</v>
      </c>
      <c r="B50" s="5">
        <f>EnergyLJ($A50,$C$2,$C$3,shape_factors!B$2,$C$4,shape_factors!B$3)</f>
        <v>-0.9627486746753432</v>
      </c>
      <c r="C50" s="5">
        <f>EnergyLJ($A50,$C$2,$C$3,shape_factors!C$2,$C$4,shape_factors!C$3)</f>
        <v>-0.44090804241544762</v>
      </c>
      <c r="D50" s="5">
        <f>EnergyLJ($A50,$C$2,$C$3,shape_factors!D$2,$C$4,shape_factors!D$3)</f>
        <v>-1.1034010534379735</v>
      </c>
      <c r="E50" s="5">
        <f>EnergyLJ($A50,$C$2,$C$3,shape_factors!E$2,$C$4,shape_factors!E$3)</f>
        <v>-0.62143802451285923</v>
      </c>
      <c r="F50" s="5">
        <f>EnergyLJ($A50,$C$2,$C$3,shape_factors!F$2,$C$4,shape_factors!F$3)</f>
        <v>-0.40613889922003399</v>
      </c>
      <c r="G50" s="5">
        <f>EnergyLJ($A50,$C$2,$C$3,shape_factors!G$2,$C$4,shape_factors!G$3)</f>
        <v>-0.47935652217552521</v>
      </c>
      <c r="H50" s="5">
        <f>EnergyLJ($A50,$C$2,$C$3,shape_factors!H$2,$C$4,shape_factors!H$3)</f>
        <v>2.8904109633380783</v>
      </c>
      <c r="I50" s="5">
        <f>EnergyLJ($A50,$C$2,$C$3,shape_factors!I$2,$C$4,shape_factors!I$3)</f>
        <v>-0.711380888056097</v>
      </c>
      <c r="J50" s="5">
        <f>EnergyLJ($A50,$C$2,$C$3,shape_factors!J$2,$C$4,shape_factors!J$3)</f>
        <v>-0.28273970723966374</v>
      </c>
      <c r="K50" s="5">
        <f>EnergyLJ($A50,$C$2,$C$3,shape_factors!K$2,$C$4,shape_factors!K$3)</f>
        <v>-0.31352425466284112</v>
      </c>
      <c r="L50" s="5">
        <f>EnergyLJ($A50,$C$2,$C$3,shape_factors!L$2,$C$4,shape_factors!L$3)</f>
        <v>-0.37409423995212493</v>
      </c>
      <c r="M50" s="5">
        <f>EnergyLJ($A50,$C$2,$C$3,shape_factors!M$2,$C$4,shape_factors!M$3)</f>
        <v>-0.28944701176876247</v>
      </c>
      <c r="N50" s="5">
        <f>EnergyLJ($A50,$C$2,$C$3,shape_factors!N$2,$C$4,shape_factors!N$3)</f>
        <v>-0.22852090445222364</v>
      </c>
      <c r="O50" s="5">
        <f>EnergyLJ($A50,$C$2,$C$3,shape_factors!O$2,$C$4,shape_factors!O$3)</f>
        <v>-0.21603207750695846</v>
      </c>
      <c r="P50" s="5">
        <f>EnergyLJ($A50,$C$2,$C$3,shape_factors!P$2,$C$4,shape_factors!P$3)</f>
        <v>-0.23241100475856435</v>
      </c>
      <c r="Q50" s="5">
        <f>EnergyLJ($A50,$C$2,$C$3,shape_factors!Q$2,$C$4,shape_factors!Q$3)</f>
        <v>-0.23771267615349617</v>
      </c>
      <c r="R50" s="5">
        <f>EnergyLJ($A50,$C$2,$C$3,shape_factors!R$2,$C$4,shape_factors!R$3)</f>
        <v>-0.41255761175754374</v>
      </c>
      <c r="S50" s="5">
        <f>EnergyLJ($A50,$C$2,$C$3,shape_factors!S$2,$C$4,shape_factors!S$3)</f>
        <v>-0.25911855109830068</v>
      </c>
      <c r="T50" s="5">
        <f>EnergyLJ($A50,$C$2,$C$3,shape_factors!T$2,$C$4,shape_factors!T$3)</f>
        <v>-0.20841689089898399</v>
      </c>
      <c r="U50" s="5">
        <f>EnergyLJ($A50,$C$2,$C$3,shape_factors!U$2,$C$4,shape_factors!U$3)</f>
        <v>-0.40896706305646385</v>
      </c>
    </row>
    <row r="51" spans="1:21" x14ac:dyDescent="0.25">
      <c r="A51">
        <v>10.8</v>
      </c>
      <c r="B51" s="5">
        <f>EnergyLJ($A51,$C$2,$C$3,shape_factors!B$2,$C$4,shape_factors!B$3)</f>
        <v>-0.89638040350868875</v>
      </c>
      <c r="C51" s="5">
        <f>EnergyLJ($A51,$C$2,$C$3,shape_factors!C$2,$C$4,shape_factors!C$3)</f>
        <v>-0.39894800001162389</v>
      </c>
      <c r="D51" s="5">
        <f>EnergyLJ($A51,$C$2,$C$3,shape_factors!D$2,$C$4,shape_factors!D$3)</f>
        <v>-1.0465184883263507</v>
      </c>
      <c r="E51" s="5">
        <f>EnergyLJ($A51,$C$2,$C$3,shape_factors!E$2,$C$4,shape_factors!E$3)</f>
        <v>-0.56626854715034647</v>
      </c>
      <c r="F51" s="5">
        <f>EnergyLJ($A51,$C$2,$C$3,shape_factors!F$2,$C$4,shape_factors!F$3)</f>
        <v>-0.36705611687538114</v>
      </c>
      <c r="G51" s="5">
        <f>EnergyLJ($A51,$C$2,$C$3,shape_factors!G$2,$C$4,shape_factors!G$3)</f>
        <v>-0.4343274041906468</v>
      </c>
      <c r="H51" s="5">
        <f>EnergyLJ($A51,$C$2,$C$3,shape_factors!H$2,$C$4,shape_factors!H$3)</f>
        <v>1.6659743282089905</v>
      </c>
      <c r="I51" s="5">
        <f>EnergyLJ($A51,$C$2,$C$3,shape_factors!I$2,$C$4,shape_factors!I$3)</f>
        <v>-0.65101057732039691</v>
      </c>
      <c r="J51" s="5">
        <f>EnergyLJ($A51,$C$2,$C$3,shape_factors!J$2,$C$4,shape_factors!J$3)</f>
        <v>-0.25455893498706661</v>
      </c>
      <c r="K51" s="5">
        <f>EnergyLJ($A51,$C$2,$C$3,shape_factors!K$2,$C$4,shape_factors!K$3)</f>
        <v>-0.28253044674227273</v>
      </c>
      <c r="L51" s="5">
        <f>EnergyLJ($A51,$C$2,$C$3,shape_factors!L$2,$C$4,shape_factors!L$3)</f>
        <v>-0.33774323307541193</v>
      </c>
      <c r="M51" s="5">
        <f>EnergyLJ($A51,$C$2,$C$3,shape_factors!M$2,$C$4,shape_factors!M$3)</f>
        <v>-0.26064840283075807</v>
      </c>
      <c r="N51" s="5">
        <f>EnergyLJ($A51,$C$2,$C$3,shape_factors!N$2,$C$4,shape_factors!N$3)</f>
        <v>-0.20543081474065586</v>
      </c>
      <c r="O51" s="5">
        <f>EnergyLJ($A51,$C$2,$C$3,shape_factors!O$2,$C$4,shape_factors!O$3)</f>
        <v>-0.19413795221015342</v>
      </c>
      <c r="P51" s="5">
        <f>EnergyLJ($A51,$C$2,$C$3,shape_factors!P$2,$C$4,shape_factors!P$3)</f>
        <v>-0.20895012853941786</v>
      </c>
      <c r="Q51" s="5">
        <f>EnergyLJ($A51,$C$2,$C$3,shape_factors!Q$2,$C$4,shape_factors!Q$3)</f>
        <v>-0.21374781498546591</v>
      </c>
      <c r="R51" s="5">
        <f>EnergyLJ($A51,$C$2,$C$3,shape_factors!R$2,$C$4,shape_factors!R$3)</f>
        <v>-0.37293669487908992</v>
      </c>
      <c r="S51" s="5">
        <f>EnergyLJ($A51,$C$2,$C$3,shape_factors!S$2,$C$4,shape_factors!S$3)</f>
        <v>-0.23313486278649365</v>
      </c>
      <c r="T51" s="5">
        <f>EnergyLJ($A51,$C$2,$C$3,shape_factors!T$2,$C$4,shape_factors!T$3)</f>
        <v>-0.18725614670798907</v>
      </c>
      <c r="U51" s="5">
        <f>EnergyLJ($A51,$C$2,$C$3,shape_factors!U$2,$C$4,shape_factors!U$3)</f>
        <v>-0.36964679132017059</v>
      </c>
    </row>
    <row r="52" spans="1:21" x14ac:dyDescent="0.25">
      <c r="A52">
        <v>11</v>
      </c>
      <c r="B52" s="5">
        <f>EnergyLJ($A52,$C$2,$C$3,shape_factors!B$2,$C$4,shape_factors!B$3)</f>
        <v>-0.83107807543738066</v>
      </c>
      <c r="C52" s="5">
        <f>EnergyLJ($A52,$C$2,$C$3,shape_factors!C$2,$C$4,shape_factors!C$3)</f>
        <v>-0.36114739027456666</v>
      </c>
      <c r="D52" s="5">
        <f>EnergyLJ($A52,$C$2,$C$3,shape_factors!D$2,$C$4,shape_factors!D$3)</f>
        <v>-0.98476868503933401</v>
      </c>
      <c r="E52" s="5">
        <f>EnergyLJ($A52,$C$2,$C$3,shape_factors!E$2,$C$4,shape_factors!E$3)</f>
        <v>-0.51570102107540861</v>
      </c>
      <c r="F52" s="5">
        <f>EnergyLJ($A52,$C$2,$C$3,shape_factors!F$2,$C$4,shape_factors!F$3)</f>
        <v>-0.33194177475973174</v>
      </c>
      <c r="G52" s="5">
        <f>EnergyLJ($A52,$C$2,$C$3,shape_factors!G$2,$C$4,shape_factors!G$3)</f>
        <v>-0.39363316005261695</v>
      </c>
      <c r="H52" s="5">
        <f>EnergyLJ($A52,$C$2,$C$3,shape_factors!H$2,$C$4,shape_factors!H$3)</f>
        <v>0.77016410071155239</v>
      </c>
      <c r="I52" s="5">
        <f>EnergyLJ($A52,$C$2,$C$3,shape_factors!I$2,$C$4,shape_factors!I$3)</f>
        <v>-0.59502453119179555</v>
      </c>
      <c r="J52" s="5">
        <f>EnergyLJ($A52,$C$2,$C$3,shape_factors!J$2,$C$4,shape_factors!J$3)</f>
        <v>-0.22944962025890586</v>
      </c>
      <c r="K52" s="5">
        <f>EnergyLJ($A52,$C$2,$C$3,shape_factors!K$2,$C$4,shape_factors!K$3)</f>
        <v>-0.25486148348715693</v>
      </c>
      <c r="L52" s="5">
        <f>EnergyLJ($A52,$C$2,$C$3,shape_factors!L$2,$C$4,shape_factors!L$3)</f>
        <v>-0.3051592532471345</v>
      </c>
      <c r="M52" s="5">
        <f>EnergyLJ($A52,$C$2,$C$3,shape_factors!M$2,$C$4,shape_factors!M$3)</f>
        <v>-0.23497802581322511</v>
      </c>
      <c r="N52" s="5">
        <f>EnergyLJ($A52,$C$2,$C$3,shape_factors!N$2,$C$4,shape_factors!N$3)</f>
        <v>-0.18492265270566705</v>
      </c>
      <c r="O52" s="5">
        <f>EnergyLJ($A52,$C$2,$C$3,shape_factors!O$2,$C$4,shape_factors!O$3)</f>
        <v>-0.17470557720562485</v>
      </c>
      <c r="P52" s="5">
        <f>EnergyLJ($A52,$C$2,$C$3,shape_factors!P$2,$C$4,shape_factors!P$3)</f>
        <v>-0.18810806122835769</v>
      </c>
      <c r="Q52" s="5">
        <f>EnergyLJ($A52,$C$2,$C$3,shape_factors!Q$2,$C$4,shape_factors!Q$3)</f>
        <v>-0.19245159949318363</v>
      </c>
      <c r="R52" s="5">
        <f>EnergyLJ($A52,$C$2,$C$3,shape_factors!R$2,$C$4,shape_factors!R$3)</f>
        <v>-0.33732168819590236</v>
      </c>
      <c r="S52" s="5">
        <f>EnergyLJ($A52,$C$2,$C$3,shape_factors!S$2,$C$4,shape_factors!S$3)</f>
        <v>-0.21001594551847871</v>
      </c>
      <c r="T52" s="5">
        <f>EnergyLJ($A52,$C$2,$C$3,shape_factors!T$2,$C$4,shape_factors!T$3)</f>
        <v>-0.16848256249038285</v>
      </c>
      <c r="U52" s="5">
        <f>EnergyLJ($A52,$C$2,$C$3,shape_factors!U$2,$C$4,shape_factors!U$3)</f>
        <v>-0.33431159038350738</v>
      </c>
    </row>
    <row r="53" spans="1:21" x14ac:dyDescent="0.25">
      <c r="A53">
        <v>11.2</v>
      </c>
      <c r="B53" s="5">
        <f>EnergyLJ($A53,$C$2,$C$3,shape_factors!B$2,$C$4,shape_factors!B$3)</f>
        <v>-0.76815800367929388</v>
      </c>
      <c r="C53" s="5">
        <f>EnergyLJ($A53,$C$2,$C$3,shape_factors!C$2,$C$4,shape_factors!C$3)</f>
        <v>-0.32713492594651489</v>
      </c>
      <c r="D53" s="5">
        <f>EnergyLJ($A53,$C$2,$C$3,shape_factors!D$2,$C$4,shape_factors!D$3)</f>
        <v>-0.92127586634935177</v>
      </c>
      <c r="E53" s="5">
        <f>EnergyLJ($A53,$C$2,$C$3,shape_factors!E$2,$C$4,shape_factors!E$3)</f>
        <v>-0.46954660724601383</v>
      </c>
      <c r="F53" s="5">
        <f>EnergyLJ($A53,$C$2,$C$3,shape_factors!F$2,$C$4,shape_factors!F$3)</f>
        <v>-0.30041751039695525</v>
      </c>
      <c r="G53" s="5">
        <f>EnergyLJ($A53,$C$2,$C$3,shape_factors!G$2,$C$4,shape_factors!G$3)</f>
        <v>-0.35691981547606588</v>
      </c>
      <c r="H53" s="5">
        <f>EnergyLJ($A53,$C$2,$C$3,shape_factors!H$2,$C$4,shape_factors!H$3)</f>
        <v>0.12058509502652751</v>
      </c>
      <c r="I53" s="5">
        <f>EnergyLJ($A53,$C$2,$C$3,shape_factors!I$2,$C$4,shape_factors!I$3)</f>
        <v>-0.54344106758497346</v>
      </c>
      <c r="J53" s="5">
        <f>EnergyLJ($A53,$C$2,$C$3,shape_factors!J$2,$C$4,shape_factors!J$3)</f>
        <v>-0.20706643320748747</v>
      </c>
      <c r="K53" s="5">
        <f>EnergyLJ($A53,$C$2,$C$3,shape_factors!K$2,$C$4,shape_factors!K$3)</f>
        <v>-0.23015593624793582</v>
      </c>
      <c r="L53" s="5">
        <f>EnergyLJ($A53,$C$2,$C$3,shape_factors!L$2,$C$4,shape_factors!L$3)</f>
        <v>-0.27596415318943529</v>
      </c>
      <c r="M53" s="5">
        <f>EnergyLJ($A53,$C$2,$C$3,shape_factors!M$2,$C$4,shape_factors!M$3)</f>
        <v>-0.21208662758437075</v>
      </c>
      <c r="N53" s="5">
        <f>EnergyLJ($A53,$C$2,$C$3,shape_factors!N$2,$C$4,shape_factors!N$3)</f>
        <v>-0.16669091953308485</v>
      </c>
      <c r="O53" s="5">
        <f>EnergyLJ($A53,$C$2,$C$3,shape_factors!O$2,$C$4,shape_factors!O$3)</f>
        <v>-0.15744059679098102</v>
      </c>
      <c r="P53" s="5">
        <f>EnergyLJ($A53,$C$2,$C$3,shape_factors!P$2,$C$4,shape_factors!P$3)</f>
        <v>-0.16957597965280241</v>
      </c>
      <c r="Q53" s="5">
        <f>EnergyLJ($A53,$C$2,$C$3,shape_factors!Q$2,$C$4,shape_factors!Q$3)</f>
        <v>-0.17351078923236757</v>
      </c>
      <c r="R53" s="5">
        <f>EnergyLJ($A53,$C$2,$C$3,shape_factors!R$2,$C$4,shape_factors!R$3)</f>
        <v>-0.30533494873899147</v>
      </c>
      <c r="S53" s="5">
        <f>EnergyLJ($A53,$C$2,$C$3,shape_factors!S$2,$C$4,shape_factors!S$3)</f>
        <v>-0.18943207545261295</v>
      </c>
      <c r="T53" s="5">
        <f>EnergyLJ($A53,$C$2,$C$3,shape_factors!T$2,$C$4,shape_factors!T$3)</f>
        <v>-0.15180892501176751</v>
      </c>
      <c r="U53" s="5">
        <f>EnergyLJ($A53,$C$2,$C$3,shape_factors!U$2,$C$4,shape_factors!U$3)</f>
        <v>-0.30258338273045388</v>
      </c>
    </row>
    <row r="54" spans="1:21" x14ac:dyDescent="0.25">
      <c r="A54">
        <v>11.4</v>
      </c>
      <c r="B54" s="5">
        <f>EnergyLJ($A54,$C$2,$C$3,shape_factors!B$2,$C$4,shape_factors!B$3)</f>
        <v>-0.70841433841149204</v>
      </c>
      <c r="C54" s="5">
        <f>EnergyLJ($A54,$C$2,$C$3,shape_factors!C$2,$C$4,shape_factors!C$3)</f>
        <v>-0.29655187366891739</v>
      </c>
      <c r="D54" s="5">
        <f>EnergyLJ($A54,$C$2,$C$3,shape_factors!D$2,$C$4,shape_factors!D$3)</f>
        <v>-0.85814837448769243</v>
      </c>
      <c r="E54" s="5">
        <f>EnergyLJ($A54,$C$2,$C$3,shape_factors!E$2,$C$4,shape_factors!E$3)</f>
        <v>-0.42754774136642199</v>
      </c>
      <c r="F54" s="5">
        <f>EnergyLJ($A54,$C$2,$C$3,shape_factors!F$2,$C$4,shape_factors!F$3)</f>
        <v>-0.27212591826943333</v>
      </c>
      <c r="G54" s="5">
        <f>EnergyLJ($A54,$C$2,$C$3,shape_factors!G$2,$C$4,shape_factors!G$3)</f>
        <v>-0.32383420605222929</v>
      </c>
      <c r="H54" s="5">
        <f>EnergyLJ($A54,$C$2,$C$3,shape_factors!H$2,$C$4,shape_factors!H$3)</f>
        <v>-0.34441556715040439</v>
      </c>
      <c r="I54" s="5">
        <f>EnergyLJ($A54,$C$2,$C$3,shape_factors!I$2,$C$4,shape_factors!I$3)</f>
        <v>-0.49613924629311318</v>
      </c>
      <c r="J54" s="5">
        <f>EnergyLJ($A54,$C$2,$C$3,shape_factors!J$2,$C$4,shape_factors!J$3)</f>
        <v>-0.18709980144608324</v>
      </c>
      <c r="K54" s="5">
        <f>EnergyLJ($A54,$C$2,$C$3,shape_factors!K$2,$C$4,shape_factors!K$3)</f>
        <v>-0.20808647188002977</v>
      </c>
      <c r="L54" s="5">
        <f>EnergyLJ($A54,$C$2,$C$3,shape_factors!L$2,$C$4,shape_factors!L$3)</f>
        <v>-0.24980674676550763</v>
      </c>
      <c r="M54" s="5">
        <f>EnergyLJ($A54,$C$2,$C$3,shape_factors!M$2,$C$4,shape_factors!M$3)</f>
        <v>-0.1916604577733631</v>
      </c>
      <c r="N54" s="5">
        <f>EnergyLJ($A54,$C$2,$C$3,shape_factors!N$2,$C$4,shape_factors!N$3)</f>
        <v>-0.15046583551827769</v>
      </c>
      <c r="O54" s="5">
        <f>EnergyLJ($A54,$C$2,$C$3,shape_factors!O$2,$C$4,shape_factors!O$3)</f>
        <v>-0.14208385695788084</v>
      </c>
      <c r="P54" s="5">
        <f>EnergyLJ($A54,$C$2,$C$3,shape_factors!P$2,$C$4,shape_factors!P$3)</f>
        <v>-0.15308090304756192</v>
      </c>
      <c r="Q54" s="5">
        <f>EnergyLJ($A54,$C$2,$C$3,shape_factors!Q$2,$C$4,shape_factors!Q$3)</f>
        <v>-0.15664812491175462</v>
      </c>
      <c r="R54" s="5">
        <f>EnergyLJ($A54,$C$2,$C$3,shape_factors!R$2,$C$4,shape_factors!R$3)</f>
        <v>-0.27661839078839745</v>
      </c>
      <c r="S54" s="5">
        <f>EnergyLJ($A54,$C$2,$C$3,shape_factors!S$2,$C$4,shape_factors!S$3)</f>
        <v>-0.1710897208621088</v>
      </c>
      <c r="T54" s="5">
        <f>EnergyLJ($A54,$C$2,$C$3,shape_factors!T$2,$C$4,shape_factors!T$3)</f>
        <v>-0.13698281735802514</v>
      </c>
      <c r="U54" s="5">
        <f>EnergyLJ($A54,$C$2,$C$3,shape_factors!U$2,$C$4,shape_factors!U$3)</f>
        <v>-0.27410443935870576</v>
      </c>
    </row>
    <row r="55" spans="1:21" x14ac:dyDescent="0.25">
      <c r="A55">
        <v>11.6</v>
      </c>
      <c r="B55" s="5">
        <f>EnergyLJ($A55,$C$2,$C$3,shape_factors!B$2,$C$4,shape_factors!B$3)</f>
        <v>-0.65228066086838088</v>
      </c>
      <c r="C55" s="5">
        <f>EnergyLJ($A55,$C$2,$C$3,shape_factors!C$2,$C$4,shape_factors!C$3)</f>
        <v>-0.26906013539859758</v>
      </c>
      <c r="D55" s="5">
        <f>EnergyLJ($A55,$C$2,$C$3,shape_factors!D$2,$C$4,shape_factors!D$3)</f>
        <v>-0.79677320949686925</v>
      </c>
      <c r="E55" s="5">
        <f>EnergyLJ($A55,$C$2,$C$3,shape_factors!E$2,$C$4,shape_factors!E$3)</f>
        <v>-0.38941215968813453</v>
      </c>
      <c r="F55" s="5">
        <f>EnergyLJ($A55,$C$2,$C$3,shape_factors!F$2,$C$4,shape_factors!F$3)</f>
        <v>-0.24673553367269818</v>
      </c>
      <c r="G55" s="5">
        <f>EnergyLJ($A55,$C$2,$C$3,shape_factors!G$2,$C$4,shape_factors!G$3)</f>
        <v>-0.29403612618893576</v>
      </c>
      <c r="H55" s="5">
        <f>EnergyLJ($A55,$C$2,$C$3,shape_factors!H$2,$C$4,shape_factors!H$3)</f>
        <v>-0.67110686469341208</v>
      </c>
      <c r="I55" s="5">
        <f>EnergyLJ($A55,$C$2,$C$3,shape_factors!I$2,$C$4,shape_factors!I$3)</f>
        <v>-0.45291368849456548</v>
      </c>
      <c r="J55" s="5">
        <f>EnergyLJ($A55,$C$2,$C$3,shape_factors!J$2,$C$4,shape_factors!J$3)</f>
        <v>-0.169273835202818</v>
      </c>
      <c r="K55" s="5">
        <f>EnergyLJ($A55,$C$2,$C$3,shape_factors!K$2,$C$4,shape_factors!K$3)</f>
        <v>-0.18835900704139144</v>
      </c>
      <c r="L55" s="5">
        <f>EnergyLJ($A55,$C$2,$C$3,shape_factors!L$2,$C$4,shape_factors!L$3)</f>
        <v>-0.22636539385578233</v>
      </c>
      <c r="M55" s="5">
        <f>EnergyLJ($A55,$C$2,$C$3,shape_factors!M$2,$C$4,shape_factors!M$3)</f>
        <v>-0.17341943359655759</v>
      </c>
      <c r="N55" s="5">
        <f>EnergyLJ($A55,$C$2,$C$3,shape_factors!N$2,$C$4,shape_factors!N$3)</f>
        <v>-0.13600987713621568</v>
      </c>
      <c r="O55" s="5">
        <f>EnergyLJ($A55,$C$2,$C$3,shape_factors!O$2,$C$4,shape_factors!O$3)</f>
        <v>-0.12840775593968978</v>
      </c>
      <c r="P55" s="5">
        <f>EnergyLJ($A55,$C$2,$C$3,shape_factors!P$2,$C$4,shape_factors!P$3)</f>
        <v>-0.13838229814323902</v>
      </c>
      <c r="Q55" s="5">
        <f>EnergyLJ($A55,$C$2,$C$3,shape_factors!Q$2,$C$4,shape_factors!Q$3)</f>
        <v>-0.1416190338535647</v>
      </c>
      <c r="R55" s="5">
        <f>EnergyLJ($A55,$C$2,$C$3,shape_factors!R$2,$C$4,shape_factors!R$3)</f>
        <v>-0.25083900186566654</v>
      </c>
      <c r="S55" s="5">
        <f>EnergyLJ($A55,$C$2,$C$3,shape_factors!S$2,$C$4,shape_factors!S$3)</f>
        <v>-0.15472874432804912</v>
      </c>
      <c r="T55" s="5">
        <f>EnergyLJ($A55,$C$2,$C$3,shape_factors!T$2,$C$4,shape_factors!T$3)</f>
        <v>-0.12378287928952297</v>
      </c>
      <c r="U55" s="5">
        <f>EnergyLJ($A55,$C$2,$C$3,shape_factors!U$2,$C$4,shape_factors!U$3)</f>
        <v>-0.2485425959308912</v>
      </c>
    </row>
    <row r="56" spans="1:21" x14ac:dyDescent="0.25">
      <c r="A56">
        <v>11.8</v>
      </c>
      <c r="B56" s="5">
        <f>EnergyLJ($A56,$C$2,$C$3,shape_factors!B$2,$C$4,shape_factors!B$3)</f>
        <v>-0.59994424842346938</v>
      </c>
      <c r="C56" s="5">
        <f>EnergyLJ($A56,$C$2,$C$3,shape_factors!C$2,$C$4,shape_factors!C$3)</f>
        <v>-0.24434639963881416</v>
      </c>
      <c r="D56" s="5">
        <f>EnergyLJ($A56,$C$2,$C$3,shape_factors!D$2,$C$4,shape_factors!D$3)</f>
        <v>-0.7380268934253954</v>
      </c>
      <c r="E56" s="5">
        <f>EnergyLJ($A56,$C$2,$C$3,shape_factors!E$2,$C$4,shape_factors!E$3)</f>
        <v>-0.35483529250380591</v>
      </c>
      <c r="F56" s="5">
        <f>EnergyLJ($A56,$C$2,$C$3,shape_factors!F$2,$C$4,shape_factors!F$3)</f>
        <v>-0.22394285855777052</v>
      </c>
      <c r="G56" s="5">
        <f>EnergyLJ($A56,$C$2,$C$3,shape_factors!G$2,$C$4,shape_factors!G$3)</f>
        <v>-0.26720529995846531</v>
      </c>
      <c r="H56" s="5">
        <f>EnergyLJ($A56,$C$2,$C$3,shape_factors!H$2,$C$4,shape_factors!H$3)</f>
        <v>-0.89430143745990287</v>
      </c>
      <c r="I56" s="5">
        <f>EnergyLJ($A56,$C$2,$C$3,shape_factors!I$2,$C$4,shape_factors!I$3)</f>
        <v>-0.41351180881432842</v>
      </c>
      <c r="J56" s="5">
        <f>EnergyLJ($A56,$C$2,$C$3,shape_factors!J$2,$C$4,shape_factors!J$3)</f>
        <v>-0.1533436856345653</v>
      </c>
      <c r="K56" s="5">
        <f>EnergyLJ($A56,$C$2,$C$3,shape_factors!K$2,$C$4,shape_factors!K$3)</f>
        <v>-0.1707108422686292</v>
      </c>
      <c r="L56" s="5">
        <f>EnergyLJ($A56,$C$2,$C$3,shape_factors!L$2,$C$4,shape_factors!L$3)</f>
        <v>-0.20534840050944156</v>
      </c>
      <c r="M56" s="5">
        <f>EnergyLJ($A56,$C$2,$C$3,shape_factors!M$2,$C$4,shape_factors!M$3)</f>
        <v>-0.15711464663395724</v>
      </c>
      <c r="N56" s="5">
        <f>EnergyLJ($A56,$C$2,$C$3,shape_factors!N$2,$C$4,shape_factors!N$3)</f>
        <v>-0.12311433670688533</v>
      </c>
      <c r="O56" s="5">
        <f>EnergyLJ($A56,$C$2,$C$3,shape_factors!O$2,$C$4,shape_factors!O$3)</f>
        <v>-0.11621271726875552</v>
      </c>
      <c r="P56" s="5">
        <f>EnergyLJ($A56,$C$2,$C$3,shape_factors!P$2,$C$4,shape_factors!P$3)</f>
        <v>-0.12526867305805844</v>
      </c>
      <c r="Q56" s="5">
        <f>EnergyLJ($A56,$C$2,$C$3,shape_factors!Q$2,$C$4,shape_factors!Q$3)</f>
        <v>-0.12820827613841829</v>
      </c>
      <c r="R56" s="5">
        <f>EnergyLJ($A56,$C$2,$C$3,shape_factors!R$2,$C$4,shape_factors!R$3)</f>
        <v>-0.22769123192835072</v>
      </c>
      <c r="S56" s="5">
        <f>EnergyLJ($A56,$C$2,$C$3,shape_factors!S$2,$C$4,shape_factors!S$3)</f>
        <v>-0.14011932671072896</v>
      </c>
      <c r="T56" s="5">
        <f>EnergyLJ($A56,$C$2,$C$3,shape_factors!T$2,$C$4,shape_factors!T$3)</f>
        <v>-0.11201524469214756</v>
      </c>
      <c r="U56" s="5">
        <f>EnergyLJ($A56,$C$2,$C$3,shape_factors!U$2,$C$4,shape_factors!U$3)</f>
        <v>-0.22559343712852589</v>
      </c>
    </row>
    <row r="57" spans="1:21" x14ac:dyDescent="0.25">
      <c r="A57">
        <v>12</v>
      </c>
      <c r="B57" s="5">
        <f>EnergyLJ($A57,$C$2,$C$3,shape_factors!B$2,$C$4,shape_factors!B$3)</f>
        <v>-0.55142681648758163</v>
      </c>
      <c r="C57" s="5">
        <f>EnergyLJ($A57,$C$2,$C$3,shape_factors!C$2,$C$4,shape_factors!C$3)</f>
        <v>-0.22212375319772276</v>
      </c>
      <c r="D57" s="5">
        <f>EnergyLJ($A57,$C$2,$C$3,shape_factors!D$2,$C$4,shape_factors!D$3)</f>
        <v>-0.68242666289611609</v>
      </c>
      <c r="E57" s="5">
        <f>EnergyLJ($A57,$C$2,$C$3,shape_factors!E$2,$C$4,shape_factors!E$3)</f>
        <v>-0.32351467889368418</v>
      </c>
      <c r="F57" s="5">
        <f>EnergyLJ($A57,$C$2,$C$3,shape_factors!F$2,$C$4,shape_factors!F$3)</f>
        <v>-0.20347252634483287</v>
      </c>
      <c r="G57" s="5">
        <f>EnergyLJ($A57,$C$2,$C$3,shape_factors!G$2,$C$4,shape_factors!G$3)</f>
        <v>-0.24304493742026059</v>
      </c>
      <c r="H57" s="5">
        <f>EnergyLJ($A57,$C$2,$C$3,shape_factors!H$2,$C$4,shape_factors!H$3)</f>
        <v>-1.0402480226393624</v>
      </c>
      <c r="I57" s="5">
        <f>EnergyLJ($A57,$C$2,$C$3,shape_factors!I$2,$C$4,shape_factors!I$3)</f>
        <v>-0.37765882949779045</v>
      </c>
      <c r="J57" s="5">
        <f>EnergyLJ($A57,$C$2,$C$3,shape_factors!J$2,$C$4,shape_factors!J$3)</f>
        <v>-0.13909268518851908</v>
      </c>
      <c r="K57" s="5">
        <f>EnergyLJ($A57,$C$2,$C$3,shape_factors!K$2,$C$4,shape_factors!K$3)</f>
        <v>-0.15490827156245063</v>
      </c>
      <c r="L57" s="5">
        <f>EnergyLJ($A57,$C$2,$C$3,shape_factors!L$2,$C$4,shape_factors!L$3)</f>
        <v>-0.18649309474656436</v>
      </c>
      <c r="M57" s="5">
        <f>EnergyLJ($A57,$C$2,$C$3,shape_factors!M$2,$C$4,shape_factors!M$3)</f>
        <v>-0.14252559033294432</v>
      </c>
      <c r="N57" s="5">
        <f>EnergyLJ($A57,$C$2,$C$3,shape_factors!N$2,$C$4,shape_factors!N$3)</f>
        <v>-0.11159605302764504</v>
      </c>
      <c r="O57" s="5">
        <f>EnergyLJ($A57,$C$2,$C$3,shape_factors!O$2,$C$4,shape_factors!O$3)</f>
        <v>-0.10532389749360563</v>
      </c>
      <c r="P57" s="5">
        <f>EnergyLJ($A57,$C$2,$C$3,shape_factors!P$2,$C$4,shape_factors!P$3)</f>
        <v>-0.1135543203892229</v>
      </c>
      <c r="Q57" s="5">
        <f>EnergyLJ($A57,$C$2,$C$3,shape_factors!Q$2,$C$4,shape_factors!Q$3)</f>
        <v>-0.11622670879255964</v>
      </c>
      <c r="R57" s="5">
        <f>EnergyLJ($A57,$C$2,$C$3,shape_factors!R$2,$C$4,shape_factors!R$3)</f>
        <v>-0.20689740400513443</v>
      </c>
      <c r="S57" s="5">
        <f>EnergyLJ($A57,$C$2,$C$3,shape_factors!S$2,$C$4,shape_factors!S$3)</f>
        <v>-0.12705886558482887</v>
      </c>
      <c r="T57" s="5">
        <f>EnergyLJ($A57,$C$2,$C$3,shape_factors!T$2,$C$4,shape_factors!T$3)</f>
        <v>-0.10151024795030625</v>
      </c>
      <c r="U57" s="5">
        <f>EnergyLJ($A57,$C$2,$C$3,shape_factors!U$2,$C$4,shape_factors!U$3)</f>
        <v>-0.20498056861357364</v>
      </c>
    </row>
    <row r="58" spans="1:21" x14ac:dyDescent="0.25">
      <c r="A58">
        <v>12.2</v>
      </c>
      <c r="B58" s="5">
        <f>EnergyLJ($A58,$C$2,$C$3,shape_factors!B$2,$C$4,shape_factors!B$3)</f>
        <v>-0.50664145638771796</v>
      </c>
      <c r="C58" s="5">
        <f>EnergyLJ($A58,$C$2,$C$3,shape_factors!C$2,$C$4,shape_factors!C$3)</f>
        <v>-0.20213168961505221</v>
      </c>
      <c r="D58" s="5">
        <f>EnergyLJ($A58,$C$2,$C$3,shape_factors!D$2,$C$4,shape_factors!D$3)</f>
        <v>-0.63023895874468583</v>
      </c>
      <c r="E58" s="5">
        <f>EnergyLJ($A58,$C$2,$C$3,shape_factors!E$2,$C$4,shape_factors!E$3)</f>
        <v>-0.2951589290507004</v>
      </c>
      <c r="F58" s="5">
        <f>EnergyLJ($A58,$C$2,$C$3,shape_factors!F$2,$C$4,shape_factors!F$3)</f>
        <v>-0.18507633684920075</v>
      </c>
      <c r="G58" s="5">
        <f>EnergyLJ($A58,$C$2,$C$3,shape_factors!G$2,$C$4,shape_factors!G$3)</f>
        <v>-0.22128307349214091</v>
      </c>
      <c r="H58" s="5">
        <f>EnergyLJ($A58,$C$2,$C$3,shape_factors!H$2,$C$4,shape_factors!H$3)</f>
        <v>-1.1287711556743336</v>
      </c>
      <c r="I58" s="5">
        <f>EnergyLJ($A58,$C$2,$C$3,shape_factors!I$2,$C$4,shape_factors!I$3)</f>
        <v>-0.34507431477566664</v>
      </c>
      <c r="J58" s="5">
        <f>EnergyLJ($A58,$C$2,$C$3,shape_factors!J$2,$C$4,shape_factors!J$3)</f>
        <v>-0.12632948338691133</v>
      </c>
      <c r="K58" s="5">
        <f>EnergyLJ($A58,$C$2,$C$3,shape_factors!K$2,$C$4,shape_factors!K$3)</f>
        <v>-0.1407439816708965</v>
      </c>
      <c r="L58" s="5">
        <f>EnergyLJ($A58,$C$2,$C$3,shape_factors!L$2,$C$4,shape_factors!L$3)</f>
        <v>-0.16956414452132224</v>
      </c>
      <c r="M58" s="5">
        <f>EnergyLJ($A58,$C$2,$C$3,shape_factors!M$2,$C$4,shape_factors!M$3)</f>
        <v>-0.12945734207982265</v>
      </c>
      <c r="N58" s="5">
        <f>EnergyLJ($A58,$C$2,$C$3,shape_factors!N$2,$C$4,shape_factors!N$3)</f>
        <v>-0.10129439020633509</v>
      </c>
      <c r="O58" s="5">
        <f>EnergyLJ($A58,$C$2,$C$3,shape_factors!O$2,$C$4,shape_factors!O$3)</f>
        <v>-9.558818153339671E-2</v>
      </c>
      <c r="P58" s="5">
        <f>EnergyLJ($A58,$C$2,$C$3,shape_factors!P$2,$C$4,shape_factors!P$3)</f>
        <v>-0.10307629482205032</v>
      </c>
      <c r="Q58" s="5">
        <f>EnergyLJ($A58,$C$2,$C$3,shape_factors!Q$2,$C$4,shape_factors!Q$3)</f>
        <v>-0.10550826476269758</v>
      </c>
      <c r="R58" s="5">
        <f>EnergyLJ($A58,$C$2,$C$3,shape_factors!R$2,$C$4,shape_factors!R$3)</f>
        <v>-0.18820691314065377</v>
      </c>
      <c r="S58" s="5">
        <f>EnergyLJ($A58,$C$2,$C$3,shape_factors!S$2,$C$4,shape_factors!S$3)</f>
        <v>-0.11536899589847671</v>
      </c>
      <c r="T58" s="5">
        <f>EnergyLJ($A58,$C$2,$C$3,shape_factors!T$2,$C$4,shape_factors!T$3)</f>
        <v>-9.211943868372828E-2</v>
      </c>
      <c r="U58" s="5">
        <f>EnergyLJ($A58,$C$2,$C$3,shape_factors!U$2,$C$4,shape_factors!U$3)</f>
        <v>-0.18645472336512306</v>
      </c>
    </row>
    <row r="59" spans="1:21" x14ac:dyDescent="0.25">
      <c r="A59">
        <v>12.4</v>
      </c>
      <c r="B59" s="5">
        <f>EnergyLJ($A59,$C$2,$C$3,shape_factors!B$2,$C$4,shape_factors!B$3)</f>
        <v>-0.46543263879664071</v>
      </c>
      <c r="C59" s="5">
        <f>EnergyLJ($A59,$C$2,$C$3,shape_factors!C$2,$C$4,shape_factors!C$3)</f>
        <v>-0.18413514166374742</v>
      </c>
      <c r="D59" s="5">
        <f>EnergyLJ($A59,$C$2,$C$3,shape_factors!D$2,$C$4,shape_factors!D$3)</f>
        <v>-0.58155726314375378</v>
      </c>
      <c r="E59" s="5">
        <f>EnergyLJ($A59,$C$2,$C$3,shape_factors!E$2,$C$4,shape_factors!E$3)</f>
        <v>-0.26949298327999466</v>
      </c>
      <c r="F59" s="5">
        <f>EnergyLJ($A59,$C$2,$C$3,shape_factors!F$2,$C$4,shape_factors!F$3)</f>
        <v>-0.16853164525431924</v>
      </c>
      <c r="G59" s="5">
        <f>EnergyLJ($A59,$C$2,$C$3,shape_factors!G$2,$C$4,shape_factors!G$3)</f>
        <v>-0.2016724999657484</v>
      </c>
      <c r="H59" s="5">
        <f>EnergyLJ($A59,$C$2,$C$3,shape_factors!H$2,$C$4,shape_factors!H$3)</f>
        <v>-1.1748607671196314</v>
      </c>
      <c r="I59" s="5">
        <f>EnergyLJ($A59,$C$2,$C$3,shape_factors!I$2,$C$4,shape_factors!I$3)</f>
        <v>-0.31548283395196608</v>
      </c>
      <c r="J59" s="5">
        <f>EnergyLJ($A59,$C$2,$C$3,shape_factors!J$2,$C$4,shape_factors!J$3)</f>
        <v>-0.11488530310588943</v>
      </c>
      <c r="K59" s="5">
        <f>EnergyLJ($A59,$C$2,$C$3,shape_factors!K$2,$C$4,shape_factors!K$3)</f>
        <v>-0.12803443534993972</v>
      </c>
      <c r="L59" s="5">
        <f>EnergyLJ($A59,$C$2,$C$3,shape_factors!L$2,$C$4,shape_factors!L$3)</f>
        <v>-0.15435148696764331</v>
      </c>
      <c r="M59" s="5">
        <f>EnergyLJ($A59,$C$2,$C$3,shape_factors!M$2,$C$4,shape_factors!M$3)</f>
        <v>-0.11773783891447331</v>
      </c>
      <c r="N59" s="5">
        <f>EnergyLJ($A59,$C$2,$C$3,shape_factors!N$2,$C$4,shape_factors!N$3)</f>
        <v>-9.2068497548840902E-2</v>
      </c>
      <c r="O59" s="5">
        <f>EnergyLJ($A59,$C$2,$C$3,shape_factors!O$2,$C$4,shape_factors!O$3)</f>
        <v>-8.6871482371229033E-2</v>
      </c>
      <c r="P59" s="5">
        <f>EnergyLJ($A59,$C$2,$C$3,shape_factors!P$2,$C$4,shape_factors!P$3)</f>
        <v>-9.3691663520710955E-2</v>
      </c>
      <c r="Q59" s="5">
        <f>EnergyLJ($A59,$C$2,$C$3,shape_factors!Q$2,$C$4,shape_factors!Q$3)</f>
        <v>-9.590719260866018E-2</v>
      </c>
      <c r="R59" s="5">
        <f>EnergyLJ($A59,$C$2,$C$3,shape_factors!R$2,$C$4,shape_factors!R$3)</f>
        <v>-0.17139472255422425</v>
      </c>
      <c r="S59" s="5">
        <f>EnergyLJ($A59,$C$2,$C$3,shape_factors!S$2,$C$4,shape_factors!S$3)</f>
        <v>-0.1048928132347116</v>
      </c>
      <c r="T59" s="5">
        <f>EnergyLJ($A59,$C$2,$C$3,shape_factors!T$2,$C$4,shape_factors!T$3)</f>
        <v>-8.3712912600154885E-2</v>
      </c>
      <c r="U59" s="5">
        <f>EnergyLJ($A59,$C$2,$C$3,shape_factors!U$2,$C$4,shape_factors!U$3)</f>
        <v>-0.16979219724486971</v>
      </c>
    </row>
    <row r="60" spans="1:21" x14ac:dyDescent="0.25">
      <c r="A60">
        <v>12.6</v>
      </c>
      <c r="B60" s="5">
        <f>EnergyLJ($A60,$C$2,$C$3,shape_factors!B$2,$C$4,shape_factors!B$3)</f>
        <v>-0.42760415561265275</v>
      </c>
      <c r="C60" s="5">
        <f>EnergyLJ($A60,$C$2,$C$3,shape_factors!C$2,$C$4,shape_factors!C$3)</f>
        <v>-0.16792295545030242</v>
      </c>
      <c r="D60" s="5">
        <f>EnergyLJ($A60,$C$2,$C$3,shape_factors!D$2,$C$4,shape_factors!D$3)</f>
        <v>-0.53635787777265465</v>
      </c>
      <c r="E60" s="5">
        <f>EnergyLJ($A60,$C$2,$C$3,shape_factors!E$2,$C$4,shape_factors!E$3)</f>
        <v>-0.24626087904269284</v>
      </c>
      <c r="F60" s="5">
        <f>EnergyLJ($A60,$C$2,$C$3,shape_factors!F$2,$C$4,shape_factors!F$3)</f>
        <v>-0.15363942202757441</v>
      </c>
      <c r="G60" s="5">
        <f>EnergyLJ($A60,$C$2,$C$3,shape_factors!G$2,$C$4,shape_factors!G$3)</f>
        <v>-0.18398983713807648</v>
      </c>
      <c r="H60" s="5">
        <f>EnergyLJ($A60,$C$2,$C$3,shape_factors!H$2,$C$4,shape_factors!H$3)</f>
        <v>-1.1898578509239353</v>
      </c>
      <c r="I60" s="5">
        <f>EnergyLJ($A60,$C$2,$C$3,shape_factors!I$2,$C$4,shape_factors!I$3)</f>
        <v>-0.28862057660066287</v>
      </c>
      <c r="J60" s="5">
        <f>EnergyLJ($A60,$C$2,$C$3,shape_factors!J$2,$C$4,shape_factors!J$3)</f>
        <v>-0.1046113853865477</v>
      </c>
      <c r="K60" s="5">
        <f>EnergyLJ($A60,$C$2,$C$3,shape_factors!K$2,$C$4,shape_factors!K$3)</f>
        <v>-0.11661735408804672</v>
      </c>
      <c r="L60" s="5">
        <f>EnergyLJ($A60,$C$2,$C$3,shape_factors!L$2,$C$4,shape_factors!L$3)</f>
        <v>-0.14066810562486506</v>
      </c>
      <c r="M60" s="5">
        <f>EnergyLJ($A60,$C$2,$C$3,shape_factors!M$2,$C$4,shape_factors!M$3)</f>
        <v>-0.10721532449001447</v>
      </c>
      <c r="N60" s="5">
        <f>EnergyLJ($A60,$C$2,$C$3,shape_factors!N$2,$C$4,shape_factors!N$3)</f>
        <v>-8.3794856345226709E-2</v>
      </c>
      <c r="O60" s="5">
        <f>EnergyLJ($A60,$C$2,$C$3,shape_factors!O$2,$C$4,shape_factors!O$3)</f>
        <v>-7.905634027036651E-2</v>
      </c>
      <c r="P60" s="5">
        <f>EnergyLJ($A60,$C$2,$C$3,shape_factors!P$2,$C$4,shape_factors!P$3)</f>
        <v>-8.527503873810853E-2</v>
      </c>
      <c r="Q60" s="5">
        <f>EnergyLJ($A60,$C$2,$C$3,shape_factors!Q$2,$C$4,shape_factors!Q$3)</f>
        <v>-8.7295571459888088E-2</v>
      </c>
      <c r="R60" s="5">
        <f>EnergyLJ($A60,$C$2,$C$3,shape_factors!R$2,$C$4,shape_factors!R$3)</f>
        <v>-0.15625949139261874</v>
      </c>
      <c r="S60" s="5">
        <f>EnergyLJ($A60,$C$2,$C$3,shape_factors!S$2,$C$4,shape_factors!S$3)</f>
        <v>-9.549233736442489E-2</v>
      </c>
      <c r="T60" s="5">
        <f>EnergyLJ($A60,$C$2,$C$3,shape_factors!T$2,$C$4,shape_factors!T$3)</f>
        <v>-7.6176947795668776E-2</v>
      </c>
      <c r="U60" s="5">
        <f>EnergyLJ($A60,$C$2,$C$3,shape_factors!U$2,$C$4,shape_factors!U$3)</f>
        <v>-0.15479293833130131</v>
      </c>
    </row>
    <row r="61" spans="1:21" x14ac:dyDescent="0.25">
      <c r="A61">
        <v>12.8</v>
      </c>
      <c r="B61" s="5">
        <f>EnergyLJ($A61,$C$2,$C$3,shape_factors!B$2,$C$4,shape_factors!B$3)</f>
        <v>-0.39293846778892771</v>
      </c>
      <c r="C61" s="5">
        <f>EnergyLJ($A61,$C$2,$C$3,shape_factors!C$2,$C$4,shape_factors!C$3)</f>
        <v>-0.15330608097530571</v>
      </c>
      <c r="D61" s="5">
        <f>EnergyLJ($A61,$C$2,$C$3,shape_factors!D$2,$C$4,shape_factors!D$3)</f>
        <v>-0.49453979500285822</v>
      </c>
      <c r="E61" s="5">
        <f>EnergyLJ($A61,$C$2,$C$3,shape_factors!E$2,$C$4,shape_factors!E$3)</f>
        <v>-0.22522686432711647</v>
      </c>
      <c r="F61" s="5">
        <f>EnergyLJ($A61,$C$2,$C$3,shape_factors!F$2,$C$4,shape_factors!F$3)</f>
        <v>-0.14022218795869953</v>
      </c>
      <c r="G61" s="5">
        <f>EnergyLJ($A61,$C$2,$C$3,shape_factors!G$2,$C$4,shape_factors!G$3)</f>
        <v>-0.16803411087356263</v>
      </c>
      <c r="H61" s="5">
        <f>EnergyLJ($A61,$C$2,$C$3,shape_factors!H$2,$C$4,shape_factors!H$3)</f>
        <v>-1.1823421926337574</v>
      </c>
      <c r="I61" s="5">
        <f>EnergyLJ($A61,$C$2,$C$3,shape_factors!I$2,$C$4,shape_factors!I$3)</f>
        <v>-0.26423919558000974</v>
      </c>
      <c r="J61" s="5">
        <f>EnergyLJ($A61,$C$2,$C$3,shape_factors!J$2,$C$4,shape_factors!J$3)</f>
        <v>-9.537665448041216E-2</v>
      </c>
      <c r="K61" s="5">
        <f>EnergyLJ($A61,$C$2,$C$3,shape_factors!K$2,$C$4,shape_factors!K$3)</f>
        <v>-0.10634936443217333</v>
      </c>
      <c r="L61" s="5">
        <f>EnergyLJ($A61,$C$2,$C$3,shape_factors!L$2,$C$4,shape_factors!L$3)</f>
        <v>-0.12834780376035435</v>
      </c>
      <c r="M61" s="5">
        <f>EnergyLJ($A61,$C$2,$C$3,shape_factors!M$2,$C$4,shape_factors!M$3)</f>
        <v>-9.7756005486337685E-2</v>
      </c>
      <c r="N61" s="5">
        <f>EnergyLJ($A61,$C$2,$C$3,shape_factors!N$2,$C$4,shape_factors!N$3)</f>
        <v>-7.6365103602559103E-2</v>
      </c>
      <c r="O61" s="5">
        <f>EnergyLJ($A61,$C$2,$C$3,shape_factors!O$2,$C$4,shape_factors!O$3)</f>
        <v>-7.2039804620251682E-2</v>
      </c>
      <c r="P61" s="5">
        <f>EnergyLJ($A61,$C$2,$C$3,shape_factors!P$2,$C$4,shape_factors!P$3)</f>
        <v>-7.771638505270699E-2</v>
      </c>
      <c r="Q61" s="5">
        <f>EnergyLJ($A61,$C$2,$C$3,shape_factors!Q$2,$C$4,shape_factors!Q$3)</f>
        <v>-7.9561097012316492E-2</v>
      </c>
      <c r="R61" s="5">
        <f>EnergyLJ($A61,$C$2,$C$3,shape_factors!R$2,$C$4,shape_factors!R$3)</f>
        <v>-0.14262155051437486</v>
      </c>
      <c r="S61" s="5">
        <f>EnergyLJ($A61,$C$2,$C$3,shape_factors!S$2,$C$4,shape_factors!S$3)</f>
        <v>-8.7046227290957762E-2</v>
      </c>
      <c r="T61" s="5">
        <f>EnergyLJ($A61,$C$2,$C$3,shape_factors!T$2,$C$4,shape_factors!T$3)</f>
        <v>-6.941192584597157E-2</v>
      </c>
      <c r="U61" s="5">
        <f>EnergyLJ($A61,$C$2,$C$3,shape_factors!U$2,$C$4,shape_factors!U$3)</f>
        <v>-0.14127849956003671</v>
      </c>
    </row>
    <row r="62" spans="1:21" x14ac:dyDescent="0.25">
      <c r="A62">
        <v>13</v>
      </c>
      <c r="B62" s="5">
        <f>EnergyLJ($A62,$C$2,$C$3,shape_factors!B$2,$C$4,shape_factors!B$3)</f>
        <v>-0.36120993321581801</v>
      </c>
      <c r="C62" s="5">
        <f>EnergyLJ($A62,$C$2,$C$3,shape_factors!C$2,$C$4,shape_factors!C$3)</f>
        <v>-0.14011565718545033</v>
      </c>
      <c r="D62" s="5">
        <f>EnergyLJ($A62,$C$2,$C$3,shape_factors!D$2,$C$4,shape_factors!D$3)</f>
        <v>-0.4559530816014975</v>
      </c>
      <c r="E62" s="5">
        <f>EnergyLJ($A62,$C$2,$C$3,shape_factors!E$2,$C$4,shape_factors!E$3)</f>
        <v>-0.20617543619165346</v>
      </c>
      <c r="F62" s="5">
        <f>EnergyLJ($A62,$C$2,$C$3,shape_factors!F$2,$C$4,shape_factors!F$3)</f>
        <v>-0.12812195267098972</v>
      </c>
      <c r="G62" s="5">
        <f>EnergyLJ($A62,$C$2,$C$3,shape_factors!G$2,$C$4,shape_factors!G$3)</f>
        <v>-0.15362507736948808</v>
      </c>
      <c r="H62" s="5">
        <f>EnergyLJ($A62,$C$2,$C$3,shape_factors!H$2,$C$4,shape_factors!H$3)</f>
        <v>-1.1587993847706999</v>
      </c>
      <c r="I62" s="5">
        <f>EnergyLJ($A62,$C$2,$C$3,shape_factors!I$2,$C$4,shape_factors!I$3)</f>
        <v>-0.24210777038034736</v>
      </c>
      <c r="J62" s="5">
        <f>EnergyLJ($A62,$C$2,$C$3,shape_factors!J$2,$C$4,shape_factors!J$3)</f>
        <v>-8.7065612160549005E-2</v>
      </c>
      <c r="K62" s="5">
        <f>EnergyLJ($A62,$C$2,$C$3,shape_factors!K$2,$C$4,shape_factors!K$3)</f>
        <v>-9.7103839008897519E-2</v>
      </c>
      <c r="L62" s="5">
        <f>EnergyLJ($A62,$C$2,$C$3,shape_factors!L$2,$C$4,shape_factors!L$3)</f>
        <v>-0.11724306295525166</v>
      </c>
      <c r="M62" s="5">
        <f>EnergyLJ($A62,$C$2,$C$3,shape_factors!M$2,$C$4,shape_factors!M$3)</f>
        <v>-8.9241930908101924E-2</v>
      </c>
      <c r="N62" s="5">
        <f>EnergyLJ($A62,$C$2,$C$3,shape_factors!N$2,$C$4,shape_factors!N$3)</f>
        <v>-6.9684114150669635E-2</v>
      </c>
      <c r="O62" s="5">
        <f>EnergyLJ($A62,$C$2,$C$3,shape_factors!O$2,$C$4,shape_factors!O$3)</f>
        <v>-6.5731575409823204E-2</v>
      </c>
      <c r="P62" s="5">
        <f>EnergyLJ($A62,$C$2,$C$3,shape_factors!P$2,$C$4,shape_factors!P$3)</f>
        <v>-7.0919084181740907E-2</v>
      </c>
      <c r="Q62" s="5">
        <f>EnergyLJ($A62,$C$2,$C$3,shape_factors!Q$2,$C$4,shape_factors!Q$3)</f>
        <v>-7.2605123702131874E-2</v>
      </c>
      <c r="R62" s="5">
        <f>EnergyLJ($A62,$C$2,$C$3,shape_factors!R$2,$C$4,shape_factors!R$3)</f>
        <v>-0.13032086325228706</v>
      </c>
      <c r="S62" s="5">
        <f>EnergyLJ($A62,$C$2,$C$3,shape_factors!S$2,$C$4,shape_factors!S$3)</f>
        <v>-7.9447743078374738E-2</v>
      </c>
      <c r="T62" s="5">
        <f>EnergyLJ($A62,$C$2,$C$3,shape_factors!T$2,$C$4,shape_factors!T$3)</f>
        <v>-6.3330512326678745E-2</v>
      </c>
      <c r="U62" s="5">
        <f>EnergyLJ($A62,$C$2,$C$3,shape_factors!U$2,$C$4,shape_factors!U$3)</f>
        <v>-0.12908998677679542</v>
      </c>
    </row>
    <row r="63" spans="1:21" x14ac:dyDescent="0.25">
      <c r="A63">
        <v>13.2</v>
      </c>
      <c r="B63" s="5">
        <f>EnergyLJ($A63,$C$2,$C$3,shape_factors!B$2,$C$4,shape_factors!B$3)</f>
        <v>-0.33219368385637327</v>
      </c>
      <c r="C63" s="5">
        <f>EnergyLJ($A63,$C$2,$C$3,shape_factors!C$2,$C$4,shape_factors!C$3)</f>
        <v>-0.12820110402743565</v>
      </c>
      <c r="D63" s="5">
        <f>EnergyLJ($A63,$C$2,$C$3,shape_factors!D$2,$C$4,shape_factors!D$3)</f>
        <v>-0.42041895982557775</v>
      </c>
      <c r="E63" s="5">
        <f>EnergyLJ($A63,$C$2,$C$3,shape_factors!E$2,$C$4,shape_factors!E$3)</f>
        <v>-0.18891070262804513</v>
      </c>
      <c r="F63" s="5">
        <f>EnergyLJ($A63,$C$2,$C$3,shape_factors!F$2,$C$4,shape_factors!F$3)</f>
        <v>-0.1171982342041186</v>
      </c>
      <c r="G63" s="5">
        <f>EnergyLJ($A63,$C$2,$C$3,shape_factors!G$2,$C$4,shape_factors!G$3)</f>
        <v>-0.1406014535378361</v>
      </c>
      <c r="H63" s="5">
        <f>EnergyLJ($A63,$C$2,$C$3,shape_factors!H$2,$C$4,shape_factors!H$3)</f>
        <v>-1.1241236652875</v>
      </c>
      <c r="I63" s="5">
        <f>EnergyLJ($A63,$C$2,$C$3,shape_factors!I$2,$C$4,shape_factors!I$3)</f>
        <v>-0.22201351453559864</v>
      </c>
      <c r="J63" s="5">
        <f>EnergyLJ($A63,$C$2,$C$3,shape_factors!J$2,$C$4,shape_factors!J$3)</f>
        <v>-7.9576456638253829E-2</v>
      </c>
      <c r="K63" s="5">
        <f>EnergyLJ($A63,$C$2,$C$3,shape_factors!K$2,$C$4,shape_factors!K$3)</f>
        <v>-8.8768942473361298E-2</v>
      </c>
      <c r="L63" s="5">
        <f>EnergyLJ($A63,$C$2,$C$3,shape_factors!L$2,$C$4,shape_factors!L$3)</f>
        <v>-0.10722303720092251</v>
      </c>
      <c r="M63" s="5">
        <f>EnergyLJ($A63,$C$2,$C$3,shape_factors!M$2,$C$4,shape_factors!M$3)</f>
        <v>-8.1569092554205025E-2</v>
      </c>
      <c r="N63" s="5">
        <f>EnergyLJ($A63,$C$2,$C$3,shape_factors!N$2,$C$4,shape_factors!N$3)</f>
        <v>-6.366831845203326E-2</v>
      </c>
      <c r="O63" s="5">
        <f>EnergyLJ($A63,$C$2,$C$3,shape_factors!O$2,$C$4,shape_factors!O$3)</f>
        <v>-6.0052378921033468E-2</v>
      </c>
      <c r="P63" s="5">
        <f>EnergyLJ($A63,$C$2,$C$3,shape_factors!P$2,$C$4,shape_factors!P$3)</f>
        <v>-6.4798235659907555E-2</v>
      </c>
      <c r="Q63" s="5">
        <f>EnergyLJ($A63,$C$2,$C$3,shape_factors!Q$2,$C$4,shape_factors!Q$3)</f>
        <v>-6.6340942732220576E-2</v>
      </c>
      <c r="R63" s="5">
        <f>EnergyLJ($A63,$C$2,$C$3,shape_factors!R$2,$C$4,shape_factors!R$3)</f>
        <v>-0.1192150547776981</v>
      </c>
      <c r="S63" s="5">
        <f>EnergyLJ($A63,$C$2,$C$3,shape_factors!S$2,$C$4,shape_factors!S$3)</f>
        <v>-7.2602940706339353E-2</v>
      </c>
      <c r="T63" s="5">
        <f>EnergyLJ($A63,$C$2,$C$3,shape_factors!T$2,$C$4,shape_factors!T$3)</f>
        <v>-5.7856069934983566E-2</v>
      </c>
      <c r="U63" s="5">
        <f>EnergyLJ($A63,$C$2,$C$3,shape_factors!U$2,$C$4,shape_factors!U$3)</f>
        <v>-0.11808608243343478</v>
      </c>
    </row>
    <row r="64" spans="1:21" x14ac:dyDescent="0.25">
      <c r="A64">
        <v>13.4</v>
      </c>
      <c r="B64" s="5">
        <f>EnergyLJ($A64,$C$2,$C$3,shape_factors!B$2,$C$4,shape_factors!B$3)</f>
        <v>-0.3056714193713056</v>
      </c>
      <c r="C64" s="5">
        <f>EnergyLJ($A64,$C$2,$C$3,shape_factors!C$2,$C$4,shape_factors!C$3)</f>
        <v>-0.11742828990687702</v>
      </c>
      <c r="D64" s="5">
        <f>EnergyLJ($A64,$C$2,$C$3,shape_factors!D$2,$C$4,shape_factors!D$3)</f>
        <v>-0.38774388736564119</v>
      </c>
      <c r="E64" s="5">
        <f>EnergyLJ($A64,$C$2,$C$3,shape_factors!E$2,$C$4,shape_factors!E$3)</f>
        <v>-0.17325533993883133</v>
      </c>
      <c r="F64" s="5">
        <f>EnergyLJ($A64,$C$2,$C$3,shape_factors!F$2,$C$4,shape_factors!F$3)</f>
        <v>-0.10732620357145357</v>
      </c>
      <c r="G64" s="5">
        <f>EnergyLJ($A64,$C$2,$C$3,shape_factors!G$2,$C$4,shape_factors!G$3)</f>
        <v>-0.12881915348660214</v>
      </c>
      <c r="H64" s="5">
        <f>EnergyLJ($A64,$C$2,$C$3,shape_factors!H$2,$C$4,shape_factors!H$3)</f>
        <v>-1.0819981545682447</v>
      </c>
      <c r="I64" s="5">
        <f>EnergyLJ($A64,$C$2,$C$3,shape_factors!I$2,$C$4,shape_factors!I$3)</f>
        <v>-0.203761661923889</v>
      </c>
      <c r="J64" s="5">
        <f>EnergyLJ($A64,$C$2,$C$3,shape_factors!J$2,$C$4,shape_factors!J$3)</f>
        <v>-7.281941359189241E-2</v>
      </c>
      <c r="K64" s="5">
        <f>EnergyLJ($A64,$C$2,$C$3,shape_factors!K$2,$C$4,shape_factors!K$3)</f>
        <v>-8.1245879831993134E-2</v>
      </c>
      <c r="L64" s="5">
        <f>EnergyLJ($A64,$C$2,$C$3,shape_factors!L$2,$C$4,shape_factors!L$3)</f>
        <v>-9.8171707368747557E-2</v>
      </c>
      <c r="M64" s="5">
        <f>EnergyLJ($A64,$C$2,$C$3,shape_factors!M$2,$C$4,shape_factors!M$3)</f>
        <v>-7.4645736112418468E-2</v>
      </c>
      <c r="N64" s="5">
        <f>EnergyLJ($A64,$C$2,$C$3,shape_factors!N$2,$C$4,shape_factors!N$3)</f>
        <v>-5.8244232148638664E-2</v>
      </c>
      <c r="O64" s="5">
        <f>EnergyLJ($A64,$C$2,$C$3,shape_factors!O$2,$C$4,shape_factors!O$3)</f>
        <v>-5.4932552067066355E-2</v>
      </c>
      <c r="P64" s="5">
        <f>EnergyLJ($A64,$C$2,$C$3,shape_factors!P$2,$C$4,shape_factors!P$3)</f>
        <v>-5.9279169994433778E-2</v>
      </c>
      <c r="Q64" s="5">
        <f>EnergyLJ($A64,$C$2,$C$3,shape_factors!Q$2,$C$4,shape_factors!Q$3)</f>
        <v>-6.0692273409541274E-2</v>
      </c>
      <c r="R64" s="5">
        <f>EnergyLJ($A64,$C$2,$C$3,shape_factors!R$2,$C$4,shape_factors!R$3)</f>
        <v>-0.10917755818414764</v>
      </c>
      <c r="S64" s="5">
        <f>EnergyLJ($A64,$C$2,$C$3,shape_factors!S$2,$C$4,shape_factors!S$3)</f>
        <v>-6.6429081541389795E-2</v>
      </c>
      <c r="T64" s="5">
        <f>EnergyLJ($A64,$C$2,$C$3,shape_factors!T$2,$C$4,shape_factors!T$3)</f>
        <v>-5.2921277839279926E-2</v>
      </c>
      <c r="U64" s="5">
        <f>EnergyLJ($A64,$C$2,$C$3,shape_factors!U$2,$C$4,shape_factors!U$3)</f>
        <v>-0.10814119067013282</v>
      </c>
    </row>
    <row r="65" spans="1:21" x14ac:dyDescent="0.25">
      <c r="A65">
        <v>13.6</v>
      </c>
      <c r="B65" s="5">
        <f>EnergyLJ($A65,$C$2,$C$3,shape_factors!B$2,$C$4,shape_factors!B$3)</f>
        <v>-0.28143502588066049</v>
      </c>
      <c r="C65" s="5">
        <f>EnergyLJ($A65,$C$2,$C$3,shape_factors!C$2,$C$4,shape_factors!C$3)</f>
        <v>-0.10767781349712892</v>
      </c>
      <c r="D65" s="5">
        <f>EnergyLJ($A65,$C$2,$C$3,shape_factors!D$2,$C$4,shape_factors!D$3)</f>
        <v>-0.35772930311029932</v>
      </c>
      <c r="E65" s="5">
        <f>EnergyLJ($A65,$C$2,$C$3,shape_factors!E$2,$C$4,shape_factors!E$3)</f>
        <v>-0.15904933003031882</v>
      </c>
      <c r="F65" s="5">
        <f>EnergyLJ($A65,$C$2,$C$3,shape_factors!F$2,$C$4,shape_factors!F$3)</f>
        <v>-9.8394976088992794E-2</v>
      </c>
      <c r="G65" s="5">
        <f>EnergyLJ($A65,$C$2,$C$3,shape_factors!G$2,$C$4,shape_factors!G$3)</f>
        <v>-0.11814959268209675</v>
      </c>
      <c r="H65" s="5">
        <f>EnergyLJ($A65,$C$2,$C$3,shape_factors!H$2,$C$4,shape_factors!H$3)</f>
        <v>-1.035183197332654</v>
      </c>
      <c r="I65" s="5">
        <f>EnergyLJ($A65,$C$2,$C$3,shape_factors!I$2,$C$4,shape_factors!I$3)</f>
        <v>-0.1871748338436143</v>
      </c>
      <c r="J65" s="5">
        <f>EnergyLJ($A65,$C$2,$C$3,shape_factors!J$2,$C$4,shape_factors!J$3)</f>
        <v>-6.6715262759393198E-2</v>
      </c>
      <c r="K65" s="5">
        <f>EnergyLJ($A65,$C$2,$C$3,shape_factors!K$2,$C$4,shape_factors!K$3)</f>
        <v>-7.4447337113912201E-2</v>
      </c>
      <c r="L65" s="5">
        <f>EnergyLJ($A65,$C$2,$C$3,shape_factors!L$2,$C$4,shape_factors!L$3)</f>
        <v>-8.9986204654518537E-2</v>
      </c>
      <c r="M65" s="5">
        <f>EnergyLJ($A65,$C$2,$C$3,shape_factors!M$2,$C$4,shape_factors!M$3)</f>
        <v>-6.8390867591038407E-2</v>
      </c>
      <c r="N65" s="5">
        <f>EnergyLJ($A65,$C$2,$C$3,shape_factors!N$2,$C$4,shape_factors!N$3)</f>
        <v>-5.3347173752214427E-2</v>
      </c>
      <c r="O65" s="5">
        <f>EnergyLJ($A65,$C$2,$C$3,shape_factors!O$2,$C$4,shape_factors!O$3)</f>
        <v>-5.0310810921009079E-2</v>
      </c>
      <c r="P65" s="5">
        <f>EnergyLJ($A65,$C$2,$C$3,shape_factors!P$2,$C$4,shape_factors!P$3)</f>
        <v>-5.4296151027703354E-2</v>
      </c>
      <c r="Q65" s="5">
        <f>EnergyLJ($A65,$C$2,$C$3,shape_factors!Q$2,$C$4,shape_factors!Q$3)</f>
        <v>-5.559194501119407E-2</v>
      </c>
      <c r="R65" s="5">
        <f>EnergyLJ($A65,$C$2,$C$3,shape_factors!R$2,$C$4,shape_factors!R$3)</f>
        <v>-0.10009590202598763</v>
      </c>
      <c r="S65" s="5">
        <f>EnergyLJ($A65,$C$2,$C$3,shape_factors!S$2,$C$4,shape_factors!S$3)</f>
        <v>-6.085323613038237E-2</v>
      </c>
      <c r="T65" s="5">
        <f>EnergyLJ($A65,$C$2,$C$3,shape_factors!T$2,$C$4,shape_factors!T$3)</f>
        <v>-4.8466932412419013E-2</v>
      </c>
      <c r="U65" s="5">
        <f>EnergyLJ($A65,$C$2,$C$3,shape_factors!U$2,$C$4,shape_factors!U$3)</f>
        <v>-9.9143726863157478E-2</v>
      </c>
    </row>
    <row r="66" spans="1:21" x14ac:dyDescent="0.25">
      <c r="A66">
        <v>13.8</v>
      </c>
      <c r="B66" s="5">
        <f>EnergyLJ($A66,$C$2,$C$3,shape_factors!B$2,$C$4,shape_factors!B$3)</f>
        <v>-0.25928867162420394</v>
      </c>
      <c r="C66" s="5">
        <f>EnergyLJ($A66,$C$2,$C$3,shape_factors!C$2,$C$4,shape_factors!C$3)</f>
        <v>-9.8843419398161159E-2</v>
      </c>
      <c r="D66" s="5">
        <f>EnergyLJ($A66,$C$2,$C$3,shape_factors!D$2,$C$4,shape_factors!D$3)</f>
        <v>-0.33017824841968335</v>
      </c>
      <c r="E66" s="5">
        <f>EnergyLJ($A66,$C$2,$C$3,shape_factors!E$2,$C$4,shape_factors!E$3)</f>
        <v>-0.1461486008979746</v>
      </c>
      <c r="F66" s="5">
        <f>EnergyLJ($A66,$C$2,$C$3,shape_factors!F$2,$C$4,shape_factors!F$3)</f>
        <v>-9.0306057026513703E-2</v>
      </c>
      <c r="G66" s="5">
        <f>EnergyLJ($A66,$C$2,$C$3,shape_factors!G$2,$C$4,shape_factors!G$3)</f>
        <v>-0.10847809522410547</v>
      </c>
      <c r="H66" s="5">
        <f>EnergyLJ($A66,$C$2,$C$3,shape_factors!H$2,$C$4,shape_factors!H$3)</f>
        <v>-0.98573558240959647</v>
      </c>
      <c r="I66" s="5">
        <f>EnergyLJ($A66,$C$2,$C$3,shape_factors!I$2,$C$4,shape_factors!I$3)</f>
        <v>-0.17209209514134804</v>
      </c>
      <c r="J66" s="5">
        <f>EnergyLJ($A66,$C$2,$C$3,shape_factors!J$2,$C$4,shape_factors!J$3)</f>
        <v>-6.1194041887007292E-2</v>
      </c>
      <c r="K66" s="5">
        <f>EnergyLJ($A66,$C$2,$C$3,shape_factors!K$2,$C$4,shape_factors!K$3)</f>
        <v>-6.8296100358947884E-2</v>
      </c>
      <c r="L66" s="5">
        <f>EnergyLJ($A66,$C$2,$C$3,shape_factors!L$2,$C$4,shape_factors!L$3)</f>
        <v>-8.2575301464024156E-2</v>
      </c>
      <c r="M66" s="5">
        <f>EnergyLJ($A66,$C$2,$C$3,shape_factors!M$2,$C$4,shape_factors!M$3)</f>
        <v>-6.2732937670826411E-2</v>
      </c>
      <c r="N66" s="5">
        <f>EnergyLJ($A66,$C$2,$C$3,shape_factors!N$2,$C$4,shape_factors!N$3)</f>
        <v>-4.8920148203790516E-2</v>
      </c>
      <c r="O66" s="5">
        <f>EnergyLJ($A66,$C$2,$C$3,shape_factors!O$2,$C$4,shape_factors!O$3)</f>
        <v>-4.6133180787985124E-2</v>
      </c>
      <c r="P66" s="5">
        <f>EnergyLJ($A66,$C$2,$C$3,shape_factors!P$2,$C$4,shape_factors!P$3)</f>
        <v>-4.979124539157731E-2</v>
      </c>
      <c r="Q66" s="5">
        <f>EnergyLJ($A66,$C$2,$C$3,shape_factors!Q$2,$C$4,shape_factors!Q$3)</f>
        <v>-5.0980747311328588E-2</v>
      </c>
      <c r="R66" s="5">
        <f>EnergyLJ($A66,$C$2,$C$3,shape_factors!R$2,$C$4,shape_factors!R$3)</f>
        <v>-9.187014890054182E-2</v>
      </c>
      <c r="S66" s="5">
        <f>EnergyLJ($A66,$C$2,$C$3,shape_factors!S$2,$C$4,shape_factors!S$3)</f>
        <v>-5.5811061836715636E-2</v>
      </c>
      <c r="T66" s="5">
        <f>EnergyLJ($A66,$C$2,$C$3,shape_factors!T$2,$C$4,shape_factors!T$3)</f>
        <v>-4.4440906573806956E-2</v>
      </c>
      <c r="U66" s="5">
        <f>EnergyLJ($A66,$C$2,$C$3,shape_factors!U$2,$C$4,shape_factors!U$3)</f>
        <v>-9.0994560077591283E-2</v>
      </c>
    </row>
    <row r="67" spans="1:21" x14ac:dyDescent="0.25">
      <c r="A67">
        <v>14</v>
      </c>
      <c r="B67" s="5">
        <f>EnergyLJ($A67,$C$2,$C$3,shape_factors!B$2,$C$4,shape_factors!B$3)</f>
        <v>-0.23904984681282579</v>
      </c>
      <c r="C67" s="5">
        <f>EnergyLJ($A67,$C$2,$C$3,shape_factors!C$2,$C$4,shape_factors!C$3)</f>
        <v>-9.0830554531086294E-2</v>
      </c>
      <c r="D67" s="5">
        <f>EnergyLJ($A67,$C$2,$C$3,shape_factors!D$2,$C$4,shape_factors!D$3)</f>
        <v>-0.30489974298295269</v>
      </c>
      <c r="E67" s="5">
        <f>EnergyLJ($A67,$C$2,$C$3,shape_factors!E$2,$C$4,shape_factors!E$3)</f>
        <v>-0.13442365112548407</v>
      </c>
      <c r="F67" s="5">
        <f>EnergyLJ($A67,$C$2,$C$3,shape_factors!F$2,$C$4,shape_factors!F$3)</f>
        <v>-8.2971940193817678E-2</v>
      </c>
      <c r="G67" s="5">
        <f>EnergyLJ($A67,$C$2,$C$3,shape_factors!G$2,$C$4,shape_factors!G$3)</f>
        <v>-9.9702422285236958E-2</v>
      </c>
      <c r="H67" s="5">
        <f>EnergyLJ($A67,$C$2,$C$3,shape_factors!H$2,$C$4,shape_factors!H$3)</f>
        <v>-0.93517559680383888</v>
      </c>
      <c r="I67" s="5">
        <f>EnergyLJ($A67,$C$2,$C$3,shape_factors!I$2,$C$4,shape_factors!I$3)</f>
        <v>-0.15836784176790164</v>
      </c>
      <c r="J67" s="5">
        <f>EnergyLJ($A67,$C$2,$C$3,shape_factors!J$2,$C$4,shape_factors!J$3)</f>
        <v>-5.6193909649108122E-2</v>
      </c>
      <c r="K67" s="5">
        <f>EnergyLJ($A67,$C$2,$C$3,shape_factors!K$2,$C$4,shape_factors!K$3)</f>
        <v>-6.2723837106773039E-2</v>
      </c>
      <c r="L67" s="5">
        <f>EnergyLJ($A67,$C$2,$C$3,shape_factors!L$2,$C$4,shape_factors!L$3)</f>
        <v>-7.5858062160467962E-2</v>
      </c>
      <c r="M67" s="5">
        <f>EnergyLJ($A67,$C$2,$C$3,shape_factors!M$2,$C$4,shape_factors!M$3)</f>
        <v>-5.7608686063517198E-2</v>
      </c>
      <c r="N67" s="5">
        <f>EnergyLJ($A67,$C$2,$C$3,shape_factors!N$2,$C$4,shape_factors!N$3)</f>
        <v>-4.4912875831805324E-2</v>
      </c>
      <c r="O67" s="5">
        <f>EnergyLJ($A67,$C$2,$C$3,shape_factors!O$2,$C$4,shape_factors!O$3)</f>
        <v>-4.2352067288090656E-2</v>
      </c>
      <c r="P67" s="5">
        <f>EnergyLJ($A67,$C$2,$C$3,shape_factors!P$2,$C$4,shape_factors!P$3)</f>
        <v>-4.5713338633052859E-2</v>
      </c>
      <c r="Q67" s="5">
        <f>EnergyLJ($A67,$C$2,$C$3,shape_factors!Q$2,$C$4,shape_factors!Q$3)</f>
        <v>-4.6806429441378361E-2</v>
      </c>
      <c r="R67" s="5">
        <f>EnergyLJ($A67,$C$2,$C$3,shape_factors!R$2,$C$4,shape_factors!R$3)</f>
        <v>-8.4411485089178645E-2</v>
      </c>
      <c r="S67" s="5">
        <f>EnergyLJ($A67,$C$2,$C$3,shape_factors!S$2,$C$4,shape_factors!S$3)</f>
        <v>-5.1245734654068682E-2</v>
      </c>
      <c r="T67" s="5">
        <f>EnergyLJ($A67,$C$2,$C$3,shape_factors!T$2,$C$4,shape_factors!T$3)</f>
        <v>-4.0797247243920212E-2</v>
      </c>
      <c r="U67" s="5">
        <f>EnergyLJ($A67,$C$2,$C$3,shape_factors!U$2,$C$4,shape_factors!U$3)</f>
        <v>-8.3605607649030828E-2</v>
      </c>
    </row>
    <row r="68" spans="1:21" x14ac:dyDescent="0.25">
      <c r="A68">
        <v>14.2</v>
      </c>
      <c r="B68" s="5">
        <f>EnergyLJ($A68,$C$2,$C$3,shape_factors!B$2,$C$4,shape_factors!B$3)</f>
        <v>-0.22054968223422036</v>
      </c>
      <c r="C68" s="5">
        <f>EnergyLJ($A68,$C$2,$C$3,shape_factors!C$2,$C$4,shape_factors!C$3)</f>
        <v>-8.3555064180917613E-2</v>
      </c>
      <c r="D68" s="5">
        <f>EnergyLJ($A68,$C$2,$C$3,shape_factors!D$2,$C$4,shape_factors!D$3)</f>
        <v>-0.28171155462353953</v>
      </c>
      <c r="E68" s="5">
        <f>EnergyLJ($A68,$C$2,$C$3,shape_factors!E$2,$C$4,shape_factors!E$3)</f>
        <v>-0.12375820984743489</v>
      </c>
      <c r="F68" s="5">
        <f>EnergyLJ($A68,$C$2,$C$3,shape_factors!F$2,$C$4,shape_factors!F$3)</f>
        <v>-7.6314852701648381E-2</v>
      </c>
      <c r="G68" s="5">
        <f>EnergyLJ($A68,$C$2,$C$3,shape_factors!G$2,$C$4,shape_factors!G$3)</f>
        <v>-9.1731428403496434E-2</v>
      </c>
      <c r="H68" s="5">
        <f>EnergyLJ($A68,$C$2,$C$3,shape_factors!H$2,$C$4,shape_factors!H$3)</f>
        <v>-0.88461458757855282</v>
      </c>
      <c r="I68" s="5">
        <f>EnergyLJ($A68,$C$2,$C$3,shape_factors!I$2,$C$4,shape_factors!I$3)</f>
        <v>-0.14587061580356256</v>
      </c>
      <c r="J68" s="5">
        <f>EnergyLJ($A68,$C$2,$C$3,shape_factors!J$2,$C$4,shape_factors!J$3)</f>
        <v>-5.1660149854850686E-2</v>
      </c>
      <c r="K68" s="5">
        <f>EnergyLJ($A68,$C$2,$C$3,shape_factors!K$2,$C$4,shape_factors!K$3)</f>
        <v>-5.7670024183357024E-2</v>
      </c>
      <c r="L68" s="5">
        <f>EnergyLJ($A68,$C$2,$C$3,shape_factors!L$2,$C$4,shape_factors!L$3)</f>
        <v>-6.9762642751857923E-2</v>
      </c>
      <c r="M68" s="5">
        <f>EnergyLJ($A68,$C$2,$C$3,shape_factors!M$2,$C$4,shape_factors!M$3)</f>
        <v>-5.2962128449407571E-2</v>
      </c>
      <c r="N68" s="5">
        <f>EnergyLJ($A68,$C$2,$C$3,shape_factors!N$2,$C$4,shape_factors!N$3)</f>
        <v>-4.1280948235349689E-2</v>
      </c>
      <c r="O68" s="5">
        <f>EnergyLJ($A68,$C$2,$C$3,shape_factors!O$2,$C$4,shape_factors!O$3)</f>
        <v>-3.8925450106739007E-2</v>
      </c>
      <c r="P68" s="5">
        <f>EnergyLJ($A68,$C$2,$C$3,shape_factors!P$2,$C$4,shape_factors!P$3)</f>
        <v>-4.2017279520572465E-2</v>
      </c>
      <c r="Q68" s="5">
        <f>EnergyLJ($A68,$C$2,$C$3,shape_factors!Q$2,$C$4,shape_factors!Q$3)</f>
        <v>-4.3022828587341751E-2</v>
      </c>
      <c r="R68" s="5">
        <f>EnergyLJ($A68,$C$2,$C$3,shape_factors!R$2,$C$4,shape_factors!R$3)</f>
        <v>-7.7640955451238489E-2</v>
      </c>
      <c r="S68" s="5">
        <f>EnergyLJ($A68,$C$2,$C$3,shape_factors!S$2,$C$4,shape_factors!S$3)</f>
        <v>-4.7107016892910913E-2</v>
      </c>
      <c r="T68" s="5">
        <f>EnergyLJ($A68,$C$2,$C$3,shape_factors!T$2,$C$4,shape_factors!T$3)</f>
        <v>-3.7495392702221214E-2</v>
      </c>
      <c r="U68" s="5">
        <f>EnergyLJ($A68,$C$2,$C$3,shape_factors!U$2,$C$4,shape_factors!U$3)</f>
        <v>-7.6898575549264561E-2</v>
      </c>
    </row>
    <row r="69" spans="1:21" x14ac:dyDescent="0.25">
      <c r="A69">
        <v>14.4</v>
      </c>
      <c r="B69" s="5">
        <f>EnergyLJ($A69,$C$2,$C$3,shape_factors!B$2,$C$4,shape_factors!B$3)</f>
        <v>-0.20363278553284039</v>
      </c>
      <c r="C69" s="5">
        <f>EnergyLJ($A69,$C$2,$C$3,shape_factors!C$2,$C$4,shape_factors!C$3)</f>
        <v>-7.6942021762909457E-2</v>
      </c>
      <c r="D69" s="5">
        <f>EnergyLJ($A69,$C$2,$C$3,shape_factors!D$2,$C$4,shape_factors!D$3)</f>
        <v>-0.26044182817601513</v>
      </c>
      <c r="E69" s="5">
        <f>EnergyLJ($A69,$C$2,$C$3,shape_factors!E$2,$C$4,shape_factors!E$3)</f>
        <v>-0.11404796342899397</v>
      </c>
      <c r="F69" s="5">
        <f>EnergyLJ($A69,$C$2,$C$3,shape_factors!F$2,$C$4,shape_factors!F$3)</f>
        <v>-7.0265636135245654E-2</v>
      </c>
      <c r="G69" s="5">
        <f>EnergyLJ($A69,$C$2,$C$3,shape_factors!G$2,$C$4,shape_factors!G$3)</f>
        <v>-8.4483845070477334E-2</v>
      </c>
      <c r="H69" s="5">
        <f>EnergyLJ($A69,$C$2,$C$3,shape_factors!H$2,$C$4,shape_factors!H$3)</f>
        <v>-0.83485253836768814</v>
      </c>
      <c r="I69" s="5">
        <f>EnergyLJ($A69,$C$2,$C$3,shape_factors!I$2,$C$4,shape_factors!I$3)</f>
        <v>-0.13448191149437247</v>
      </c>
      <c r="J69" s="5">
        <f>EnergyLJ($A69,$C$2,$C$3,shape_factors!J$2,$C$4,shape_factors!J$3)</f>
        <v>-4.7544300444943885E-2</v>
      </c>
      <c r="K69" s="5">
        <f>EnergyLJ($A69,$C$2,$C$3,shape_factors!K$2,$C$4,shape_factors!K$3)</f>
        <v>-5.3081006037650452E-2</v>
      </c>
      <c r="L69" s="5">
        <f>EnergyLJ($A69,$C$2,$C$3,shape_factors!L$2,$C$4,shape_factors!L$3)</f>
        <v>-6.4225227017222802E-2</v>
      </c>
      <c r="M69" s="5">
        <f>EnergyLJ($A69,$C$2,$C$3,shape_factors!M$2,$C$4,shape_factors!M$3)</f>
        <v>-4.8743669611395236E-2</v>
      </c>
      <c r="N69" s="5">
        <f>EnergyLJ($A69,$C$2,$C$3,shape_factors!N$2,$C$4,shape_factors!N$3)</f>
        <v>-3.7985094634467739E-2</v>
      </c>
      <c r="O69" s="5">
        <f>EnergyLJ($A69,$C$2,$C$3,shape_factors!O$2,$C$4,shape_factors!O$3)</f>
        <v>-3.5816183196309692E-2</v>
      </c>
      <c r="P69" s="5">
        <f>EnergyLJ($A69,$C$2,$C$3,shape_factors!P$2,$C$4,shape_factors!P$3)</f>
        <v>-3.8663136014885566E-2</v>
      </c>
      <c r="Q69" s="5">
        <f>EnergyLJ($A69,$C$2,$C$3,shape_factors!Q$2,$C$4,shape_factors!Q$3)</f>
        <v>-3.9589111942366424E-2</v>
      </c>
      <c r="R69" s="5">
        <f>EnergyLJ($A69,$C$2,$C$3,shape_factors!R$2,$C$4,shape_factors!R$3)</f>
        <v>-7.148833444773095E-2</v>
      </c>
      <c r="S69" s="5">
        <f>EnergyLJ($A69,$C$2,$C$3,shape_factors!S$2,$C$4,shape_factors!S$3)</f>
        <v>-4.3350444053033961E-2</v>
      </c>
      <c r="T69" s="5">
        <f>EnergyLJ($A69,$C$2,$C$3,shape_factors!T$2,$C$4,shape_factors!T$3)</f>
        <v>-3.4499493821105703E-2</v>
      </c>
      <c r="U69" s="5">
        <f>EnergyLJ($A69,$C$2,$C$3,shape_factors!U$2,$C$4,shape_factors!U$3)</f>
        <v>-7.0803835051623076E-2</v>
      </c>
    </row>
    <row r="70" spans="1:21" x14ac:dyDescent="0.25">
      <c r="A70">
        <v>14.6</v>
      </c>
      <c r="B70" s="5">
        <f>EnergyLJ($A70,$C$2,$C$3,shape_factors!B$2,$C$4,shape_factors!B$3)</f>
        <v>-0.18815676509836737</v>
      </c>
      <c r="C70" s="5">
        <f>EnergyLJ($A70,$C$2,$C$3,shape_factors!C$2,$C$4,shape_factors!C$3)</f>
        <v>-7.0924683650816958E-2</v>
      </c>
      <c r="D70" s="5">
        <f>EnergyLJ($A70,$C$2,$C$3,shape_factors!D$2,$C$4,shape_factors!D$3)</f>
        <v>-0.2409299116352418</v>
      </c>
      <c r="E70" s="5">
        <f>EnergyLJ($A70,$C$2,$C$3,shape_factors!E$2,$C$4,shape_factors!E$3)</f>
        <v>-0.10519936635019703</v>
      </c>
      <c r="F70" s="5">
        <f>EnergyLJ($A70,$C$2,$C$3,shape_factors!F$2,$C$4,shape_factors!F$3)</f>
        <v>-6.4762752934236612E-2</v>
      </c>
      <c r="G70" s="5">
        <f>EnergyLJ($A70,$C$2,$C$3,shape_factors!G$2,$C$4,shape_factors!G$3)</f>
        <v>-7.7887186609898004E-2</v>
      </c>
      <c r="H70" s="5">
        <f>EnergyLJ($A70,$C$2,$C$3,shape_factors!H$2,$C$4,shape_factors!H$3)</f>
        <v>-0.78645281658512411</v>
      </c>
      <c r="I70" s="5">
        <f>EnergyLJ($A70,$C$2,$C$3,shape_factors!I$2,$C$4,shape_factors!I$3)</f>
        <v>-0.12409501313694882</v>
      </c>
      <c r="J70" s="5">
        <f>EnergyLJ($A70,$C$2,$C$3,shape_factors!J$2,$C$4,shape_factors!J$3)</f>
        <v>-4.380339220327558E-2</v>
      </c>
      <c r="K70" s="5">
        <f>EnergyLJ($A70,$C$2,$C$3,shape_factors!K$2,$C$4,shape_factors!K$3)</f>
        <v>-4.8909168820760775E-2</v>
      </c>
      <c r="L70" s="5">
        <f>EnergyLJ($A70,$C$2,$C$3,shape_factors!L$2,$C$4,shape_factors!L$3)</f>
        <v>-5.9189086118170621E-2</v>
      </c>
      <c r="M70" s="5">
        <f>EnergyLJ($A70,$C$2,$C$3,shape_factors!M$2,$C$4,shape_factors!M$3)</f>
        <v>-4.4909327711585824E-2</v>
      </c>
      <c r="N70" s="5">
        <f>EnergyLJ($A70,$C$2,$C$3,shape_factors!N$2,$C$4,shape_factors!N$3)</f>
        <v>-3.4990544160088594E-2</v>
      </c>
      <c r="O70" s="5">
        <f>EnergyLJ($A70,$C$2,$C$3,shape_factors!O$2,$C$4,shape_factors!O$3)</f>
        <v>-3.299138720262617E-2</v>
      </c>
      <c r="P70" s="5">
        <f>EnergyLJ($A70,$C$2,$C$3,shape_factors!P$2,$C$4,shape_factors!P$3)</f>
        <v>-3.5615548296307885E-2</v>
      </c>
      <c r="Q70" s="5">
        <f>EnergyLJ($A70,$C$2,$C$3,shape_factors!Q$2,$C$4,shape_factors!Q$3)</f>
        <v>-3.6469117206525216E-2</v>
      </c>
      <c r="R70" s="5">
        <f>EnergyLJ($A70,$C$2,$C$3,shape_factors!R$2,$C$4,shape_factors!R$3)</f>
        <v>-6.589112250618398E-2</v>
      </c>
      <c r="S70" s="5">
        <f>EnergyLJ($A70,$C$2,$C$3,shape_factors!S$2,$C$4,shape_factors!S$3)</f>
        <v>-3.993661589041804E-2</v>
      </c>
      <c r="T70" s="5">
        <f>EnergyLJ($A70,$C$2,$C$3,shape_factors!T$2,$C$4,shape_factors!T$3)</f>
        <v>-3.1777825163796486E-2</v>
      </c>
      <c r="U70" s="5">
        <f>EnergyLJ($A70,$C$2,$C$3,shape_factors!U$2,$C$4,shape_factors!U$3)</f>
        <v>-6.5259424670894628E-2</v>
      </c>
    </row>
    <row r="71" spans="1:21" x14ac:dyDescent="0.25">
      <c r="A71">
        <v>14.8</v>
      </c>
      <c r="B71" s="5">
        <f>EnergyLJ($A71,$C$2,$C$3,shape_factors!B$2,$C$4,shape_factors!B$3)</f>
        <v>-0.17399156172114097</v>
      </c>
      <c r="C71" s="5">
        <f>EnergyLJ($A71,$C$2,$C$3,shape_factors!C$2,$C$4,shape_factors!C$3)</f>
        <v>-6.5443559057433515E-2</v>
      </c>
      <c r="D71" s="5">
        <f>EnergyLJ($A71,$C$2,$C$3,shape_factors!D$2,$C$4,shape_factors!D$3)</f>
        <v>-0.22302662515894867</v>
      </c>
      <c r="E71" s="5">
        <f>EnergyLJ($A71,$C$2,$C$3,shape_factors!E$2,$C$4,shape_factors!E$3)</f>
        <v>-9.7128544518280208E-2</v>
      </c>
      <c r="F71" s="5">
        <f>EnergyLJ($A71,$C$2,$C$3,shape_factors!F$2,$C$4,shape_factors!F$3)</f>
        <v>-5.9751406331319319E-2</v>
      </c>
      <c r="G71" s="5">
        <f>EnergyLJ($A71,$C$2,$C$3,shape_factors!G$2,$C$4,shape_factors!G$3)</f>
        <v>-7.1876770781618998E-2</v>
      </c>
      <c r="H71" s="5">
        <f>EnergyLJ($A71,$C$2,$C$3,shape_factors!H$2,$C$4,shape_factors!H$3)</f>
        <v>-0.73979949567853664</v>
      </c>
      <c r="I71" s="5">
        <f>EnergyLJ($A71,$C$2,$C$3,shape_factors!I$2,$C$4,shape_factors!I$3)</f>
        <v>-0.11461388988144713</v>
      </c>
      <c r="J71" s="5">
        <f>EnergyLJ($A71,$C$2,$C$3,shape_factors!J$2,$C$4,shape_factors!J$3)</f>
        <v>-4.0399283604788082E-2</v>
      </c>
      <c r="K71" s="5">
        <f>EnergyLJ($A71,$C$2,$C$3,shape_factors!K$2,$C$4,shape_factors!K$3)</f>
        <v>-4.511221658610097E-2</v>
      </c>
      <c r="L71" s="5">
        <f>EnergyLJ($A71,$C$2,$C$3,shape_factors!L$2,$C$4,shape_factors!L$3)</f>
        <v>-5.4603748988424856E-2</v>
      </c>
      <c r="M71" s="5">
        <f>EnergyLJ($A71,$C$2,$C$3,shape_factors!M$2,$C$4,shape_factors!M$3)</f>
        <v>-4.1420056094761695E-2</v>
      </c>
      <c r="N71" s="5">
        <f>EnergyLJ($A71,$C$2,$C$3,shape_factors!N$2,$C$4,shape_factors!N$3)</f>
        <v>-3.2266471346869254E-2</v>
      </c>
      <c r="O71" s="5">
        <f>EnergyLJ($A71,$C$2,$C$3,shape_factors!O$2,$C$4,shape_factors!O$3)</f>
        <v>-3.0421921704884829E-2</v>
      </c>
      <c r="P71" s="5">
        <f>EnergyLJ($A71,$C$2,$C$3,shape_factors!P$2,$C$4,shape_factors!P$3)</f>
        <v>-3.2843166020105369E-2</v>
      </c>
      <c r="Q71" s="5">
        <f>EnergyLJ($A71,$C$2,$C$3,shape_factors!Q$2,$C$4,shape_factors!Q$3)</f>
        <v>-3.363077868830483E-2</v>
      </c>
      <c r="R71" s="5">
        <f>EnergyLJ($A71,$C$2,$C$3,shape_factors!R$2,$C$4,shape_factors!R$3)</f>
        <v>-6.0793656342303534E-2</v>
      </c>
      <c r="S71" s="5">
        <f>EnergyLJ($A71,$C$2,$C$3,shape_factors!S$2,$C$4,shape_factors!S$3)</f>
        <v>-3.6830578349971631E-2</v>
      </c>
      <c r="T71" s="5">
        <f>EnergyLJ($A71,$C$2,$C$3,shape_factors!T$2,$C$4,shape_factors!T$3)</f>
        <v>-2.9302273756410927E-2</v>
      </c>
      <c r="U71" s="5">
        <f>EnergyLJ($A71,$C$2,$C$3,shape_factors!U$2,$C$4,shape_factors!U$3)</f>
        <v>-6.0210165844088392E-2</v>
      </c>
    </row>
    <row r="72" spans="1:21" x14ac:dyDescent="0.25">
      <c r="A72">
        <v>15</v>
      </c>
      <c r="B72" s="5">
        <f>EnergyLJ($A72,$C$2,$C$3,shape_factors!B$2,$C$4,shape_factors!B$3)</f>
        <v>-0.16101867227023486</v>
      </c>
      <c r="C72" s="5">
        <f>EnergyLJ($A72,$C$2,$C$3,shape_factors!C$2,$C$4,shape_factors!C$3)</f>
        <v>-6.0445584511688022E-2</v>
      </c>
      <c r="D72" s="5">
        <f>EnergyLJ($A72,$C$2,$C$3,shape_factors!D$2,$C$4,shape_factors!D$3)</f>
        <v>-0.20659415082663785</v>
      </c>
      <c r="E72" s="5">
        <f>EnergyLJ($A72,$C$2,$C$3,shape_factors!E$2,$C$4,shape_factors!E$3)</f>
        <v>-8.9760293110304631E-2</v>
      </c>
      <c r="F72" s="5">
        <f>EnergyLJ($A72,$C$2,$C$3,shape_factors!F$2,$C$4,shape_factors!F$3)</f>
        <v>-5.5182762388278621E-2</v>
      </c>
      <c r="G72" s="5">
        <f>EnergyLJ($A72,$C$2,$C$3,shape_factors!G$2,$C$4,shape_factors!G$3)</f>
        <v>-6.639484524532567E-2</v>
      </c>
      <c r="H72" s="5">
        <f>EnergyLJ($A72,$C$2,$C$3,shape_factors!H$2,$C$4,shape_factors!H$3)</f>
        <v>-0.69514134663532112</v>
      </c>
      <c r="I72" s="5">
        <f>EnergyLJ($A72,$C$2,$C$3,shape_factors!I$2,$C$4,shape_factors!I$3)</f>
        <v>-0.10595216166455017</v>
      </c>
      <c r="J72" s="5">
        <f>EnergyLJ($A72,$C$2,$C$3,shape_factors!J$2,$C$4,shape_factors!J$3)</f>
        <v>-3.729807969589749E-2</v>
      </c>
      <c r="K72" s="5">
        <f>EnergyLJ($A72,$C$2,$C$3,shape_factors!K$2,$C$4,shape_factors!K$3)</f>
        <v>-4.1652537271408149E-2</v>
      </c>
      <c r="L72" s="5">
        <f>EnergyLJ($A72,$C$2,$C$3,shape_factors!L$2,$C$4,shape_factors!L$3)</f>
        <v>-5.042427145207086E-2</v>
      </c>
      <c r="M72" s="5">
        <f>EnergyLJ($A72,$C$2,$C$3,shape_factors!M$2,$C$4,shape_factors!M$3)</f>
        <v>-3.8241150442789515E-2</v>
      </c>
      <c r="N72" s="5">
        <f>EnergyLJ($A72,$C$2,$C$3,shape_factors!N$2,$C$4,shape_factors!N$3)</f>
        <v>-2.9785513717655379E-2</v>
      </c>
      <c r="O72" s="5">
        <f>EnergyLJ($A72,$C$2,$C$3,shape_factors!O$2,$C$4,shape_factors!O$3)</f>
        <v>-2.8081926485434297E-2</v>
      </c>
      <c r="P72" s="5">
        <f>EnergyLJ($A72,$C$2,$C$3,shape_factors!P$2,$C$4,shape_factors!P$3)</f>
        <v>-3.031815859401633E-2</v>
      </c>
      <c r="Q72" s="5">
        <f>EnergyLJ($A72,$C$2,$C$3,shape_factors!Q$2,$C$4,shape_factors!Q$3)</f>
        <v>-3.1045627678475813E-2</v>
      </c>
      <c r="R72" s="5">
        <f>EnergyLJ($A72,$C$2,$C$3,shape_factors!R$2,$C$4,shape_factors!R$3)</f>
        <v>-5.6146321933118581E-2</v>
      </c>
      <c r="S72" s="5">
        <f>EnergyLJ($A72,$C$2,$C$3,shape_factors!S$2,$C$4,shape_factors!S$3)</f>
        <v>-3.4001284604847422E-2</v>
      </c>
      <c r="T72" s="5">
        <f>EnergyLJ($A72,$C$2,$C$3,shape_factors!T$2,$C$4,shape_factors!T$3)</f>
        <v>-2.7047894967927321E-2</v>
      </c>
      <c r="U72" s="5">
        <f>EnergyLJ($A72,$C$2,$C$3,shape_factors!U$2,$C$4,shape_factors!U$3)</f>
        <v>-5.5606880957768064E-2</v>
      </c>
    </row>
    <row r="73" spans="1:21" x14ac:dyDescent="0.25">
      <c r="A73">
        <v>15.2</v>
      </c>
      <c r="B73" s="5">
        <f>EnergyLJ($A73,$C$2,$C$3,shape_factors!B$2,$C$4,shape_factors!B$3)</f>
        <v>-0.14913032378376098</v>
      </c>
      <c r="C73" s="5">
        <f>EnergyLJ($A73,$C$2,$C$3,shape_factors!C$2,$C$4,shape_factors!C$3)</f>
        <v>-5.5883392600227212E-2</v>
      </c>
      <c r="D73" s="5">
        <f>EnergyLJ($A73,$C$2,$C$3,shape_factors!D$2,$C$4,shape_factors!D$3)</f>
        <v>-0.19150567156094978</v>
      </c>
      <c r="E73" s="5">
        <f>EnergyLJ($A73,$C$2,$C$3,shape_factors!E$2,$C$4,shape_factors!E$3)</f>
        <v>-8.3027167112759856E-2</v>
      </c>
      <c r="F73" s="5">
        <f>EnergyLJ($A73,$C$2,$C$3,shape_factors!F$2,$C$4,shape_factors!F$3)</f>
        <v>-5.1013263228468671E-2</v>
      </c>
      <c r="G73" s="5">
        <f>EnergyLJ($A73,$C$2,$C$3,shape_factors!G$2,$C$4,shape_factors!G$3)</f>
        <v>-6.1389810541911907E-2</v>
      </c>
      <c r="H73" s="5">
        <f>EnergyLJ($A73,$C$2,$C$3,shape_factors!H$2,$C$4,shape_factors!H$3)</f>
        <v>-0.6526256096119275</v>
      </c>
      <c r="I73" s="5">
        <f>EnergyLJ($A73,$C$2,$C$3,shape_factors!I$2,$C$4,shape_factors!I$3)</f>
        <v>-9.80321430979086E-2</v>
      </c>
      <c r="J73" s="5">
        <f>EnergyLJ($A73,$C$2,$C$3,shape_factors!J$2,$C$4,shape_factors!J$3)</f>
        <v>-3.4469624300697159E-2</v>
      </c>
      <c r="K73" s="5">
        <f>EnergyLJ($A73,$C$2,$C$3,shape_factors!K$2,$C$4,shape_factors!K$3)</f>
        <v>-3.8496647408387027E-2</v>
      </c>
      <c r="L73" s="5">
        <f>EnergyLJ($A73,$C$2,$C$3,shape_factors!L$2,$C$4,shape_factors!L$3)</f>
        <v>-4.6610592901783411E-2</v>
      </c>
      <c r="M73" s="5">
        <f>EnergyLJ($A73,$C$2,$C$3,shape_factors!M$2,$C$4,shape_factors!M$3)</f>
        <v>-3.5341730481676513E-2</v>
      </c>
      <c r="N73" s="5">
        <f>EnergyLJ($A73,$C$2,$C$3,shape_factors!N$2,$C$4,shape_factors!N$3)</f>
        <v>-2.7523351801602505E-2</v>
      </c>
      <c r="O73" s="5">
        <f>EnergyLJ($A73,$C$2,$C$3,shape_factors!O$2,$C$4,shape_factors!O$3)</f>
        <v>-2.5948422487941963E-2</v>
      </c>
      <c r="P73" s="5">
        <f>EnergyLJ($A73,$C$2,$C$3,shape_factors!P$2,$C$4,shape_factors!P$3)</f>
        <v>-2.8015788726949015E-2</v>
      </c>
      <c r="Q73" s="5">
        <f>EnergyLJ($A73,$C$2,$C$3,shape_factors!Q$2,$C$4,shape_factors!Q$3)</f>
        <v>-2.8688357222941597E-2</v>
      </c>
      <c r="R73" s="5">
        <f>EnergyLJ($A73,$C$2,$C$3,shape_factors!R$2,$C$4,shape_factors!R$3)</f>
        <v>-5.1904859323423591E-2</v>
      </c>
      <c r="S73" s="5">
        <f>EnergyLJ($A73,$C$2,$C$3,shape_factors!S$2,$C$4,shape_factors!S$3)</f>
        <v>-3.1421124886015332E-2</v>
      </c>
      <c r="T73" s="5">
        <f>EnergyLJ($A73,$C$2,$C$3,shape_factors!T$2,$C$4,shape_factors!T$3)</f>
        <v>-2.4992526362811081E-2</v>
      </c>
      <c r="U73" s="5">
        <f>EnergyLJ($A73,$C$2,$C$3,shape_factors!U$2,$C$4,shape_factors!U$3)</f>
        <v>-5.1405702856297239E-2</v>
      </c>
    </row>
    <row r="74" spans="1:21" x14ac:dyDescent="0.25">
      <c r="A74">
        <v>15.4</v>
      </c>
      <c r="B74" s="5">
        <f>EnergyLJ($A74,$C$2,$C$3,shape_factors!B$2,$C$4,shape_factors!B$3)</f>
        <v>-0.13822863776593119</v>
      </c>
      <c r="C74" s="5">
        <f>EnergyLJ($A74,$C$2,$C$3,shape_factors!C$2,$C$4,shape_factors!C$3)</f>
        <v>-5.1714665109693657E-2</v>
      </c>
      <c r="D74" s="5">
        <f>EnergyLJ($A74,$C$2,$C$3,shape_factors!D$2,$C$4,shape_factors!D$3)</f>
        <v>-0.17764485140530129</v>
      </c>
      <c r="E74" s="5">
        <f>EnergyLJ($A74,$C$2,$C$3,shape_factors!E$2,$C$4,shape_factors!E$3)</f>
        <v>-7.6868660300037833E-2</v>
      </c>
      <c r="F74" s="5">
        <f>EnergyLJ($A74,$C$2,$C$3,shape_factors!F$2,$C$4,shape_factors!F$3)</f>
        <v>-4.7204021331547698E-2</v>
      </c>
      <c r="G74" s="5">
        <f>EnergyLJ($A74,$C$2,$C$3,shape_factors!G$2,$C$4,shape_factors!G$3)</f>
        <v>-5.6815530301432417E-2</v>
      </c>
      <c r="H74" s="5">
        <f>EnergyLJ($A74,$C$2,$C$3,shape_factors!H$2,$C$4,shape_factors!H$3)</f>
        <v>-0.61232391601020852</v>
      </c>
      <c r="I74" s="5">
        <f>EnergyLJ($A74,$C$2,$C$3,shape_factors!I$2,$C$4,shape_factors!I$3)</f>
        <v>-9.0783967199049354E-2</v>
      </c>
      <c r="J74" s="5">
        <f>EnergyLJ($A74,$C$2,$C$3,shape_factors!J$2,$C$4,shape_factors!J$3)</f>
        <v>-3.1887056135511654E-2</v>
      </c>
      <c r="K74" s="5">
        <f>EnergyLJ($A74,$C$2,$C$3,shape_factors!K$2,$C$4,shape_factors!K$3)</f>
        <v>-3.5614705737141643E-2</v>
      </c>
      <c r="L74" s="5">
        <f>EnergyLJ($A74,$C$2,$C$3,shape_factors!L$2,$C$4,shape_factors!L$3)</f>
        <v>-4.3126970347816845E-2</v>
      </c>
      <c r="M74" s="5">
        <f>EnergyLJ($A74,$C$2,$C$3,shape_factors!M$2,$C$4,shape_factors!M$3)</f>
        <v>-3.2694286723527255E-2</v>
      </c>
      <c r="N74" s="5">
        <f>EnergyLJ($A74,$C$2,$C$3,shape_factors!N$2,$C$4,shape_factors!N$3)</f>
        <v>-2.545834321347764E-2</v>
      </c>
      <c r="O74" s="5">
        <f>EnergyLJ($A74,$C$2,$C$3,shape_factors!O$2,$C$4,shape_factors!O$3)</f>
        <v>-2.4000964388921804E-2</v>
      </c>
      <c r="P74" s="5">
        <f>EnergyLJ($A74,$C$2,$C$3,shape_factors!P$2,$C$4,shape_factors!P$3)</f>
        <v>-2.5914040787948112E-2</v>
      </c>
      <c r="Q74" s="5">
        <f>EnergyLJ($A74,$C$2,$C$3,shape_factors!Q$2,$C$4,shape_factors!Q$3)</f>
        <v>-2.6536442716416E-2</v>
      </c>
      <c r="R74" s="5">
        <f>EnergyLJ($A74,$C$2,$C$3,shape_factors!R$2,$C$4,shape_factors!R$3)</f>
        <v>-4.8029749164311415E-2</v>
      </c>
      <c r="S74" s="5">
        <f>EnergyLJ($A74,$C$2,$C$3,shape_factors!S$2,$C$4,shape_factors!S$3)</f>
        <v>-2.9065516089535563E-2</v>
      </c>
      <c r="T74" s="5">
        <f>EnergyLJ($A74,$C$2,$C$3,shape_factors!T$2,$C$4,shape_factors!T$3)</f>
        <v>-2.3116451642679833E-2</v>
      </c>
      <c r="U74" s="5">
        <f>EnergyLJ($A74,$C$2,$C$3,shape_factors!U$2,$C$4,shape_factors!U$3)</f>
        <v>-4.7567465710402122E-2</v>
      </c>
    </row>
    <row r="75" spans="1:21" x14ac:dyDescent="0.25">
      <c r="A75">
        <v>15.6</v>
      </c>
      <c r="B75" s="5">
        <f>EnergyLJ($A75,$C$2,$C$3,shape_factors!B$2,$C$4,shape_factors!B$3)</f>
        <v>-0.1282248111624906</v>
      </c>
      <c r="C75" s="5">
        <f>EnergyLJ($A75,$C$2,$C$3,shape_factors!C$2,$C$4,shape_factors!C$3)</f>
        <v>-4.7901561367759735E-2</v>
      </c>
      <c r="D75" s="5">
        <f>EnergyLJ($A75,$C$2,$C$3,shape_factors!D$2,$C$4,shape_factors!D$3)</f>
        <v>-0.16490522286511528</v>
      </c>
      <c r="E75" s="5">
        <f>EnergyLJ($A75,$C$2,$C$3,shape_factors!E$2,$C$4,shape_factors!E$3)</f>
        <v>-7.1230467004268813E-2</v>
      </c>
      <c r="F75" s="5">
        <f>EnergyLJ($A75,$C$2,$C$3,shape_factors!F$2,$C$4,shape_factors!F$3)</f>
        <v>-4.3720285618315584E-2</v>
      </c>
      <c r="G75" s="5">
        <f>EnergyLJ($A75,$C$2,$C$3,shape_factors!G$2,$C$4,shape_factors!G$3)</f>
        <v>-5.2630719761054198E-2</v>
      </c>
      <c r="H75" s="5">
        <f>EnergyLJ($A75,$C$2,$C$3,shape_factors!H$2,$C$4,shape_factors!H$3)</f>
        <v>-0.57425217181312393</v>
      </c>
      <c r="I75" s="5">
        <f>EnergyLJ($A75,$C$2,$C$3,shape_factors!I$2,$C$4,shape_factors!I$3)</f>
        <v>-8.4144787633209497E-2</v>
      </c>
      <c r="J75" s="5">
        <f>EnergyLJ($A75,$C$2,$C$3,shape_factors!J$2,$C$4,shape_factors!J$3)</f>
        <v>-2.9526420583328987E-2</v>
      </c>
      <c r="K75" s="5">
        <f>EnergyLJ($A75,$C$2,$C$3,shape_factors!K$2,$C$4,shape_factors!K$3)</f>
        <v>-3.2980087049517645E-2</v>
      </c>
      <c r="L75" s="5">
        <f>EnergyLJ($A75,$C$2,$C$3,shape_factors!L$2,$C$4,shape_factors!L$3)</f>
        <v>-3.9941480648364142E-2</v>
      </c>
      <c r="M75" s="5">
        <f>EnergyLJ($A75,$C$2,$C$3,shape_factors!M$2,$C$4,shape_factors!M$3)</f>
        <v>-3.02742838927051E-2</v>
      </c>
      <c r="N75" s="5">
        <f>EnergyLJ($A75,$C$2,$C$3,shape_factors!N$2,$C$4,shape_factors!N$3)</f>
        <v>-2.3571203549687912E-2</v>
      </c>
      <c r="O75" s="5">
        <f>EnergyLJ($A75,$C$2,$C$3,shape_factors!O$2,$C$4,shape_factors!O$3)</f>
        <v>-2.222133781252774E-2</v>
      </c>
      <c r="P75" s="5">
        <f>EnergyLJ($A75,$C$2,$C$3,shape_factors!P$2,$C$4,shape_factors!P$3)</f>
        <v>-2.399329664872632E-2</v>
      </c>
      <c r="Q75" s="5">
        <f>EnergyLJ($A75,$C$2,$C$3,shape_factors!Q$2,$C$4,shape_factors!Q$3)</f>
        <v>-2.4569810880611616E-2</v>
      </c>
      <c r="R75" s="5">
        <f>EnergyLJ($A75,$C$2,$C$3,shape_factors!R$2,$C$4,shape_factors!R$3)</f>
        <v>-4.4485671711765866E-2</v>
      </c>
      <c r="S75" s="5">
        <f>EnergyLJ($A75,$C$2,$C$3,shape_factors!S$2,$C$4,shape_factors!S$3)</f>
        <v>-2.6912543312230194E-2</v>
      </c>
      <c r="T75" s="5">
        <f>EnergyLJ($A75,$C$2,$C$3,shape_factors!T$2,$C$4,shape_factors!T$3)</f>
        <v>-2.140210788181961E-2</v>
      </c>
      <c r="U75" s="5">
        <f>EnergyLJ($A75,$C$2,$C$3,shape_factors!U$2,$C$4,shape_factors!U$3)</f>
        <v>-4.4057167973251946E-2</v>
      </c>
    </row>
    <row r="76" spans="1:21" x14ac:dyDescent="0.25">
      <c r="A76">
        <v>15.8</v>
      </c>
      <c r="B76" s="5">
        <f>EnergyLJ($A76,$C$2,$C$3,shape_factors!B$2,$C$4,shape_factors!B$3)</f>
        <v>-0.11903833098738945</v>
      </c>
      <c r="C76" s="5">
        <f>EnergyLJ($A76,$C$2,$C$3,shape_factors!C$2,$C$4,shape_factors!C$3)</f>
        <v>-4.4410213336343075E-2</v>
      </c>
      <c r="D76" s="5">
        <f>EnergyLJ($A76,$C$2,$C$3,shape_factors!D$2,$C$4,shape_factors!D$3)</f>
        <v>-0.15318952766587868</v>
      </c>
      <c r="E76" s="5">
        <f>EnergyLJ($A76,$C$2,$C$3,shape_factors!E$2,$C$4,shape_factors!E$3)</f>
        <v>-6.6063820340641385E-2</v>
      </c>
      <c r="F76" s="5">
        <f>EnergyLJ($A76,$C$2,$C$3,shape_factors!F$2,$C$4,shape_factors!F$3)</f>
        <v>-4.053097093984228E-2</v>
      </c>
      <c r="G76" s="5">
        <f>EnergyLJ($A76,$C$2,$C$3,shape_factors!G$2,$C$4,shape_factors!G$3)</f>
        <v>-4.8798404237239079E-2</v>
      </c>
      <c r="H76" s="5">
        <f>EnergyLJ($A76,$C$2,$C$3,shape_factors!H$2,$C$4,shape_factors!H$3)</f>
        <v>-0.53838578895184663</v>
      </c>
      <c r="I76" s="5">
        <f>EnergyLJ($A76,$C$2,$C$3,shape_factors!I$2,$C$4,shape_factors!I$3)</f>
        <v>-7.8058056117571439E-2</v>
      </c>
      <c r="J76" s="5">
        <f>EnergyLJ($A76,$C$2,$C$3,shape_factors!J$2,$C$4,shape_factors!J$3)</f>
        <v>-2.7366329926067905E-2</v>
      </c>
      <c r="K76" s="5">
        <f>EnergyLJ($A76,$C$2,$C$3,shape_factors!K$2,$C$4,shape_factors!K$3)</f>
        <v>-3.0569008633153403E-2</v>
      </c>
      <c r="L76" s="5">
        <f>EnergyLJ($A76,$C$2,$C$3,shape_factors!L$2,$C$4,shape_factors!L$3)</f>
        <v>-3.7025582703631016E-2</v>
      </c>
      <c r="M76" s="5">
        <f>EnergyLJ($A76,$C$2,$C$3,shape_factors!M$2,$C$4,shape_factors!M$3)</f>
        <v>-2.805981373438295E-2</v>
      </c>
      <c r="N76" s="5">
        <f>EnergyLJ($A76,$C$2,$C$3,shape_factors!N$2,$C$4,shape_factors!N$3)</f>
        <v>-2.1844727840660643E-2</v>
      </c>
      <c r="O76" s="5">
        <f>EnergyLJ($A76,$C$2,$C$3,shape_factors!O$2,$C$4,shape_factors!O$3)</f>
        <v>-2.0593295177917158E-2</v>
      </c>
      <c r="P76" s="5">
        <f>EnergyLJ($A76,$C$2,$C$3,shape_factors!P$2,$C$4,shape_factors!P$3)</f>
        <v>-2.2236052674054395E-2</v>
      </c>
      <c r="Q76" s="5">
        <f>EnergyLJ($A76,$C$2,$C$3,shape_factors!Q$2,$C$4,shape_factors!Q$3)</f>
        <v>-2.2770550690453938E-2</v>
      </c>
      <c r="R76" s="5">
        <f>EnergyLJ($A76,$C$2,$C$3,shape_factors!R$2,$C$4,shape_factors!R$3)</f>
        <v>-4.1241029878516439E-2</v>
      </c>
      <c r="S76" s="5">
        <f>EnergyLJ($A76,$C$2,$C$3,shape_factors!S$2,$C$4,shape_factors!S$3)</f>
        <v>-2.4942646494873631E-2</v>
      </c>
      <c r="T76" s="5">
        <f>EnergyLJ($A76,$C$2,$C$3,shape_factors!T$2,$C$4,shape_factors!T$3)</f>
        <v>-1.9833830203892885E-2</v>
      </c>
      <c r="U76" s="5">
        <f>EnergyLJ($A76,$C$2,$C$3,shape_factors!U$2,$C$4,shape_factors!U$3)</f>
        <v>-4.0843499028464875E-2</v>
      </c>
    </row>
    <row r="77" spans="1:21" x14ac:dyDescent="0.25">
      <c r="A77">
        <v>16</v>
      </c>
      <c r="B77" s="5">
        <f>EnergyLJ($A77,$C$2,$C$3,shape_factors!B$2,$C$4,shape_factors!B$3)</f>
        <v>-0.11059623284794942</v>
      </c>
      <c r="C77" s="5">
        <f>EnergyLJ($A77,$C$2,$C$3,shape_factors!C$2,$C$4,shape_factors!C$3)</f>
        <v>-4.1210279794326184E-2</v>
      </c>
      <c r="D77" s="5">
        <f>EnergyLJ($A77,$C$2,$C$3,shape_factors!D$2,$C$4,shape_factors!D$3)</f>
        <v>-0.14240904316450045</v>
      </c>
      <c r="E77" s="5">
        <f>EnergyLJ($A77,$C$2,$C$3,shape_factors!E$2,$C$4,shape_factors!E$3)</f>
        <v>-6.1324900330450176E-2</v>
      </c>
      <c r="F77" s="5">
        <f>EnergyLJ($A77,$C$2,$C$3,shape_factors!F$2,$C$4,shape_factors!F$3)</f>
        <v>-3.7608243451359963E-2</v>
      </c>
      <c r="G77" s="5">
        <f>EnergyLJ($A77,$C$2,$C$3,shape_factors!G$2,$C$4,shape_factors!G$3)</f>
        <v>-4.5285439851538753E-2</v>
      </c>
      <c r="H77" s="5">
        <f>EnergyLJ($A77,$C$2,$C$3,shape_factors!H$2,$C$4,shape_factors!H$3)</f>
        <v>-0.50467132915691149</v>
      </c>
      <c r="I77" s="5">
        <f>EnergyLJ($A77,$C$2,$C$3,shape_factors!I$2,$C$4,shape_factors!I$3)</f>
        <v>-7.2472870455241548E-2</v>
      </c>
      <c r="J77" s="5">
        <f>EnergyLJ($A77,$C$2,$C$3,shape_factors!J$2,$C$4,shape_factors!J$3)</f>
        <v>-2.538766576069354E-2</v>
      </c>
      <c r="K77" s="5">
        <f>EnergyLJ($A77,$C$2,$C$3,shape_factors!K$2,$C$4,shape_factors!K$3)</f>
        <v>-2.8360202631855312E-2</v>
      </c>
      <c r="L77" s="5">
        <f>EnergyLJ($A77,$C$2,$C$3,shape_factors!L$2,$C$4,shape_factors!L$3)</f>
        <v>-3.4353732311471076E-2</v>
      </c>
      <c r="M77" s="5">
        <f>EnergyLJ($A77,$C$2,$C$3,shape_factors!M$2,$C$4,shape_factors!M$3)</f>
        <v>-2.6031290836806879E-2</v>
      </c>
      <c r="N77" s="5">
        <f>EnergyLJ($A77,$C$2,$C$3,shape_factors!N$2,$C$4,shape_factors!N$3)</f>
        <v>-2.0263547153971887E-2</v>
      </c>
      <c r="O77" s="5">
        <f>EnergyLJ($A77,$C$2,$C$3,shape_factors!O$2,$C$4,shape_factors!O$3)</f>
        <v>-1.9102324998572531E-2</v>
      </c>
      <c r="P77" s="5">
        <f>EnergyLJ($A77,$C$2,$C$3,shape_factors!P$2,$C$4,shape_factors!P$3)</f>
        <v>-2.0626672386183723E-2</v>
      </c>
      <c r="Q77" s="5">
        <f>EnergyLJ($A77,$C$2,$C$3,shape_factors!Q$2,$C$4,shape_factors!Q$3)</f>
        <v>-2.11226606829551E-2</v>
      </c>
      <c r="R77" s="5">
        <f>EnergyLJ($A77,$C$2,$C$3,shape_factors!R$2,$C$4,shape_factors!R$3)</f>
        <v>-3.8267528785760639E-2</v>
      </c>
      <c r="S77" s="5">
        <f>EnergyLJ($A77,$C$2,$C$3,shape_factors!S$2,$C$4,shape_factors!S$3)</f>
        <v>-2.3138346255080045E-2</v>
      </c>
      <c r="T77" s="5">
        <f>EnergyLJ($A77,$C$2,$C$3,shape_factors!T$2,$C$4,shape_factors!T$3)</f>
        <v>-1.839762886082941E-2</v>
      </c>
      <c r="U77" s="5">
        <f>EnergyLJ($A77,$C$2,$C$3,shape_factors!U$2,$C$4,shape_factors!U$3)</f>
        <v>-3.7898421995183354E-2</v>
      </c>
    </row>
    <row r="78" spans="1:21" x14ac:dyDescent="0.25">
      <c r="A78">
        <v>16.2</v>
      </c>
      <c r="B78" s="5">
        <f>EnergyLJ($A78,$C$2,$C$3,shape_factors!B$2,$C$4,shape_factors!B$3)</f>
        <v>-0.1028324088992163</v>
      </c>
      <c r="C78" s="5">
        <f>EnergyLJ($A78,$C$2,$C$3,shape_factors!C$2,$C$4,shape_factors!C$3)</f>
        <v>-3.8274552718529212E-2</v>
      </c>
      <c r="D78" s="5">
        <f>EnergyLJ($A78,$C$2,$C$3,shape_factors!D$2,$C$4,shape_factors!D$3)</f>
        <v>-0.13248291638288517</v>
      </c>
      <c r="E78" s="5">
        <f>EnergyLJ($A78,$C$2,$C$3,shape_factors!E$2,$C$4,shape_factors!E$3)</f>
        <v>-5.6974305444857709E-2</v>
      </c>
      <c r="F78" s="5">
        <f>EnergyLJ($A78,$C$2,$C$3,shape_factors!F$2,$C$4,shape_factors!F$3)</f>
        <v>-3.492715517138828E-2</v>
      </c>
      <c r="G78" s="5">
        <f>EnergyLJ($A78,$C$2,$C$3,shape_factors!G$2,$C$4,shape_factors!G$3)</f>
        <v>-4.2062089498544591E-2</v>
      </c>
      <c r="H78" s="5">
        <f>EnergyLJ($A78,$C$2,$C$3,shape_factors!H$2,$C$4,shape_factors!H$3)</f>
        <v>-0.47303537905736698</v>
      </c>
      <c r="I78" s="5">
        <f>EnergyLJ($A78,$C$2,$C$3,shape_factors!I$2,$C$4,shape_factors!I$3)</f>
        <v>-6.7343388053082973E-2</v>
      </c>
      <c r="J78" s="5">
        <f>EnergyLJ($A78,$C$2,$C$3,shape_factors!J$2,$C$4,shape_factors!J$3)</f>
        <v>-2.3573318142594758E-2</v>
      </c>
      <c r="K78" s="5">
        <f>EnergyLJ($A78,$C$2,$C$3,shape_factors!K$2,$C$4,shape_factors!K$3)</f>
        <v>-2.633462847960847E-2</v>
      </c>
      <c r="L78" s="5">
        <f>EnergyLJ($A78,$C$2,$C$3,shape_factors!L$2,$C$4,shape_factors!L$3)</f>
        <v>-3.1903043226916034E-2</v>
      </c>
      <c r="M78" s="5">
        <f>EnergyLJ($A78,$C$2,$C$3,shape_factors!M$2,$C$4,shape_factors!M$3)</f>
        <v>-2.417118592254084E-2</v>
      </c>
      <c r="N78" s="5">
        <f>EnergyLJ($A78,$C$2,$C$3,shape_factors!N$2,$C$4,shape_factors!N$3)</f>
        <v>-1.8813915682690838E-2</v>
      </c>
      <c r="O78" s="5">
        <f>EnergyLJ($A78,$C$2,$C$3,shape_factors!O$2,$C$4,shape_factors!O$3)</f>
        <v>-1.7735450169304383E-2</v>
      </c>
      <c r="P78" s="5">
        <f>EnergyLJ($A78,$C$2,$C$3,shape_factors!P$2,$C$4,shape_factors!P$3)</f>
        <v>-1.9151170076498768E-2</v>
      </c>
      <c r="Q78" s="5">
        <f>EnergyLJ($A78,$C$2,$C$3,shape_factors!Q$2,$C$4,shape_factors!Q$3)</f>
        <v>-1.9611827839538215E-2</v>
      </c>
      <c r="R78" s="5">
        <f>EnergyLJ($A78,$C$2,$C$3,shape_factors!R$2,$C$4,shape_factors!R$3)</f>
        <v>-3.5539805074154024E-2</v>
      </c>
      <c r="S78" s="5">
        <f>EnergyLJ($A78,$C$2,$C$3,shape_factors!S$2,$C$4,shape_factors!S$3)</f>
        <v>-2.1484003781034197E-2</v>
      </c>
      <c r="T78" s="5">
        <f>EnergyLJ($A78,$C$2,$C$3,shape_factors!T$2,$C$4,shape_factors!T$3)</f>
        <v>-1.7080994375705628E-2</v>
      </c>
      <c r="U78" s="5">
        <f>EnergyLJ($A78,$C$2,$C$3,shape_factors!U$2,$C$4,shape_factors!U$3)</f>
        <v>-3.5196805972282051E-2</v>
      </c>
    </row>
    <row r="79" spans="1:21" x14ac:dyDescent="0.25">
      <c r="A79">
        <v>16.399999999999999</v>
      </c>
      <c r="B79" s="5">
        <f>EnergyLJ($A79,$C$2,$C$3,shape_factors!B$2,$C$4,shape_factors!B$3)</f>
        <v>-9.5686967494481509E-2</v>
      </c>
      <c r="C79" s="5">
        <f>EnergyLJ($A79,$C$2,$C$3,shape_factors!C$2,$C$4,shape_factors!C$3)</f>
        <v>-3.5578609705934627E-2</v>
      </c>
      <c r="D79" s="5">
        <f>EnergyLJ($A79,$C$2,$C$3,shape_factors!D$2,$C$4,shape_factors!D$3)</f>
        <v>-0.12333752019537729</v>
      </c>
      <c r="E79" s="5">
        <f>EnergyLJ($A79,$C$2,$C$3,shape_factors!E$2,$C$4,shape_factors!E$3)</f>
        <v>-5.2976581361922709E-2</v>
      </c>
      <c r="F79" s="5">
        <f>EnergyLJ($A79,$C$2,$C$3,shape_factors!F$2,$C$4,shape_factors!F$3)</f>
        <v>-3.2465321786094306E-2</v>
      </c>
      <c r="G79" s="5">
        <f>EnergyLJ($A79,$C$2,$C$3,shape_factors!G$2,$C$4,shape_factors!G$3)</f>
        <v>-3.9101647729115147E-2</v>
      </c>
      <c r="H79" s="5">
        <f>EnergyLJ($A79,$C$2,$C$3,shape_factors!H$2,$C$4,shape_factors!H$3)</f>
        <v>-0.4433912875152487</v>
      </c>
      <c r="I79" s="5">
        <f>EnergyLJ($A79,$C$2,$C$3,shape_factors!I$2,$C$4,shape_factors!I$3)</f>
        <v>-6.262829954955422E-2</v>
      </c>
      <c r="J79" s="5">
        <f>EnergyLJ($A79,$C$2,$C$3,shape_factors!J$2,$C$4,shape_factors!J$3)</f>
        <v>-2.1907956715858466E-2</v>
      </c>
      <c r="K79" s="5">
        <f>EnergyLJ($A79,$C$2,$C$3,shape_factors!K$2,$C$4,shape_factors!K$3)</f>
        <v>-2.4475220310540474E-2</v>
      </c>
      <c r="L79" s="5">
        <f>EnergyLJ($A79,$C$2,$C$3,shape_factors!L$2,$C$4,shape_factors!L$3)</f>
        <v>-2.9652988735356024E-2</v>
      </c>
      <c r="M79" s="5">
        <f>EnergyLJ($A79,$C$2,$C$3,shape_factors!M$2,$C$4,shape_factors!M$3)</f>
        <v>-2.2463791787405051E-2</v>
      </c>
      <c r="N79" s="5">
        <f>EnergyLJ($A79,$C$2,$C$3,shape_factors!N$2,$C$4,shape_factors!N$3)</f>
        <v>-1.7483524292670197E-2</v>
      </c>
      <c r="O79" s="5">
        <f>EnergyLJ($A79,$C$2,$C$3,shape_factors!O$2,$C$4,shape_factors!O$3)</f>
        <v>-1.6481051393690129E-2</v>
      </c>
      <c r="P79" s="5">
        <f>EnergyLJ($A79,$C$2,$C$3,shape_factors!P$2,$C$4,shape_factors!P$3)</f>
        <v>-1.7797021283447904E-2</v>
      </c>
      <c r="Q79" s="5">
        <f>EnergyLJ($A79,$C$2,$C$3,shape_factors!Q$2,$C$4,shape_factors!Q$3)</f>
        <v>-1.8225233887175542E-2</v>
      </c>
      <c r="R79" s="5">
        <f>EnergyLJ($A79,$C$2,$C$3,shape_factors!R$2,$C$4,shape_factors!R$3)</f>
        <v>-3.3035099989675819E-2</v>
      </c>
      <c r="S79" s="5">
        <f>EnergyLJ($A79,$C$2,$C$3,shape_factors!S$2,$C$4,shape_factors!S$3)</f>
        <v>-1.9965610343902474E-2</v>
      </c>
      <c r="T79" s="5">
        <f>EnergyLJ($A79,$C$2,$C$3,shape_factors!T$2,$C$4,shape_factors!T$3)</f>
        <v>-1.5872727014098947E-2</v>
      </c>
      <c r="U79" s="5">
        <f>EnergyLJ($A79,$C$2,$C$3,shape_factors!U$2,$C$4,shape_factors!U$3)</f>
        <v>-3.2716101761913273E-2</v>
      </c>
    </row>
    <row r="80" spans="1:21" x14ac:dyDescent="0.25">
      <c r="A80">
        <v>16.600000000000001</v>
      </c>
      <c r="B80" s="5">
        <f>EnergyLJ($A80,$C$2,$C$3,shape_factors!B$2,$C$4,shape_factors!B$3)</f>
        <v>-8.9105644582877397E-2</v>
      </c>
      <c r="C80" s="5">
        <f>EnergyLJ($A80,$C$2,$C$3,shape_factors!C$2,$C$4,shape_factors!C$3)</f>
        <v>-3.3100506963471443E-2</v>
      </c>
      <c r="D80" s="5">
        <f>EnergyLJ($A80,$C$2,$C$3,shape_factors!D$2,$C$4,shape_factors!D$3)</f>
        <v>-0.11490584084537686</v>
      </c>
      <c r="E80" s="5">
        <f>EnergyLJ($A80,$C$2,$C$3,shape_factors!E$2,$C$4,shape_factors!E$3)</f>
        <v>-4.929980110944477E-2</v>
      </c>
      <c r="F80" s="5">
        <f>EnergyLJ($A80,$C$2,$C$3,shape_factors!F$2,$C$4,shape_factors!F$3)</f>
        <v>-3.0202638451690168E-2</v>
      </c>
      <c r="G80" s="5">
        <f>EnergyLJ($A80,$C$2,$C$3,shape_factors!G$2,$C$4,shape_factors!G$3)</f>
        <v>-3.6380108878272054E-2</v>
      </c>
      <c r="H80" s="5">
        <f>EnergyLJ($A80,$C$2,$C$3,shape_factors!H$2,$C$4,shape_factors!H$3)</f>
        <v>-0.4156442523049923</v>
      </c>
      <c r="I80" s="5">
        <f>EnergyLJ($A80,$C$2,$C$3,shape_factors!I$2,$C$4,shape_factors!I$3)</f>
        <v>-5.8290357204908265E-2</v>
      </c>
      <c r="J80" s="5">
        <f>EnergyLJ($A80,$C$2,$C$3,shape_factors!J$2,$C$4,shape_factors!J$3)</f>
        <v>-2.0377829715205222E-2</v>
      </c>
      <c r="K80" s="5">
        <f>EnergyLJ($A80,$C$2,$C$3,shape_factors!K$2,$C$4,shape_factors!K$3)</f>
        <v>-2.2766664902867391E-2</v>
      </c>
      <c r="L80" s="5">
        <f>EnergyLJ($A80,$C$2,$C$3,shape_factors!L$2,$C$4,shape_factors!L$3)</f>
        <v>-2.7585138738932091E-2</v>
      </c>
      <c r="M80" s="5">
        <f>EnergyLJ($A80,$C$2,$C$3,shape_factors!M$2,$C$4,shape_factors!M$3)</f>
        <v>-2.0895017698338195E-2</v>
      </c>
      <c r="N80" s="5">
        <f>EnergyLJ($A80,$C$2,$C$3,shape_factors!N$2,$C$4,shape_factors!N$3)</f>
        <v>-1.6261337053771897E-2</v>
      </c>
      <c r="O80" s="5">
        <f>EnergyLJ($A80,$C$2,$C$3,shape_factors!O$2,$C$4,shape_factors!O$3)</f>
        <v>-1.5328712435516595E-2</v>
      </c>
      <c r="P80" s="5">
        <f>EnergyLJ($A80,$C$2,$C$3,shape_factors!P$2,$C$4,shape_factors!P$3)</f>
        <v>-1.6552996613174806E-2</v>
      </c>
      <c r="Q80" s="5">
        <f>EnergyLJ($A80,$C$2,$C$3,shape_factors!Q$2,$C$4,shape_factors!Q$3)</f>
        <v>-1.6951385429210999E-2</v>
      </c>
      <c r="R80" s="5">
        <f>EnergyLJ($A80,$C$2,$C$3,shape_factors!R$2,$C$4,shape_factors!R$3)</f>
        <v>-3.0732970952049365E-2</v>
      </c>
      <c r="S80" s="5">
        <f>EnergyLJ($A80,$C$2,$C$3,shape_factors!S$2,$C$4,shape_factors!S$3)</f>
        <v>-1.8570602582753119E-2</v>
      </c>
      <c r="T80" s="5">
        <f>EnergyLJ($A80,$C$2,$C$3,shape_factors!T$2,$C$4,shape_factors!T$3)</f>
        <v>-1.4762787366141766E-2</v>
      </c>
      <c r="U80" s="5">
        <f>EnergyLJ($A80,$C$2,$C$3,shape_factors!U$2,$C$4,shape_factors!U$3)</f>
        <v>-3.0436055805129428E-2</v>
      </c>
    </row>
    <row r="81" spans="1:21" x14ac:dyDescent="0.25">
      <c r="A81">
        <v>16.8</v>
      </c>
      <c r="B81" s="5">
        <f>EnergyLJ($A81,$C$2,$C$3,shape_factors!B$2,$C$4,shape_factors!B$3)</f>
        <v>-8.3039265441212221E-2</v>
      </c>
      <c r="C81" s="5">
        <f>EnergyLJ($A81,$C$2,$C$3,shape_factors!C$2,$C$4,shape_factors!C$3)</f>
        <v>-3.0820508017537308E-2</v>
      </c>
      <c r="D81" s="5">
        <f>EnergyLJ($A81,$C$2,$C$3,shape_factors!D$2,$C$4,shape_factors!D$3)</f>
        <v>-0.10712690213902823</v>
      </c>
      <c r="E81" s="5">
        <f>EnergyLJ($A81,$C$2,$C$3,shape_factors!E$2,$C$4,shape_factors!E$3)</f>
        <v>-4.591519120324105E-2</v>
      </c>
      <c r="F81" s="5">
        <f>EnergyLJ($A81,$C$2,$C$3,shape_factors!F$2,$C$4,shape_factors!F$3)</f>
        <v>-2.8121028972562065E-2</v>
      </c>
      <c r="G81" s="5">
        <f>EnergyLJ($A81,$C$2,$C$3,shape_factors!G$2,$C$4,shape_factors!G$3)</f>
        <v>-3.3875873381483609E-2</v>
      </c>
      <c r="H81" s="5">
        <f>EnergyLJ($A81,$C$2,$C$3,shape_factors!H$2,$C$4,shape_factors!H$3)</f>
        <v>-0.38969513274343409</v>
      </c>
      <c r="I81" s="5">
        <f>EnergyLJ($A81,$C$2,$C$3,shape_factors!I$2,$C$4,shape_factors!I$3)</f>
        <v>-5.4295952894408576E-2</v>
      </c>
      <c r="J81" s="5">
        <f>EnergyLJ($A81,$C$2,$C$3,shape_factors!J$2,$C$4,shape_factors!J$3)</f>
        <v>-1.8970587268394908E-2</v>
      </c>
      <c r="K81" s="5">
        <f>EnergyLJ($A81,$C$2,$C$3,shape_factors!K$2,$C$4,shape_factors!K$3)</f>
        <v>-2.1195206289519975E-2</v>
      </c>
      <c r="L81" s="5">
        <f>EnergyLJ($A81,$C$2,$C$3,shape_factors!L$2,$C$4,shape_factors!L$3)</f>
        <v>-2.5682927970727264E-2</v>
      </c>
      <c r="M81" s="5">
        <f>EnergyLJ($A81,$C$2,$C$3,shape_factors!M$2,$C$4,shape_factors!M$3)</f>
        <v>-1.9452208612682945E-2</v>
      </c>
      <c r="N81" s="5">
        <f>EnergyLJ($A81,$C$2,$C$3,shape_factors!N$2,$C$4,shape_factors!N$3)</f>
        <v>-1.5137447754851457E-2</v>
      </c>
      <c r="O81" s="5">
        <f>EnergyLJ($A81,$C$2,$C$3,shape_factors!O$2,$C$4,shape_factors!O$3)</f>
        <v>-1.4269084334065579E-2</v>
      </c>
      <c r="P81" s="5">
        <f>EnergyLJ($A81,$C$2,$C$3,shape_factors!P$2,$C$4,shape_factors!P$3)</f>
        <v>-1.5409015859691778E-2</v>
      </c>
      <c r="Q81" s="5">
        <f>EnergyLJ($A81,$C$2,$C$3,shape_factors!Q$2,$C$4,shape_factors!Q$3)</f>
        <v>-1.5779964804619993E-2</v>
      </c>
      <c r="R81" s="5">
        <f>EnergyLJ($A81,$C$2,$C$3,shape_factors!R$2,$C$4,shape_factors!R$3)</f>
        <v>-2.8615036939248814E-2</v>
      </c>
      <c r="S81" s="5">
        <f>EnergyLJ($A81,$C$2,$C$3,shape_factors!S$2,$C$4,shape_factors!S$3)</f>
        <v>-1.7287700232031224E-2</v>
      </c>
      <c r="T81" s="5">
        <f>EnergyLJ($A81,$C$2,$C$3,shape_factors!T$2,$C$4,shape_factors!T$3)</f>
        <v>-1.3742165265991443E-2</v>
      </c>
      <c r="U81" s="5">
        <f>EnergyLJ($A81,$C$2,$C$3,shape_factors!U$2,$C$4,shape_factors!U$3)</f>
        <v>-2.8338457687679498E-2</v>
      </c>
    </row>
    <row r="82" spans="1:21" x14ac:dyDescent="0.25">
      <c r="A82">
        <v>17</v>
      </c>
      <c r="B82" s="5">
        <f>EnergyLJ($A82,$C$2,$C$3,shape_factors!B$2,$C$4,shape_factors!B$3)</f>
        <v>-7.7443254400613726E-2</v>
      </c>
      <c r="C82" s="5">
        <f>EnergyLJ($A82,$C$2,$C$3,shape_factors!C$2,$C$4,shape_factors!C$3)</f>
        <v>-2.872084386207625E-2</v>
      </c>
      <c r="D82" s="5">
        <f>EnergyLJ($A82,$C$2,$C$3,shape_factors!D$2,$C$4,shape_factors!D$3)</f>
        <v>-9.9945228958323043E-2</v>
      </c>
      <c r="E82" s="5">
        <f>EnergyLJ($A82,$C$2,$C$3,shape_factors!E$2,$C$4,shape_factors!E$3)</f>
        <v>-4.2796798848854338E-2</v>
      </c>
      <c r="F82" s="5">
        <f>EnergyLJ($A82,$C$2,$C$3,shape_factors!F$2,$C$4,shape_factors!F$3)</f>
        <v>-2.6204224291763986E-2</v>
      </c>
      <c r="G82" s="5">
        <f>EnergyLJ($A82,$C$2,$C$3,shape_factors!G$2,$C$4,shape_factors!G$3)</f>
        <v>-3.1569487788555825E-2</v>
      </c>
      <c r="H82" s="5">
        <f>EnergyLJ($A82,$C$2,$C$3,shape_factors!H$2,$C$4,shape_factors!H$3)</f>
        <v>-0.36544327981500585</v>
      </c>
      <c r="I82" s="5">
        <f>EnergyLJ($A82,$C$2,$C$3,shape_factors!I$2,$C$4,shape_factors!I$3)</f>
        <v>-5.0614740831395715E-2</v>
      </c>
      <c r="J82" s="5">
        <f>EnergyLJ($A82,$C$2,$C$3,shape_factors!J$2,$C$4,shape_factors!J$3)</f>
        <v>-1.7675125900371749E-2</v>
      </c>
      <c r="K82" s="5">
        <f>EnergyLJ($A82,$C$2,$C$3,shape_factors!K$2,$C$4,shape_factors!K$3)</f>
        <v>-1.974847367017761E-2</v>
      </c>
      <c r="L82" s="5">
        <f>EnergyLJ($A82,$C$2,$C$3,shape_factors!L$2,$C$4,shape_factors!L$3)</f>
        <v>-2.3931451496332849E-2</v>
      </c>
      <c r="M82" s="5">
        <f>EnergyLJ($A82,$C$2,$C$3,shape_factors!M$2,$C$4,shape_factors!M$3)</f>
        <v>-1.8123986060720777E-2</v>
      </c>
      <c r="N82" s="5">
        <f>EnergyLJ($A82,$C$2,$C$3,shape_factors!N$2,$C$4,shape_factors!N$3)</f>
        <v>-1.4102953811031721E-2</v>
      </c>
      <c r="O82" s="5">
        <f>EnergyLJ($A82,$C$2,$C$3,shape_factors!O$2,$C$4,shape_factors!O$3)</f>
        <v>-1.3293766115102997E-2</v>
      </c>
      <c r="P82" s="5">
        <f>EnergyLJ($A82,$C$2,$C$3,shape_factors!P$2,$C$4,shape_factors!P$3)</f>
        <v>-1.4356019795193995E-2</v>
      </c>
      <c r="Q82" s="5">
        <f>EnergyLJ($A82,$C$2,$C$3,shape_factors!Q$2,$C$4,shape_factors!Q$3)</f>
        <v>-1.470169899498228E-2</v>
      </c>
      <c r="R82" s="5">
        <f>EnergyLJ($A82,$C$2,$C$3,shape_factors!R$2,$C$4,shape_factors!R$3)</f>
        <v>-2.6664753582581843E-2</v>
      </c>
      <c r="S82" s="5">
        <f>EnergyLJ($A82,$C$2,$C$3,shape_factors!S$2,$C$4,shape_factors!S$3)</f>
        <v>-1.6106763408096872E-2</v>
      </c>
      <c r="T82" s="5">
        <f>EnergyLJ($A82,$C$2,$C$3,shape_factors!T$2,$C$4,shape_factors!T$3)</f>
        <v>-1.2802764656924081E-2</v>
      </c>
      <c r="U82" s="5">
        <f>EnergyLJ($A82,$C$2,$C$3,shape_factors!U$2,$C$4,shape_factors!U$3)</f>
        <v>-2.6406917133938623E-2</v>
      </c>
    </row>
    <row r="83" spans="1:21" x14ac:dyDescent="0.25">
      <c r="A83">
        <v>17.2</v>
      </c>
      <c r="B83" s="5">
        <f>EnergyLJ($A83,$C$2,$C$3,shape_factors!B$2,$C$4,shape_factors!B$3)</f>
        <v>-7.2277189682441775E-2</v>
      </c>
      <c r="C83" s="5">
        <f>EnergyLJ($A83,$C$2,$C$3,shape_factors!C$2,$C$4,shape_factors!C$3)</f>
        <v>-2.6785500772626328E-2</v>
      </c>
      <c r="D83" s="5">
        <f>EnergyLJ($A83,$C$2,$C$3,shape_factors!D$2,$C$4,shape_factors!D$3)</f>
        <v>-9.3310350851745869E-2</v>
      </c>
      <c r="E83" s="5">
        <f>EnergyLJ($A83,$C$2,$C$3,shape_factors!E$2,$C$4,shape_factors!E$3)</f>
        <v>-3.9921195731028807E-2</v>
      </c>
      <c r="F83" s="5">
        <f>EnergyLJ($A83,$C$2,$C$3,shape_factors!F$2,$C$4,shape_factors!F$3)</f>
        <v>-2.4437566727313516E-2</v>
      </c>
      <c r="G83" s="5">
        <f>EnergyLJ($A83,$C$2,$C$3,shape_factors!G$2,$C$4,shape_factors!G$3)</f>
        <v>-2.9443414498597116E-2</v>
      </c>
      <c r="H83" s="5">
        <f>EnergyLJ($A83,$C$2,$C$3,shape_factors!H$2,$C$4,shape_factors!H$3)</f>
        <v>-0.3427886097243365</v>
      </c>
      <c r="I83" s="5">
        <f>EnergyLJ($A83,$C$2,$C$3,shape_factors!I$2,$C$4,shape_factors!I$3)</f>
        <v>-4.7219300486788018E-2</v>
      </c>
      <c r="J83" s="5">
        <f>EnergyLJ($A83,$C$2,$C$3,shape_factors!J$2,$C$4,shape_factors!J$3)</f>
        <v>-1.6481451550084916E-2</v>
      </c>
      <c r="K83" s="5">
        <f>EnergyLJ($A83,$C$2,$C$3,shape_factors!K$2,$C$4,shape_factors!K$3)</f>
        <v>-1.8415329696962645E-2</v>
      </c>
      <c r="L83" s="5">
        <f>EnergyLJ($A83,$C$2,$C$3,shape_factors!L$2,$C$4,shape_factors!L$3)</f>
        <v>-2.2317284143056084E-2</v>
      </c>
      <c r="M83" s="5">
        <f>EnergyLJ($A83,$C$2,$C$3,shape_factors!M$2,$C$4,shape_factors!M$3)</f>
        <v>-1.6900107949342068E-2</v>
      </c>
      <c r="N83" s="5">
        <f>EnergyLJ($A83,$C$2,$C$3,shape_factors!N$2,$C$4,shape_factors!N$3)</f>
        <v>-1.3149845323459497E-2</v>
      </c>
      <c r="O83" s="5">
        <f>EnergyLJ($A83,$C$2,$C$3,shape_factors!O$2,$C$4,shape_factors!O$3)</f>
        <v>-1.2395199866200078E-2</v>
      </c>
      <c r="P83" s="5">
        <f>EnergyLJ($A83,$C$2,$C$3,shape_factors!P$2,$C$4,shape_factors!P$3)</f>
        <v>-1.3385857357300393E-2</v>
      </c>
      <c r="Q83" s="5">
        <f>EnergyLJ($A83,$C$2,$C$3,shape_factors!Q$2,$C$4,shape_factors!Q$3)</f>
        <v>-1.3708244260709369E-2</v>
      </c>
      <c r="R83" s="5">
        <f>EnergyLJ($A83,$C$2,$C$3,shape_factors!R$2,$C$4,shape_factors!R$3)</f>
        <v>-2.4867214366275623E-2</v>
      </c>
      <c r="S83" s="5">
        <f>EnergyLJ($A83,$C$2,$C$3,shape_factors!S$2,$C$4,shape_factors!S$3)</f>
        <v>-1.5018666957091996E-2</v>
      </c>
      <c r="T83" s="5">
        <f>EnergyLJ($A83,$C$2,$C$3,shape_factors!T$2,$C$4,shape_factors!T$3)</f>
        <v>-1.1937302337675265E-2</v>
      </c>
      <c r="U83" s="5">
        <f>EnergyLJ($A83,$C$2,$C$3,shape_factors!U$2,$C$4,shape_factors!U$3)</f>
        <v>-2.4626666904918344E-2</v>
      </c>
    </row>
    <row r="84" spans="1:21" x14ac:dyDescent="0.25">
      <c r="A84">
        <v>17.399999999999999</v>
      </c>
      <c r="B84" s="5">
        <f>EnergyLJ($A84,$C$2,$C$3,shape_factors!B$2,$C$4,shape_factors!B$3)</f>
        <v>-6.7504400178392834E-2</v>
      </c>
      <c r="C84" s="5">
        <f>EnergyLJ($A84,$C$2,$C$3,shape_factors!C$2,$C$4,shape_factors!C$3)</f>
        <v>-2.5000032467257741E-2</v>
      </c>
      <c r="D84" s="5">
        <f>EnergyLJ($A84,$C$2,$C$3,shape_factors!D$2,$C$4,shape_factors!D$3)</f>
        <v>-8.7176345175735734E-2</v>
      </c>
      <c r="E84" s="5">
        <f>EnergyLJ($A84,$C$2,$C$3,shape_factors!E$2,$C$4,shape_factors!E$3)</f>
        <v>-3.7267214354810979E-2</v>
      </c>
      <c r="F84" s="5">
        <f>EnergyLJ($A84,$C$2,$C$3,shape_factors!F$2,$C$4,shape_factors!F$3)</f>
        <v>-2.280783682717364E-2</v>
      </c>
      <c r="G84" s="5">
        <f>EnergyLJ($A84,$C$2,$C$3,shape_factors!G$2,$C$4,shape_factors!G$3)</f>
        <v>-2.7481827702911559E-2</v>
      </c>
      <c r="H84" s="5">
        <f>EnergyLJ($A84,$C$2,$C$3,shape_factors!H$2,$C$4,shape_factors!H$3)</f>
        <v>-0.32163309610049229</v>
      </c>
      <c r="I84" s="5">
        <f>EnergyLJ($A84,$C$2,$C$3,shape_factors!I$2,$C$4,shape_factors!I$3)</f>
        <v>-4.4084835534752252E-2</v>
      </c>
      <c r="J84" s="5">
        <f>EnergyLJ($A84,$C$2,$C$3,shape_factors!J$2,$C$4,shape_factors!J$3)</f>
        <v>-1.5380558765756915E-2</v>
      </c>
      <c r="K84" s="5">
        <f>EnergyLJ($A84,$C$2,$C$3,shape_factors!K$2,$C$4,shape_factors!K$3)</f>
        <v>-1.7185736586682557E-2</v>
      </c>
      <c r="L84" s="5">
        <f>EnergyLJ($A84,$C$2,$C$3,shape_factors!L$2,$C$4,shape_factors!L$3)</f>
        <v>-2.082832091950201E-2</v>
      </c>
      <c r="M84" s="5">
        <f>EnergyLJ($A84,$C$2,$C$3,shape_factors!M$2,$C$4,shape_factors!M$3)</f>
        <v>-1.5771344905442679E-2</v>
      </c>
      <c r="N84" s="5">
        <f>EnergyLJ($A84,$C$2,$C$3,shape_factors!N$2,$C$4,shape_factors!N$3)</f>
        <v>-1.2270907354284427E-2</v>
      </c>
      <c r="O84" s="5">
        <f>EnergyLJ($A84,$C$2,$C$3,shape_factors!O$2,$C$4,shape_factors!O$3)</f>
        <v>-1.1566578334341937E-2</v>
      </c>
      <c r="P84" s="5">
        <f>EnergyLJ($A84,$C$2,$C$3,shape_factors!P$2,$C$4,shape_factors!P$3)</f>
        <v>-1.2491186266583583E-2</v>
      </c>
      <c r="Q84" s="5">
        <f>EnergyLJ($A84,$C$2,$C$3,shape_factors!Q$2,$C$4,shape_factors!Q$3)</f>
        <v>-1.2792084500069427E-2</v>
      </c>
      <c r="R84" s="5">
        <f>EnergyLJ($A84,$C$2,$C$3,shape_factors!R$2,$C$4,shape_factors!R$3)</f>
        <v>-2.3208974767885648E-2</v>
      </c>
      <c r="S84" s="5">
        <f>EnergyLJ($A84,$C$2,$C$3,shape_factors!S$2,$C$4,shape_factors!S$3)</f>
        <v>-1.4015189699499392E-2</v>
      </c>
      <c r="T84" s="5">
        <f>EnergyLJ($A84,$C$2,$C$3,shape_factors!T$2,$C$4,shape_factors!T$3)</f>
        <v>-1.1139218806709815E-2</v>
      </c>
      <c r="U84" s="5">
        <f>EnergyLJ($A84,$C$2,$C$3,shape_factors!U$2,$C$4,shape_factors!U$3)</f>
        <v>-2.2984388457069575E-2</v>
      </c>
    </row>
    <row r="85" spans="1:21" x14ac:dyDescent="0.25">
      <c r="A85">
        <v>17.600000000000001</v>
      </c>
      <c r="B85" s="5">
        <f>EnergyLJ($A85,$C$2,$C$3,shape_factors!B$2,$C$4,shape_factors!B$3)</f>
        <v>-6.3091600914178328E-2</v>
      </c>
      <c r="C85" s="5">
        <f>EnergyLJ($A85,$C$2,$C$3,shape_factors!C$2,$C$4,shape_factors!C$3)</f>
        <v>-2.3351393697690591E-2</v>
      </c>
      <c r="D85" s="5">
        <f>EnergyLJ($A85,$C$2,$C$3,shape_factors!D$2,$C$4,shape_factors!D$3)</f>
        <v>-8.1501418410826948E-2</v>
      </c>
      <c r="E85" s="5">
        <f>EnergyLJ($A85,$C$2,$C$3,shape_factors!E$2,$C$4,shape_factors!E$3)</f>
        <v>-3.4815713316072701E-2</v>
      </c>
      <c r="F85" s="5">
        <f>EnergyLJ($A85,$C$2,$C$3,shape_factors!F$2,$C$4,shape_factors!F$3)</f>
        <v>-2.130310010309203E-2</v>
      </c>
      <c r="G85" s="5">
        <f>EnergyLJ($A85,$C$2,$C$3,shape_factors!G$2,$C$4,shape_factors!G$3)</f>
        <v>-2.5670432437375795E-2</v>
      </c>
      <c r="H85" s="5">
        <f>EnergyLJ($A85,$C$2,$C$3,shape_factors!H$2,$C$4,shape_factors!H$3)</f>
        <v>-0.30188181681885701</v>
      </c>
      <c r="I85" s="5">
        <f>EnergyLJ($A85,$C$2,$C$3,shape_factors!I$2,$C$4,shape_factors!I$3)</f>
        <v>-4.1188905020738222E-2</v>
      </c>
      <c r="J85" s="5">
        <f>EnergyLJ($A85,$C$2,$C$3,shape_factors!J$2,$C$4,shape_factors!J$3)</f>
        <v>-1.4364324051509074E-2</v>
      </c>
      <c r="K85" s="5">
        <f>EnergyLJ($A85,$C$2,$C$3,shape_factors!K$2,$C$4,shape_factors!K$3)</f>
        <v>-1.60506378432392E-2</v>
      </c>
      <c r="L85" s="5">
        <f>EnergyLJ($A85,$C$2,$C$3,shape_factors!L$2,$C$4,shape_factors!L$3)</f>
        <v>-1.9453635858566722E-2</v>
      </c>
      <c r="M85" s="5">
        <f>EnergyLJ($A85,$C$2,$C$3,shape_factors!M$2,$C$4,shape_factors!M$3)</f>
        <v>-1.4729371090106781E-2</v>
      </c>
      <c r="N85" s="5">
        <f>EnergyLJ($A85,$C$2,$C$3,shape_factors!N$2,$C$4,shape_factors!N$3)</f>
        <v>-1.1459633739925758E-2</v>
      </c>
      <c r="O85" s="5">
        <f>EnergyLJ($A85,$C$2,$C$3,shape_factors!O$2,$C$4,shape_factors!O$3)</f>
        <v>-1.0801763452420884E-2</v>
      </c>
      <c r="P85" s="5">
        <f>EnergyLJ($A85,$C$2,$C$3,shape_factors!P$2,$C$4,shape_factors!P$3)</f>
        <v>-1.1665385371649677E-2</v>
      </c>
      <c r="Q85" s="5">
        <f>EnergyLJ($A85,$C$2,$C$3,shape_factors!Q$2,$C$4,shape_factors!Q$3)</f>
        <v>-1.1946441593267711E-2</v>
      </c>
      <c r="R85" s="5">
        <f>EnergyLJ($A85,$C$2,$C$3,shape_factors!R$2,$C$4,shape_factors!R$3)</f>
        <v>-2.167789656618798E-2</v>
      </c>
      <c r="S85" s="5">
        <f>EnergyLJ($A85,$C$2,$C$3,shape_factors!S$2,$C$4,shape_factors!S$3)</f>
        <v>-1.3088916694301024E-2</v>
      </c>
      <c r="T85" s="5">
        <f>EnergyLJ($A85,$C$2,$C$3,shape_factors!T$2,$C$4,shape_factors!T$3)</f>
        <v>-1.0402599662459967E-2</v>
      </c>
      <c r="U85" s="5">
        <f>EnergyLJ($A85,$C$2,$C$3,shape_factors!U$2,$C$4,shape_factors!U$3)</f>
        <v>-2.1468057607237384E-2</v>
      </c>
    </row>
    <row r="86" spans="1:21" x14ac:dyDescent="0.25">
      <c r="A86">
        <v>17.8</v>
      </c>
      <c r="B86" s="5">
        <f>EnergyLJ($A86,$C$2,$C$3,shape_factors!B$2,$C$4,shape_factors!B$3)</f>
        <v>-5.9008563964902581E-2</v>
      </c>
      <c r="C86" s="5">
        <f>EnergyLJ($A86,$C$2,$C$3,shape_factors!C$2,$C$4,shape_factors!C$3)</f>
        <v>-2.1827792709503659E-2</v>
      </c>
      <c r="D86" s="5">
        <f>EnergyLJ($A86,$C$2,$C$3,shape_factors!D$2,$C$4,shape_factors!D$3)</f>
        <v>-7.6247523741299242E-2</v>
      </c>
      <c r="E86" s="5">
        <f>EnergyLJ($A86,$C$2,$C$3,shape_factors!E$2,$C$4,shape_factors!E$3)</f>
        <v>-3.2549368262897449E-2</v>
      </c>
      <c r="F86" s="5">
        <f>EnergyLJ($A86,$C$2,$C$3,shape_factors!F$2,$C$4,shape_factors!F$3)</f>
        <v>-1.9912571243828905E-2</v>
      </c>
      <c r="G86" s="5">
        <f>EnergyLJ($A86,$C$2,$C$3,shape_factors!G$2,$C$4,shape_factors!G$3)</f>
        <v>-2.3996304015018215E-2</v>
      </c>
      <c r="H86" s="5">
        <f>EnergyLJ($A86,$C$2,$C$3,shape_factors!H$2,$C$4,shape_factors!H$3)</f>
        <v>-0.2834436609644182</v>
      </c>
      <c r="I86" s="5">
        <f>EnergyLJ($A86,$C$2,$C$3,shape_factors!I$2,$C$4,shape_factors!I$3)</f>
        <v>-3.8511183304807205E-2</v>
      </c>
      <c r="J86" s="5">
        <f>EnergyLJ($A86,$C$2,$C$3,shape_factors!J$2,$C$4,shape_factors!J$3)</f>
        <v>-1.3425411604001498E-2</v>
      </c>
      <c r="K86" s="5">
        <f>EnergyLJ($A86,$C$2,$C$3,shape_factors!K$2,$C$4,shape_factors!K$3)</f>
        <v>-1.5001853660947858E-2</v>
      </c>
      <c r="L86" s="5">
        <f>EnergyLJ($A86,$C$2,$C$3,shape_factors!L$2,$C$4,shape_factors!L$3)</f>
        <v>-1.8183357040803264E-2</v>
      </c>
      <c r="M86" s="5">
        <f>EnergyLJ($A86,$C$2,$C$3,shape_factors!M$2,$C$4,shape_factors!M$3)</f>
        <v>-1.3766667685186749E-2</v>
      </c>
      <c r="N86" s="5">
        <f>EnergyLJ($A86,$C$2,$C$3,shape_factors!N$2,$C$4,shape_factors!N$3)</f>
        <v>-1.0710150989757562E-2</v>
      </c>
      <c r="O86" s="5">
        <f>EnergyLJ($A86,$C$2,$C$3,shape_factors!O$2,$C$4,shape_factors!O$3)</f>
        <v>-1.0095214414983504E-2</v>
      </c>
      <c r="P86" s="5">
        <f>EnergyLJ($A86,$C$2,$C$3,shape_factors!P$2,$C$4,shape_factors!P$3)</f>
        <v>-1.0902477246248297E-2</v>
      </c>
      <c r="Q86" s="5">
        <f>EnergyLJ($A86,$C$2,$C$3,shape_factors!Q$2,$C$4,shape_factors!Q$3)</f>
        <v>-1.1165196225319824E-2</v>
      </c>
      <c r="R86" s="5">
        <f>EnergyLJ($A86,$C$2,$C$3,shape_factors!R$2,$C$4,shape_factors!R$3)</f>
        <v>-2.0263009886597894E-2</v>
      </c>
      <c r="S86" s="5">
        <f>EnergyLJ($A86,$C$2,$C$3,shape_factors!S$2,$C$4,shape_factors!S$3)</f>
        <v>-1.2233152893844756E-2</v>
      </c>
      <c r="T86" s="5">
        <f>EnergyLJ($A86,$C$2,$C$3,shape_factors!T$2,$C$4,shape_factors!T$3)</f>
        <v>-9.7221062249455061E-3</v>
      </c>
      <c r="U86" s="5">
        <f>EnergyLJ($A86,$C$2,$C$3,shape_factors!U$2,$C$4,shape_factors!U$3)</f>
        <v>-2.0066807790829769E-2</v>
      </c>
    </row>
    <row r="87" spans="1:21" x14ac:dyDescent="0.25">
      <c r="A87">
        <v>18</v>
      </c>
      <c r="B87" s="5">
        <f>EnergyLJ($A87,$C$2,$C$3,shape_factors!B$2,$C$4,shape_factors!B$3)</f>
        <v>-5.5227821700375358E-2</v>
      </c>
      <c r="C87" s="5">
        <f>EnergyLJ($A87,$C$2,$C$3,shape_factors!C$2,$C$4,shape_factors!C$3)</f>
        <v>-2.0418560323727089E-2</v>
      </c>
      <c r="D87" s="5">
        <f>EnergyLJ($A87,$C$2,$C$3,shape_factors!D$2,$C$4,shape_factors!D$3)</f>
        <v>-7.138001267724095E-2</v>
      </c>
      <c r="E87" s="5">
        <f>EnergyLJ($A87,$C$2,$C$3,shape_factors!E$2,$C$4,shape_factors!E$3)</f>
        <v>-3.0452485660679835E-2</v>
      </c>
      <c r="F87" s="5">
        <f>EnergyLJ($A87,$C$2,$C$3,shape_factors!F$2,$C$4,shape_factors!F$3)</f>
        <v>-1.8626493706786842E-2</v>
      </c>
      <c r="G87" s="5">
        <f>EnergyLJ($A87,$C$2,$C$3,shape_factors!G$2,$C$4,shape_factors!G$3)</f>
        <v>-2.2447745436815641E-2</v>
      </c>
      <c r="H87" s="5">
        <f>EnergyLJ($A87,$C$2,$C$3,shape_factors!H$2,$C$4,shape_factors!H$3)</f>
        <v>-0.266231777820853</v>
      </c>
      <c r="I87" s="5">
        <f>EnergyLJ($A87,$C$2,$C$3,shape_factors!I$2,$C$4,shape_factors!I$3)</f>
        <v>-3.6033245672153796E-2</v>
      </c>
      <c r="J87" s="5">
        <f>EnergyLJ($A87,$C$2,$C$3,shape_factors!J$2,$C$4,shape_factors!J$3)</f>
        <v>-1.2557189907653988E-2</v>
      </c>
      <c r="K87" s="5">
        <f>EnergyLJ($A87,$C$2,$C$3,shape_factors!K$2,$C$4,shape_factors!K$3)</f>
        <v>-1.4031988328646437E-2</v>
      </c>
      <c r="L87" s="5">
        <f>EnergyLJ($A87,$C$2,$C$3,shape_factors!L$2,$C$4,shape_factors!L$3)</f>
        <v>-1.70085558380536E-2</v>
      </c>
      <c r="M87" s="5">
        <f>EnergyLJ($A87,$C$2,$C$3,shape_factors!M$2,$C$4,shape_factors!M$3)</f>
        <v>-1.2876437488101999E-2</v>
      </c>
      <c r="N87" s="5">
        <f>EnergyLJ($A87,$C$2,$C$3,shape_factors!N$2,$C$4,shape_factors!N$3)</f>
        <v>-1.0017151010288401E-2</v>
      </c>
      <c r="O87" s="5">
        <f>EnergyLJ($A87,$C$2,$C$3,shape_factors!O$2,$C$4,shape_factors!O$3)</f>
        <v>-9.4419241075002543E-3</v>
      </c>
      <c r="P87" s="5">
        <f>EnergyLJ($A87,$C$2,$C$3,shape_factors!P$2,$C$4,shape_factors!P$3)</f>
        <v>-1.0197059758616791E-2</v>
      </c>
      <c r="Q87" s="5">
        <f>EnergyLJ($A87,$C$2,$C$3,shape_factors!Q$2,$C$4,shape_factors!Q$3)</f>
        <v>-1.044281788093375E-2</v>
      </c>
      <c r="R87" s="5">
        <f>EnergyLJ($A87,$C$2,$C$3,shape_factors!R$2,$C$4,shape_factors!R$3)</f>
        <v>-1.8954390855550129E-2</v>
      </c>
      <c r="S87" s="5">
        <f>EnergyLJ($A87,$C$2,$C$3,shape_factors!S$2,$C$4,shape_factors!S$3)</f>
        <v>-1.144184677480581E-2</v>
      </c>
      <c r="T87" s="5">
        <f>EnergyLJ($A87,$C$2,$C$3,shape_factors!T$2,$C$4,shape_factors!T$3)</f>
        <v>-9.0929142224784841E-3</v>
      </c>
      <c r="U87" s="5">
        <f>EnergyLJ($A87,$C$2,$C$3,shape_factors!U$2,$C$4,shape_factors!U$3)</f>
        <v>-1.8770808800035531E-2</v>
      </c>
    </row>
    <row r="88" spans="1:21" x14ac:dyDescent="0.25">
      <c r="A88">
        <v>18.2</v>
      </c>
      <c r="B88" s="5">
        <f>EnergyLJ($A88,$C$2,$C$3,shape_factors!B$2,$C$4,shape_factors!B$3)</f>
        <v>-5.1724399399399691E-2</v>
      </c>
      <c r="C88" s="5">
        <f>EnergyLJ($A88,$C$2,$C$3,shape_factors!C$2,$C$4,shape_factors!C$3)</f>
        <v>-1.9114033667653435E-2</v>
      </c>
      <c r="D88" s="5">
        <f>EnergyLJ($A88,$C$2,$C$3,shape_factors!D$2,$C$4,shape_factors!D$3)</f>
        <v>-6.6867318347377788E-2</v>
      </c>
      <c r="E88" s="5">
        <f>EnergyLJ($A88,$C$2,$C$3,shape_factors!E$2,$C$4,shape_factors!E$3)</f>
        <v>-2.8510836792826299E-2</v>
      </c>
      <c r="F88" s="5">
        <f>EnergyLJ($A88,$C$2,$C$3,shape_factors!F$2,$C$4,shape_factors!F$3)</f>
        <v>-1.743603284840357E-2</v>
      </c>
      <c r="G88" s="5">
        <f>EnergyLJ($A88,$C$2,$C$3,shape_factors!G$2,$C$4,shape_factors!G$3)</f>
        <v>-2.101416066799312E-2</v>
      </c>
      <c r="H88" s="5">
        <f>EnergyLJ($A88,$C$2,$C$3,shape_factors!H$2,$C$4,shape_factors!H$3)</f>
        <v>-0.25016383139063109</v>
      </c>
      <c r="I88" s="5">
        <f>EnergyLJ($A88,$C$2,$C$3,shape_factors!I$2,$C$4,shape_factors!I$3)</f>
        <v>-3.3738376819334677E-2</v>
      </c>
      <c r="J88" s="5">
        <f>EnergyLJ($A88,$C$2,$C$3,shape_factors!J$2,$C$4,shape_factors!J$3)</f>
        <v>-1.1753657855935344E-2</v>
      </c>
      <c r="K88" s="5">
        <f>EnergyLJ($A88,$C$2,$C$3,shape_factors!K$2,$C$4,shape_factors!K$3)</f>
        <v>-1.3134348170598427E-2</v>
      </c>
      <c r="L88" s="5">
        <f>EnergyLJ($A88,$C$2,$C$3,shape_factors!L$2,$C$4,shape_factors!L$3)</f>
        <v>-1.5921148664110329E-2</v>
      </c>
      <c r="M88" s="5">
        <f>EnergyLJ($A88,$C$2,$C$3,shape_factors!M$2,$C$4,shape_factors!M$3)</f>
        <v>-1.2052529253433775E-2</v>
      </c>
      <c r="N88" s="5">
        <f>EnergyLJ($A88,$C$2,$C$3,shape_factors!N$2,$C$4,shape_factors!N$3)</f>
        <v>-9.3758315611561505E-3</v>
      </c>
      <c r="O88" s="5">
        <f>EnergyLJ($A88,$C$2,$C$3,shape_factors!O$2,$C$4,shape_factors!O$3)</f>
        <v>-8.8373628517366062E-3</v>
      </c>
      <c r="P88" s="5">
        <f>EnergyLJ($A88,$C$2,$C$3,shape_factors!P$2,$C$4,shape_factors!P$3)</f>
        <v>-9.5442455019482762E-3</v>
      </c>
      <c r="Q88" s="5">
        <f>EnergyLJ($A88,$C$2,$C$3,shape_factors!Q$2,$C$4,shape_factors!Q$3)</f>
        <v>-9.774302876606333E-3</v>
      </c>
      <c r="R88" s="5">
        <f>EnergyLJ($A88,$C$2,$C$3,shape_factors!R$2,$C$4,shape_factors!R$3)</f>
        <v>-1.774305299936468E-2</v>
      </c>
      <c r="S88" s="5">
        <f>EnergyLJ($A88,$C$2,$C$3,shape_factors!S$2,$C$4,shape_factors!S$3)</f>
        <v>-1.0709522715676406E-2</v>
      </c>
      <c r="T88" s="5">
        <f>EnergyLJ($A88,$C$2,$C$3,shape_factors!T$2,$C$4,shape_factors!T$3)</f>
        <v>-8.5106595405557792E-3</v>
      </c>
      <c r="U88" s="5">
        <f>EnergyLJ($A88,$C$2,$C$3,shape_factors!U$2,$C$4,shape_factors!U$3)</f>
        <v>-1.7571159151488533E-2</v>
      </c>
    </row>
    <row r="89" spans="1:21" x14ac:dyDescent="0.25">
      <c r="A89">
        <v>18.399999999999999</v>
      </c>
      <c r="B89" s="5">
        <f>EnergyLJ($A89,$C$2,$C$3,shape_factors!B$2,$C$4,shape_factors!B$3)</f>
        <v>-4.8475574461859662E-2</v>
      </c>
      <c r="C89" s="5">
        <f>EnergyLJ($A89,$C$2,$C$3,shape_factors!C$2,$C$4,shape_factors!C$3)</f>
        <v>-1.7905452824558077E-2</v>
      </c>
      <c r="D89" s="5">
        <f>EnergyLJ($A89,$C$2,$C$3,shape_factors!D$2,$C$4,shape_factors!D$3)</f>
        <v>-6.2680668051549635E-2</v>
      </c>
      <c r="E89" s="5">
        <f>EnergyLJ($A89,$C$2,$C$3,shape_factors!E$2,$C$4,shape_factors!E$3)</f>
        <v>-2.6711509716629306E-2</v>
      </c>
      <c r="F89" s="5">
        <f>EnergyLJ($A89,$C$2,$C$3,shape_factors!F$2,$C$4,shape_factors!F$3)</f>
        <v>-1.6333180982235195E-2</v>
      </c>
      <c r="G89" s="5">
        <f>EnergyLJ($A89,$C$2,$C$3,shape_factors!G$2,$C$4,shape_factors!G$3)</f>
        <v>-1.968594192215541E-2</v>
      </c>
      <c r="H89" s="5">
        <f>EnergyLJ($A89,$C$2,$C$3,shape_factors!H$2,$C$4,shape_factors!H$3)</f>
        <v>-0.2351621096472396</v>
      </c>
      <c r="I89" s="5">
        <f>EnergyLJ($A89,$C$2,$C$3,shape_factors!I$2,$C$4,shape_factors!I$3)</f>
        <v>-3.1611399716741699E-2</v>
      </c>
      <c r="J89" s="5">
        <f>EnergyLJ($A89,$C$2,$C$3,shape_factors!J$2,$C$4,shape_factors!J$3)</f>
        <v>-1.1009379238360224E-2</v>
      </c>
      <c r="K89" s="5">
        <f>EnergyLJ($A89,$C$2,$C$3,shape_factors!K$2,$C$4,shape_factors!K$3)</f>
        <v>-1.2302868747668904E-2</v>
      </c>
      <c r="L89" s="5">
        <f>EnergyLJ($A89,$C$2,$C$3,shape_factors!L$2,$C$4,shape_factors!L$3)</f>
        <v>-1.4913809734418427E-2</v>
      </c>
      <c r="M89" s="5">
        <f>EnergyLJ($A89,$C$2,$C$3,shape_factors!M$2,$C$4,shape_factors!M$3)</f>
        <v>-1.1289370595449322E-2</v>
      </c>
      <c r="N89" s="5">
        <f>EnergyLJ($A89,$C$2,$C$3,shape_factors!N$2,$C$4,shape_factors!N$3)</f>
        <v>-8.7818434925961437E-3</v>
      </c>
      <c r="O89" s="5">
        <f>EnergyLJ($A89,$C$2,$C$3,shape_factors!O$2,$C$4,shape_factors!O$3)</f>
        <v>-8.2774285661917791E-3</v>
      </c>
      <c r="P89" s="5">
        <f>EnergyLJ($A89,$C$2,$C$3,shape_factors!P$2,$C$4,shape_factors!P$3)</f>
        <v>-8.9396081203524762E-3</v>
      </c>
      <c r="Q89" s="5">
        <f>EnergyLJ($A89,$C$2,$C$3,shape_factors!Q$2,$C$4,shape_factors!Q$3)</f>
        <v>-9.1551194435192298E-3</v>
      </c>
      <c r="R89" s="5">
        <f>EnergyLJ($A89,$C$2,$C$3,shape_factors!R$2,$C$4,shape_factors!R$3)</f>
        <v>-1.6620850754236052E-2</v>
      </c>
      <c r="S89" s="5">
        <f>EnergyLJ($A89,$C$2,$C$3,shape_factors!S$2,$C$4,shape_factors!S$3)</f>
        <v>-1.0031221051093272E-2</v>
      </c>
      <c r="T89" s="5">
        <f>EnergyLJ($A89,$C$2,$C$3,shape_factors!T$2,$C$4,shape_factors!T$3)</f>
        <v>-7.9713901621362108E-3</v>
      </c>
      <c r="U89" s="5">
        <f>EnergyLJ($A89,$C$2,$C$3,shape_factors!U$2,$C$4,shape_factors!U$3)</f>
        <v>-1.6459790462469537E-2</v>
      </c>
    </row>
    <row r="90" spans="1:21" x14ac:dyDescent="0.25">
      <c r="A90">
        <v>18.600000000000001</v>
      </c>
      <c r="B90" s="5">
        <f>EnergyLJ($A90,$C$2,$C$3,shape_factors!B$2,$C$4,shape_factors!B$3)</f>
        <v>-4.5460659651014021E-2</v>
      </c>
      <c r="C90" s="5">
        <f>EnergyLJ($A90,$C$2,$C$3,shape_factors!C$2,$C$4,shape_factors!C$3)</f>
        <v>-1.678486888405056E-2</v>
      </c>
      <c r="D90" s="5">
        <f>EnergyLJ($A90,$C$2,$C$3,shape_factors!D$2,$C$4,shape_factors!D$3)</f>
        <v>-5.8793822698017209E-2</v>
      </c>
      <c r="E90" s="5">
        <f>EnergyLJ($A90,$C$2,$C$3,shape_factors!E$2,$C$4,shape_factors!E$3)</f>
        <v>-2.50427771519443E-2</v>
      </c>
      <c r="F90" s="5">
        <f>EnergyLJ($A90,$C$2,$C$3,shape_factors!F$2,$C$4,shape_factors!F$3)</f>
        <v>-1.5310672953401891E-2</v>
      </c>
      <c r="G90" s="5">
        <f>EnergyLJ($A90,$C$2,$C$3,shape_factors!G$2,$C$4,shape_factors!G$3)</f>
        <v>-1.8454369320040215E-2</v>
      </c>
      <c r="H90" s="5">
        <f>EnergyLJ($A90,$C$2,$C$3,shape_factors!H$2,$C$4,shape_factors!H$3)</f>
        <v>-0.22115352657915557</v>
      </c>
      <c r="I90" s="5">
        <f>EnergyLJ($A90,$C$2,$C$3,shape_factors!I$2,$C$4,shape_factors!I$3)</f>
        <v>-2.9638522614666575E-2</v>
      </c>
      <c r="J90" s="5">
        <f>EnergyLJ($A90,$C$2,$C$3,shape_factors!J$2,$C$4,shape_factors!J$3)</f>
        <v>-1.0319424581878624E-2</v>
      </c>
      <c r="K90" s="5">
        <f>EnergyLJ($A90,$C$2,$C$3,shape_factors!K$2,$C$4,shape_factors!K$3)</f>
        <v>-1.1532050204904505E-2</v>
      </c>
      <c r="L90" s="5">
        <f>EnergyLJ($A90,$C$2,$C$3,shape_factors!L$2,$C$4,shape_factors!L$3)</f>
        <v>-1.3979893524425725E-2</v>
      </c>
      <c r="M90" s="5">
        <f>EnergyLJ($A90,$C$2,$C$3,shape_factors!M$2,$C$4,shape_factors!M$3)</f>
        <v>-1.0581908417750106E-2</v>
      </c>
      <c r="N90" s="5">
        <f>EnergyLJ($A90,$C$2,$C$3,shape_factors!N$2,$C$4,shape_factors!N$3)</f>
        <v>-8.2312439377234693E-3</v>
      </c>
      <c r="O90" s="5">
        <f>EnergyLJ($A90,$C$2,$C$3,shape_factors!O$2,$C$4,shape_factors!O$3)</f>
        <v>-7.7584025581716948E-3</v>
      </c>
      <c r="P90" s="5">
        <f>EnergyLJ($A90,$C$2,$C$3,shape_factors!P$2,$C$4,shape_factors!P$3)</f>
        <v>-8.3791346902372561E-3</v>
      </c>
      <c r="Q90" s="5">
        <f>EnergyLJ($A90,$C$2,$C$3,shape_factors!Q$2,$C$4,shape_factors!Q$3)</f>
        <v>-8.5811590029226774E-3</v>
      </c>
      <c r="R90" s="5">
        <f>EnergyLJ($A90,$C$2,$C$3,shape_factors!R$2,$C$4,shape_factors!R$3)</f>
        <v>-1.5580393656067297E-2</v>
      </c>
      <c r="S90" s="5">
        <f>EnergyLJ($A90,$C$2,$C$3,shape_factors!S$2,$C$4,shape_factors!S$3)</f>
        <v>-9.4024448715218957E-3</v>
      </c>
      <c r="T90" s="5">
        <f>EnergyLJ($A90,$C$2,$C$3,shape_factors!T$2,$C$4,shape_factors!T$3)</f>
        <v>-7.4715235423483701E-3</v>
      </c>
      <c r="U90" s="5">
        <f>EnergyLJ($A90,$C$2,$C$3,shape_factors!U$2,$C$4,shape_factors!U$3)</f>
        <v>-1.5429382415515766E-2</v>
      </c>
    </row>
    <row r="91" spans="1:21" x14ac:dyDescent="0.25">
      <c r="A91">
        <v>18.8</v>
      </c>
      <c r="B91" s="5">
        <f>EnergyLJ($A91,$C$2,$C$3,shape_factors!B$2,$C$4,shape_factors!B$3)</f>
        <v>-4.2660808005336018E-2</v>
      </c>
      <c r="C91" s="5">
        <f>EnergyLJ($A91,$C$2,$C$3,shape_factors!C$2,$C$4,shape_factors!C$3)</f>
        <v>-1.5745062060495491E-2</v>
      </c>
      <c r="D91" s="5">
        <f>EnergyLJ($A91,$C$2,$C$3,shape_factors!D$2,$C$4,shape_factors!D$3)</f>
        <v>-5.5182840837104105E-2</v>
      </c>
      <c r="E91" s="5">
        <f>EnergyLJ($A91,$C$2,$C$3,shape_factors!E$2,$C$4,shape_factors!E$3)</f>
        <v>-2.3493978510829069E-2</v>
      </c>
      <c r="F91" s="5">
        <f>EnergyLJ($A91,$C$2,$C$3,shape_factors!F$2,$C$4,shape_factors!F$3)</f>
        <v>-1.4361910992532954E-2</v>
      </c>
      <c r="G91" s="5">
        <f>EnergyLJ($A91,$C$2,$C$3,shape_factors!G$2,$C$4,shape_factors!G$3)</f>
        <v>-1.731152148695483E-2</v>
      </c>
      <c r="H91" s="5">
        <f>EnergyLJ($A91,$C$2,$C$3,shape_factors!H$2,$C$4,shape_factors!H$3)</f>
        <v>-0.20806954640217989</v>
      </c>
      <c r="I91" s="5">
        <f>EnergyLJ($A91,$C$2,$C$3,shape_factors!I$2,$C$4,shape_factors!I$3)</f>
        <v>-2.7807202202308017E-2</v>
      </c>
      <c r="J91" s="5">
        <f>EnergyLJ($A91,$C$2,$C$3,shape_factors!J$2,$C$4,shape_factors!J$3)</f>
        <v>-9.6793194644489416E-3</v>
      </c>
      <c r="K91" s="5">
        <f>EnergyLJ($A91,$C$2,$C$3,shape_factors!K$2,$C$4,shape_factors!K$3)</f>
        <v>-1.0816899792804145E-2</v>
      </c>
      <c r="L91" s="5">
        <f>EnergyLJ($A91,$C$2,$C$3,shape_factors!L$2,$C$4,shape_factors!L$3)</f>
        <v>-1.3113365779658225E-2</v>
      </c>
      <c r="M91" s="5">
        <f>EnergyLJ($A91,$C$2,$C$3,shape_factors!M$2,$C$4,shape_factors!M$3)</f>
        <v>-9.9255559680087851E-3</v>
      </c>
      <c r="N91" s="5">
        <f>EnergyLJ($A91,$C$2,$C$3,shape_factors!N$2,$C$4,shape_factors!N$3)</f>
        <v>-7.7204547397826239E-3</v>
      </c>
      <c r="O91" s="5">
        <f>EnergyLJ($A91,$C$2,$C$3,shape_factors!O$2,$C$4,shape_factors!O$3)</f>
        <v>-7.2769102655560721E-3</v>
      </c>
      <c r="P91" s="5">
        <f>EnergyLJ($A91,$C$2,$C$3,shape_factors!P$2,$C$4,shape_factors!P$3)</f>
        <v>-7.8591834254946487E-3</v>
      </c>
      <c r="Q91" s="5">
        <f>EnergyLJ($A91,$C$2,$C$3,shape_factors!Q$2,$C$4,shape_factors!Q$3)</f>
        <v>-8.0486928863795666E-3</v>
      </c>
      <c r="R91" s="5">
        <f>EnergyLJ($A91,$C$2,$C$3,shape_factors!R$2,$C$4,shape_factors!R$3)</f>
        <v>-1.4614969955467901E-2</v>
      </c>
      <c r="S91" s="5">
        <f>EnergyLJ($A91,$C$2,$C$3,shape_factors!S$2,$C$4,shape_factors!S$3)</f>
        <v>-8.8191127563726664E-3</v>
      </c>
      <c r="T91" s="5">
        <f>EnergyLJ($A91,$C$2,$C$3,shape_factors!T$2,$C$4,shape_factors!T$3)</f>
        <v>-7.0078087588930447E-3</v>
      </c>
      <c r="U91" s="5">
        <f>EnergyLJ($A91,$C$2,$C$3,shape_factors!U$2,$C$4,shape_factors!U$3)</f>
        <v>-1.4473287066716252E-2</v>
      </c>
    </row>
    <row r="92" spans="1:21" x14ac:dyDescent="0.25">
      <c r="A92">
        <v>19</v>
      </c>
      <c r="B92" s="5">
        <f>EnergyLJ($A92,$C$2,$C$3,shape_factors!B$2,$C$4,shape_factors!B$3)</f>
        <v>-4.0058837262518653E-2</v>
      </c>
      <c r="C92" s="5">
        <f>EnergyLJ($A92,$C$2,$C$3,shape_factors!C$2,$C$4,shape_factors!C$3)</f>
        <v>-1.4779468709516424E-2</v>
      </c>
      <c r="D92" s="5">
        <f>EnergyLJ($A92,$C$2,$C$3,shape_factors!D$2,$C$4,shape_factors!D$3)</f>
        <v>-5.1825865120424329E-2</v>
      </c>
      <c r="E92" s="5">
        <f>EnergyLJ($A92,$C$2,$C$3,shape_factors!E$2,$C$4,shape_factors!E$3)</f>
        <v>-2.2055414481590992E-2</v>
      </c>
      <c r="F92" s="5">
        <f>EnergyLJ($A92,$C$2,$C$3,shape_factors!F$2,$C$4,shape_factors!F$3)</f>
        <v>-1.3480897764696537E-2</v>
      </c>
      <c r="G92" s="5">
        <f>EnergyLJ($A92,$C$2,$C$3,shape_factors!G$2,$C$4,shape_factors!G$3)</f>
        <v>-1.6250195826166342E-2</v>
      </c>
      <c r="H92" s="5">
        <f>EnergyLJ($A92,$C$2,$C$3,shape_factors!H$2,$C$4,shape_factors!H$3)</f>
        <v>-0.19584605254767654</v>
      </c>
      <c r="I92" s="5">
        <f>EnergyLJ($A92,$C$2,$C$3,shape_factors!I$2,$C$4,shape_factors!I$3)</f>
        <v>-2.6106021147343481E-2</v>
      </c>
      <c r="J92" s="5">
        <f>EnergyLJ($A92,$C$2,$C$3,shape_factors!J$2,$C$4,shape_factors!J$3)</f>
        <v>-9.0849985304884591E-3</v>
      </c>
      <c r="K92" s="5">
        <f>EnergyLJ($A92,$C$2,$C$3,shape_factors!K$2,$C$4,shape_factors!K$3)</f>
        <v>-1.0152880712120145E-2</v>
      </c>
      <c r="L92" s="5">
        <f>EnergyLJ($A92,$C$2,$C$3,shape_factors!L$2,$C$4,shape_factors!L$3)</f>
        <v>-1.2308742073037686E-2</v>
      </c>
      <c r="M92" s="5">
        <f>EnergyLJ($A92,$C$2,$C$3,shape_factors!M$2,$C$4,shape_factors!M$3)</f>
        <v>-9.3161457300124702E-3</v>
      </c>
      <c r="N92" s="5">
        <f>EnergyLJ($A92,$C$2,$C$3,shape_factors!N$2,$C$4,shape_factors!N$3)</f>
        <v>-7.2462254868438962E-3</v>
      </c>
      <c r="O92" s="5">
        <f>EnergyLJ($A92,$C$2,$C$3,shape_factors!O$2,$C$4,shape_factors!O$3)</f>
        <v>-6.82988635399629E-3</v>
      </c>
      <c r="P92" s="5">
        <f>EnergyLJ($A92,$C$2,$C$3,shape_factors!P$2,$C$4,shape_factors!P$3)</f>
        <v>-7.3764460686388238E-3</v>
      </c>
      <c r="Q92" s="5">
        <f>EnergyLJ($A92,$C$2,$C$3,shape_factors!Q$2,$C$4,shape_factors!Q$3)</f>
        <v>-7.5543338489577581E-3</v>
      </c>
      <c r="R92" s="5">
        <f>EnergyLJ($A92,$C$2,$C$3,shape_factors!R$2,$C$4,shape_factors!R$3)</f>
        <v>-1.3718478557512025E-2</v>
      </c>
      <c r="S92" s="5">
        <f>EnergyLJ($A92,$C$2,$C$3,shape_factors!S$2,$C$4,shape_factors!S$3)</f>
        <v>-8.2775167321231091E-3</v>
      </c>
      <c r="T92" s="5">
        <f>EnergyLJ($A92,$C$2,$C$3,shape_factors!T$2,$C$4,shape_factors!T$3)</f>
        <v>-6.5772928642206102E-3</v>
      </c>
      <c r="U92" s="5">
        <f>EnergyLJ($A92,$C$2,$C$3,shape_factors!U$2,$C$4,shape_factors!U$3)</f>
        <v>-1.3585461406171334E-2</v>
      </c>
    </row>
    <row r="93" spans="1:21" x14ac:dyDescent="0.25">
      <c r="A93">
        <v>19.2</v>
      </c>
      <c r="B93" s="5">
        <f>EnergyLJ($A93,$C$2,$C$3,shape_factors!B$2,$C$4,shape_factors!B$3)</f>
        <v>-3.7639071833352869E-2</v>
      </c>
      <c r="C93" s="5">
        <f>EnergyLJ($A93,$C$2,$C$3,shape_factors!C$2,$C$4,shape_factors!C$3)</f>
        <v>-1.3882116214865157E-2</v>
      </c>
      <c r="D93" s="5">
        <f>EnergyLJ($A93,$C$2,$C$3,shape_factors!D$2,$C$4,shape_factors!D$3)</f>
        <v>-4.8702929150756379E-2</v>
      </c>
      <c r="E93" s="5">
        <f>EnergyLJ($A93,$C$2,$C$3,shape_factors!E$2,$C$4,shape_factors!E$3)</f>
        <v>-2.0718252763035364E-2</v>
      </c>
      <c r="F93" s="5">
        <f>EnergyLJ($A93,$C$2,$C$3,shape_factors!F$2,$C$4,shape_factors!F$3)</f>
        <v>-1.2662176661823971E-2</v>
      </c>
      <c r="G93" s="5">
        <f>EnergyLJ($A93,$C$2,$C$3,shape_factors!G$2,$C$4,shape_factors!G$3)</f>
        <v>-1.5263837357490677E-2</v>
      </c>
      <c r="H93" s="5">
        <f>EnergyLJ($A93,$C$2,$C$3,shape_factors!H$2,$C$4,shape_factors!H$3)</f>
        <v>-0.18442317875721734</v>
      </c>
      <c r="I93" s="5">
        <f>EnergyLJ($A93,$C$2,$C$3,shape_factors!I$2,$C$4,shape_factors!I$3)</f>
        <v>-2.4524578439688624E-2</v>
      </c>
      <c r="J93" s="5">
        <f>EnergyLJ($A93,$C$2,$C$3,shape_factors!J$2,$C$4,shape_factors!J$3)</f>
        <v>-8.532764534953519E-3</v>
      </c>
      <c r="K93" s="5">
        <f>EnergyLJ($A93,$C$2,$C$3,shape_factors!K$2,$C$4,shape_factors!K$3)</f>
        <v>-9.5358665384876317E-3</v>
      </c>
      <c r="L93" s="5">
        <f>EnergyLJ($A93,$C$2,$C$3,shape_factors!L$2,$C$4,shape_factors!L$3)</f>
        <v>-1.1561033029098238E-2</v>
      </c>
      <c r="M93" s="5">
        <f>EnergyLJ($A93,$C$2,$C$3,shape_factors!M$2,$C$4,shape_factors!M$3)</f>
        <v>-8.7498874643590699E-3</v>
      </c>
      <c r="N93" s="5">
        <f>EnergyLJ($A93,$C$2,$C$3,shape_factors!N$2,$C$4,shape_factors!N$3)</f>
        <v>-6.8056006063061556E-3</v>
      </c>
      <c r="O93" s="5">
        <f>EnergyLJ($A93,$C$2,$C$3,shape_factors!O$2,$C$4,shape_factors!O$3)</f>
        <v>-6.4145436510969472E-3</v>
      </c>
      <c r="P93" s="5">
        <f>EnergyLJ($A93,$C$2,$C$3,shape_factors!P$2,$C$4,shape_factors!P$3)</f>
        <v>-6.9279144111818259E-3</v>
      </c>
      <c r="Q93" s="5">
        <f>EnergyLJ($A93,$C$2,$C$3,shape_factors!Q$2,$C$4,shape_factors!Q$3)</f>
        <v>-7.095001806305002E-3</v>
      </c>
      <c r="R93" s="5">
        <f>EnergyLJ($A93,$C$2,$C$3,shape_factors!R$2,$C$4,shape_factors!R$3)</f>
        <v>-1.2885368320617145E-2</v>
      </c>
      <c r="S93" s="5">
        <f>EnergyLJ($A93,$C$2,$C$3,shape_factors!S$2,$C$4,shape_factors!S$3)</f>
        <v>-7.7742848366893613E-3</v>
      </c>
      <c r="T93" s="5">
        <f>EnergyLJ($A93,$C$2,$C$3,shape_factors!T$2,$C$4,shape_factors!T$3)</f>
        <v>-6.1772909388834044E-3</v>
      </c>
      <c r="U93" s="5">
        <f>EnergyLJ($A93,$C$2,$C$3,shape_factors!U$2,$C$4,shape_factors!U$3)</f>
        <v>-1.2760407212887369E-2</v>
      </c>
    </row>
    <row r="94" spans="1:21" x14ac:dyDescent="0.25">
      <c r="A94">
        <v>19.399999999999999</v>
      </c>
      <c r="B94" s="5">
        <f>EnergyLJ($A94,$C$2,$C$3,shape_factors!B$2,$C$4,shape_factors!B$3)</f>
        <v>-3.5387200547307887E-2</v>
      </c>
      <c r="C94" s="5">
        <f>EnergyLJ($A94,$C$2,$C$3,shape_factors!C$2,$C$4,shape_factors!C$3)</f>
        <v>-1.3047564842420737E-2</v>
      </c>
      <c r="D94" s="5">
        <f>EnergyLJ($A94,$C$2,$C$3,shape_factors!D$2,$C$4,shape_factors!D$3)</f>
        <v>-4.579578283204E-2</v>
      </c>
      <c r="E94" s="5">
        <f>EnergyLJ($A94,$C$2,$C$3,shape_factors!E$2,$C$4,shape_factors!E$3)</f>
        <v>-1.947444370637056E-2</v>
      </c>
      <c r="F94" s="5">
        <f>EnergyLJ($A94,$C$2,$C$3,shape_factors!F$2,$C$4,shape_factors!F$3)</f>
        <v>-1.1900778503302879E-2</v>
      </c>
      <c r="G94" s="5">
        <f>EnergyLJ($A94,$C$2,$C$3,shape_factors!G$2,$C$4,shape_factors!G$3)</f>
        <v>-1.4346475143614316E-2</v>
      </c>
      <c r="H94" s="5">
        <f>EnergyLJ($A94,$C$2,$C$3,shape_factors!H$2,$C$4,shape_factors!H$3)</f>
        <v>-0.17374511550154134</v>
      </c>
      <c r="I94" s="5">
        <f>EnergyLJ($A94,$C$2,$C$3,shape_factors!I$2,$C$4,shape_factors!I$3)</f>
        <v>-2.3053391138459705E-2</v>
      </c>
      <c r="J94" s="5">
        <f>EnergyLJ($A94,$C$2,$C$3,shape_factors!J$2,$C$4,shape_factors!J$3)</f>
        <v>-8.0192518270485735E-3</v>
      </c>
      <c r="K94" s="5">
        <f>EnergyLJ($A94,$C$2,$C$3,shape_factors!K$2,$C$4,shape_factors!K$3)</f>
        <v>-8.9621005757133838E-3</v>
      </c>
      <c r="L94" s="5">
        <f>EnergyLJ($A94,$C$2,$C$3,shape_factors!L$2,$C$4,shape_factors!L$3)</f>
        <v>-1.0865695442979681E-2</v>
      </c>
      <c r="M94" s="5">
        <f>EnergyLJ($A94,$C$2,$C$3,shape_factors!M$2,$C$4,shape_factors!M$3)</f>
        <v>-8.2233307952227774E-3</v>
      </c>
      <c r="N94" s="5">
        <f>EnergyLJ($A94,$C$2,$C$3,shape_factors!N$2,$C$4,shape_factors!N$3)</f>
        <v>-6.3958900407452175E-3</v>
      </c>
      <c r="O94" s="5">
        <f>EnergyLJ($A94,$C$2,$C$3,shape_factors!O$2,$C$4,shape_factors!O$3)</f>
        <v>-6.0283454647618515E-3</v>
      </c>
      <c r="P94" s="5">
        <f>EnergyLJ($A94,$C$2,$C$3,shape_factors!P$2,$C$4,shape_factors!P$3)</f>
        <v>-6.5108504568126887E-3</v>
      </c>
      <c r="Q94" s="5">
        <f>EnergyLJ($A94,$C$2,$C$3,shape_factors!Q$2,$C$4,shape_factors!Q$3)</f>
        <v>-6.6678932983154212E-3</v>
      </c>
      <c r="R94" s="5">
        <f>EnergyLJ($A94,$C$2,$C$3,shape_factors!R$2,$C$4,shape_factors!R$3)</f>
        <v>-1.2110583866626881E-2</v>
      </c>
      <c r="S94" s="5">
        <f>EnergyLJ($A94,$C$2,$C$3,shape_factors!S$2,$C$4,shape_factors!S$3)</f>
        <v>-7.3063477490451388E-3</v>
      </c>
      <c r="T94" s="5">
        <f>EnergyLJ($A94,$C$2,$C$3,shape_factors!T$2,$C$4,shape_factors!T$3)</f>
        <v>-5.8053594089106661E-3</v>
      </c>
      <c r="U94" s="5">
        <f>EnergyLJ($A94,$C$2,$C$3,shape_factors!U$2,$C$4,shape_factors!U$3)</f>
        <v>-1.199311736323054E-2</v>
      </c>
    </row>
    <row r="95" spans="1:21" x14ac:dyDescent="0.25">
      <c r="A95">
        <v>19.600000000000001</v>
      </c>
      <c r="B95" s="5">
        <f>EnergyLJ($A95,$C$2,$C$3,shape_factors!B$2,$C$4,shape_factors!B$3)</f>
        <v>-3.3290148563277104E-2</v>
      </c>
      <c r="C95" s="5">
        <f>EnergyLJ($A95,$C$2,$C$3,shape_factors!C$2,$C$4,shape_factors!C$3)</f>
        <v>-1.2270855767004618E-2</v>
      </c>
      <c r="D95" s="5">
        <f>EnergyLJ($A95,$C$2,$C$3,shape_factors!D$2,$C$4,shape_factors!D$3)</f>
        <v>-4.3087734475394768E-2</v>
      </c>
      <c r="E95" s="5">
        <f>EnergyLJ($A95,$C$2,$C$3,shape_factors!E$2,$C$4,shape_factors!E$3)</f>
        <v>-1.8316644765335295E-2</v>
      </c>
      <c r="F95" s="5">
        <f>EnergyLJ($A95,$C$2,$C$3,shape_factors!F$2,$C$4,shape_factors!F$3)</f>
        <v>-1.1192173910877712E-2</v>
      </c>
      <c r="G95" s="5">
        <f>EnergyLJ($A95,$C$2,$C$3,shape_factors!G$2,$C$4,shape_factors!G$3)</f>
        <v>-1.3492665443556442E-2</v>
      </c>
      <c r="H95" s="5">
        <f>EnergyLJ($A95,$C$2,$C$3,shape_factors!H$2,$C$4,shape_factors!H$3)</f>
        <v>-0.16375990173887853</v>
      </c>
      <c r="I95" s="5">
        <f>EnergyLJ($A95,$C$2,$C$3,shape_factors!I$2,$C$4,shape_factors!I$3)</f>
        <v>-2.1683806277678581E-2</v>
      </c>
      <c r="J95" s="5">
        <f>EnergyLJ($A95,$C$2,$C$3,shape_factors!J$2,$C$4,shape_factors!J$3)</f>
        <v>-7.5413937577495658E-3</v>
      </c>
      <c r="K95" s="5">
        <f>EnergyLJ($A95,$C$2,$C$3,shape_factors!K$2,$C$4,shape_factors!K$3)</f>
        <v>-8.4281595670405857E-3</v>
      </c>
      <c r="L95" s="5">
        <f>EnergyLJ($A95,$C$2,$C$3,shape_factors!L$2,$C$4,shape_factors!L$3)</f>
        <v>-1.0218588616456081E-2</v>
      </c>
      <c r="M95" s="5">
        <f>EnergyLJ($A95,$C$2,$C$3,shape_factors!M$2,$C$4,shape_factors!M$3)</f>
        <v>-7.7333318153943878E-3</v>
      </c>
      <c r="N95" s="5">
        <f>EnergyLJ($A95,$C$2,$C$3,shape_factors!N$2,$C$4,shape_factors!N$3)</f>
        <v>-6.0146430866201608E-3</v>
      </c>
      <c r="O95" s="5">
        <f>EnergyLJ($A95,$C$2,$C$3,shape_factors!O$2,$C$4,shape_factors!O$3)</f>
        <v>-5.6689808897535561E-3</v>
      </c>
      <c r="P95" s="5">
        <f>EnergyLJ($A95,$C$2,$C$3,shape_factors!P$2,$C$4,shape_factors!P$3)</f>
        <v>-6.1227598018810756E-3</v>
      </c>
      <c r="Q95" s="5">
        <f>EnergyLJ($A95,$C$2,$C$3,shape_factors!Q$2,$C$4,shape_factors!Q$3)</f>
        <v>-6.2704542443404792E-3</v>
      </c>
      <c r="R95" s="5">
        <f>EnergyLJ($A95,$C$2,$C$3,shape_factors!R$2,$C$4,shape_factors!R$3)</f>
        <v>-1.1389517157041373E-2</v>
      </c>
      <c r="S95" s="5">
        <f>EnergyLJ($A95,$C$2,$C$3,shape_factors!S$2,$C$4,shape_factors!S$3)</f>
        <v>-6.8709090105702015E-3</v>
      </c>
      <c r="T95" s="5">
        <f>EnergyLJ($A95,$C$2,$C$3,shape_factors!T$2,$C$4,shape_factors!T$3)</f>
        <v>-5.4592722450181623E-3</v>
      </c>
      <c r="U95" s="5">
        <f>EnergyLJ($A95,$C$2,$C$3,shape_factors!U$2,$C$4,shape_factors!U$3)</f>
        <v>-1.1279027854143611E-2</v>
      </c>
    </row>
    <row r="96" spans="1:21" x14ac:dyDescent="0.25">
      <c r="A96">
        <v>19.8</v>
      </c>
      <c r="B96" s="5">
        <f>EnergyLJ($A96,$C$2,$C$3,shape_factors!B$2,$C$4,shape_factors!B$3)</f>
        <v>-3.1335961997445164E-2</v>
      </c>
      <c r="C96" s="5">
        <f>EnergyLJ($A96,$C$2,$C$3,shape_factors!C$2,$C$4,shape_factors!C$3)</f>
        <v>-1.1547464573023324E-2</v>
      </c>
      <c r="D96" s="5">
        <f>EnergyLJ($A96,$C$2,$C$3,shape_factors!D$2,$C$4,shape_factors!D$3)</f>
        <v>-4.0563508060991099E-2</v>
      </c>
      <c r="E96" s="5">
        <f>EnergyLJ($A96,$C$2,$C$3,shape_factors!E$2,$C$4,shape_factors!E$3)</f>
        <v>-1.7238152781660937E-2</v>
      </c>
      <c r="F96" s="5">
        <f>EnergyLJ($A96,$C$2,$C$3,shape_factors!F$2,$C$4,shape_factors!F$3)</f>
        <v>-1.0532230712652793E-2</v>
      </c>
      <c r="G96" s="5">
        <f>EnergyLJ($A96,$C$2,$C$3,shape_factors!G$2,$C$4,shape_factors!G$3)</f>
        <v>-1.2697440835156705E-2</v>
      </c>
      <c r="H96" s="5">
        <f>EnergyLJ($A96,$C$2,$C$3,shape_factors!H$2,$C$4,shape_factors!H$3)</f>
        <v>-0.15441920953611324</v>
      </c>
      <c r="I96" s="5">
        <f>EnergyLJ($A96,$C$2,$C$3,shape_factors!I$2,$C$4,shape_factors!I$3)</f>
        <v>-2.0407921825649111E-2</v>
      </c>
      <c r="J96" s="5">
        <f>EnergyLJ($A96,$C$2,$C$3,shape_factors!J$2,$C$4,shape_factors!J$3)</f>
        <v>-7.096393558958889E-3</v>
      </c>
      <c r="K96" s="5">
        <f>EnergyLJ($A96,$C$2,$C$3,shape_factors!K$2,$C$4,shape_factors!K$3)</f>
        <v>-7.9309212637642262E-3</v>
      </c>
      <c r="L96" s="5">
        <f>EnergyLJ($A96,$C$2,$C$3,shape_factors!L$2,$C$4,shape_factors!L$3)</f>
        <v>-9.6159353156118274E-3</v>
      </c>
      <c r="M96" s="5">
        <f>EnergyLJ($A96,$C$2,$C$3,shape_factors!M$2,$C$4,shape_factors!M$3)</f>
        <v>-7.2770232468438497E-3</v>
      </c>
      <c r="N96" s="5">
        <f>EnergyLJ($A96,$C$2,$C$3,shape_factors!N$2,$C$4,shape_factors!N$3)</f>
        <v>-5.6596250293957529E-3</v>
      </c>
      <c r="O96" s="5">
        <f>EnergyLJ($A96,$C$2,$C$3,shape_factors!O$2,$C$4,shape_factors!O$3)</f>
        <v>-5.3343427558466966E-3</v>
      </c>
      <c r="P96" s="5">
        <f>EnergyLJ($A96,$C$2,$C$3,shape_factors!P$2,$C$4,shape_factors!P$3)</f>
        <v>-5.7613678605748691E-3</v>
      </c>
      <c r="Q96" s="5">
        <f>EnergyLJ($A96,$C$2,$C$3,shape_factors!Q$2,$C$4,shape_factors!Q$3)</f>
        <v>-5.900355608930488E-3</v>
      </c>
      <c r="R96" s="5">
        <f>EnergyLJ($A96,$C$2,$C$3,shape_factors!R$2,$C$4,shape_factors!R$3)</f>
        <v>-1.0717964180239656E-2</v>
      </c>
      <c r="S96" s="5">
        <f>EnergyLJ($A96,$C$2,$C$3,shape_factors!S$2,$C$4,shape_factors!S$3)</f>
        <v>-6.465418423235645E-3</v>
      </c>
      <c r="T96" s="5">
        <f>EnergyLJ($A96,$C$2,$C$3,shape_factors!T$2,$C$4,shape_factors!T$3)</f>
        <v>-5.1369997091321798E-3</v>
      </c>
      <c r="U96" s="5">
        <f>EnergyLJ($A96,$C$2,$C$3,shape_factors!U$2,$C$4,shape_factors!U$3)</f>
        <v>-1.061397489153515E-2</v>
      </c>
    </row>
    <row r="97" spans="1:21" x14ac:dyDescent="0.25">
      <c r="A97">
        <v>20</v>
      </c>
      <c r="B97" s="5">
        <f>EnergyLJ($A97,$C$2,$C$3,shape_factors!B$2,$C$4,shape_factors!B$3)</f>
        <v>-2.9513703965521755E-2</v>
      </c>
      <c r="C97" s="5">
        <f>EnergyLJ($A97,$C$2,$C$3,shape_factors!C$2,$C$4,shape_factors!C$3)</f>
        <v>-1.0873259613398018E-2</v>
      </c>
      <c r="D97" s="5">
        <f>EnergyLJ($A97,$C$2,$C$3,shape_factors!D$2,$C$4,shape_factors!D$3)</f>
        <v>-3.8209114194074703E-2</v>
      </c>
      <c r="E97" s="5">
        <f>EnergyLJ($A97,$C$2,$C$3,shape_factors!E$2,$C$4,shape_factors!E$3)</f>
        <v>-1.6232843244791708E-2</v>
      </c>
      <c r="F97" s="5">
        <f>EnergyLJ($A97,$C$2,$C$3,shape_factors!F$2,$C$4,shape_factors!F$3)</f>
        <v>-9.9171758084913592E-3</v>
      </c>
      <c r="G97" s="5">
        <f>EnergyLJ($A97,$C$2,$C$3,shape_factors!G$2,$C$4,shape_factors!G$3)</f>
        <v>-1.1956264638336279E-2</v>
      </c>
      <c r="H97" s="5">
        <f>EnergyLJ($A97,$C$2,$C$3,shape_factors!H$2,$C$4,shape_factors!H$3)</f>
        <v>-0.14567812714115472</v>
      </c>
      <c r="I97" s="5">
        <f>EnergyLJ($A97,$C$2,$C$3,shape_factors!I$2,$C$4,shape_factors!I$3)</f>
        <v>-1.9218515716855702E-2</v>
      </c>
      <c r="J97" s="5">
        <f>EnergyLJ($A97,$C$2,$C$3,shape_factors!J$2,$C$4,shape_factors!J$3)</f>
        <v>-6.6816982974832548E-3</v>
      </c>
      <c r="K97" s="5">
        <f>EnergyLJ($A97,$C$2,$C$3,shape_factors!K$2,$C$4,shape_factors!K$3)</f>
        <v>-7.4675354116018064E-3</v>
      </c>
      <c r="L97" s="5">
        <f>EnergyLJ($A97,$C$2,$C$3,shape_factors!L$2,$C$4,shape_factors!L$3)</f>
        <v>-9.054286826675367E-3</v>
      </c>
      <c r="M97" s="5">
        <f>EnergyLJ($A97,$C$2,$C$3,shape_factors!M$2,$C$4,shape_factors!M$3)</f>
        <v>-6.8517877506659086E-3</v>
      </c>
      <c r="N97" s="5">
        <f>EnergyLJ($A97,$C$2,$C$3,shape_factors!N$2,$C$4,shape_factors!N$3)</f>
        <v>-5.3287962538526371E-3</v>
      </c>
      <c r="O97" s="5">
        <f>EnergyLJ($A97,$C$2,$C$3,shape_factors!O$2,$C$4,shape_factors!O$3)</f>
        <v>-5.0225079137942779E-3</v>
      </c>
      <c r="P97" s="5">
        <f>EnergyLJ($A97,$C$2,$C$3,shape_factors!P$2,$C$4,shape_factors!P$3)</f>
        <v>-5.4245986081313778E-3</v>
      </c>
      <c r="Q97" s="5">
        <f>EnergyLJ($A97,$C$2,$C$3,shape_factors!Q$2,$C$4,shape_factors!Q$3)</f>
        <v>-5.5554716440459105E-3</v>
      </c>
      <c r="R97" s="5">
        <f>EnergyLJ($A97,$C$2,$C$3,shape_factors!R$2,$C$4,shape_factors!R$3)</f>
        <v>-1.0092086173145561E-2</v>
      </c>
      <c r="S97" s="5">
        <f>EnergyLJ($A97,$C$2,$C$3,shape_factors!S$2,$C$4,shape_factors!S$3)</f>
        <v>-6.0875482607109267E-3</v>
      </c>
      <c r="T97" s="5">
        <f>EnergyLJ($A97,$C$2,$C$3,shape_factors!T$2,$C$4,shape_factors!T$3)</f>
        <v>-4.8366893550926488E-3</v>
      </c>
      <c r="U97" s="5">
        <f>EnergyLJ($A97,$C$2,$C$3,shape_factors!U$2,$C$4,shape_factors!U$3)</f>
        <v>-9.9941564722382768E-3</v>
      </c>
    </row>
    <row r="98" spans="1:21" x14ac:dyDescent="0.25">
      <c r="A98">
        <v>20.2</v>
      </c>
      <c r="B98" s="5">
        <f>EnergyLJ($A98,$C$2,$C$3,shape_factors!B$2,$C$4,shape_factors!B$3)</f>
        <v>-2.7813360869019504E-2</v>
      </c>
      <c r="C98" s="5">
        <f>EnergyLJ($A98,$C$2,$C$3,shape_factors!C$2,$C$4,shape_factors!C$3)</f>
        <v>-1.0244464684321771E-2</v>
      </c>
      <c r="D98" s="5">
        <f>EnergyLJ($A98,$C$2,$C$3,shape_factors!D$2,$C$4,shape_factors!D$3)</f>
        <v>-3.6011733424606104E-2</v>
      </c>
      <c r="E98" s="5">
        <f>EnergyLJ($A98,$C$2,$C$3,shape_factors!E$2,$C$4,shape_factors!E$3)</f>
        <v>-1.5295115763521265E-2</v>
      </c>
      <c r="F98" s="5">
        <f>EnergyLJ($A98,$C$2,$C$3,shape_factors!F$2,$C$4,shape_factors!F$3)</f>
        <v>-9.3435609968864995E-3</v>
      </c>
      <c r="G98" s="5">
        <f>EnergyLJ($A98,$C$2,$C$3,shape_factors!G$2,$C$4,shape_factors!G$3)</f>
        <v>-1.1264990049699877E-2</v>
      </c>
      <c r="H98" s="5">
        <f>EnergyLJ($A98,$C$2,$C$3,shape_factors!H$2,$C$4,shape_factors!H$3)</f>
        <v>-0.13749494459530401</v>
      </c>
      <c r="I98" s="5">
        <f>EnergyLJ($A98,$C$2,$C$3,shape_factors!I$2,$C$4,shape_factors!I$3)</f>
        <v>-1.8108982085268194E-2</v>
      </c>
      <c r="J98" s="5">
        <f>EnergyLJ($A98,$C$2,$C$3,shape_factors!J$2,$C$4,shape_factors!J$3)</f>
        <v>-6.2949755552589685E-3</v>
      </c>
      <c r="K98" s="5">
        <f>EnergyLJ($A98,$C$2,$C$3,shape_factors!K$2,$C$4,shape_factors!K$3)</f>
        <v>-7.0353977684343687E-3</v>
      </c>
      <c r="L98" s="5">
        <f>EnergyLJ($A98,$C$2,$C$3,shape_factors!L$2,$C$4,shape_factors!L$3)</f>
        <v>-8.5304916493335811E-3</v>
      </c>
      <c r="M98" s="5">
        <f>EnergyLJ($A98,$C$2,$C$3,shape_factors!M$2,$C$4,shape_factors!M$3)</f>
        <v>-6.4552340295927491E-3</v>
      </c>
      <c r="N98" s="5">
        <f>EnergyLJ($A98,$C$2,$C$3,shape_factors!N$2,$C$4,shape_factors!N$3)</f>
        <v>-5.0202935476776284E-3</v>
      </c>
      <c r="O98" s="5">
        <f>EnergyLJ($A98,$C$2,$C$3,shape_factors!O$2,$C$4,shape_factors!O$3)</f>
        <v>-4.7317195925686804E-3</v>
      </c>
      <c r="P98" s="5">
        <f>EnergyLJ($A98,$C$2,$C$3,shape_factors!P$2,$C$4,shape_factors!P$3)</f>
        <v>-5.1105555553882399E-3</v>
      </c>
      <c r="Q98" s="5">
        <f>EnergyLJ($A98,$C$2,$C$3,shape_factors!Q$2,$C$4,shape_factors!Q$3)</f>
        <v>-5.2338604145219063E-3</v>
      </c>
      <c r="R98" s="5">
        <f>EnergyLJ($A98,$C$2,$C$3,shape_factors!R$2,$C$4,shape_factors!R$3)</f>
        <v>-9.5083748695567703E-3</v>
      </c>
      <c r="S98" s="5">
        <f>EnergyLJ($A98,$C$2,$C$3,shape_factors!S$2,$C$4,shape_factors!S$3)</f>
        <v>-5.7351719728502932E-3</v>
      </c>
      <c r="T98" s="5">
        <f>EnergyLJ($A98,$C$2,$C$3,shape_factors!T$2,$C$4,shape_factors!T$3)</f>
        <v>-4.5566490263711113E-3</v>
      </c>
      <c r="U98" s="5">
        <f>EnergyLJ($A98,$C$2,$C$3,shape_factors!U$2,$C$4,shape_factors!U$3)</f>
        <v>-9.4160979561530109E-3</v>
      </c>
    </row>
    <row r="99" spans="1:21" x14ac:dyDescent="0.25">
      <c r="A99">
        <v>20.399999999999999</v>
      </c>
      <c r="B99" s="5">
        <f>EnergyLJ($A99,$C$2,$C$3,shape_factors!B$2,$C$4,shape_factors!B$3)</f>
        <v>-2.6225757875411673E-2</v>
      </c>
      <c r="C99" s="5">
        <f>EnergyLJ($A99,$C$2,$C$3,shape_factors!C$2,$C$4,shape_factors!C$3)</f>
        <v>-9.6576255374158718E-3</v>
      </c>
      <c r="D99" s="5">
        <f>EnergyLJ($A99,$C$2,$C$3,shape_factors!D$2,$C$4,shape_factors!D$3)</f>
        <v>-3.3959610722759929E-2</v>
      </c>
      <c r="E99" s="5">
        <f>EnergyLJ($A99,$C$2,$C$3,shape_factors!E$2,$C$4,shape_factors!E$3)</f>
        <v>-1.4419845074361492E-2</v>
      </c>
      <c r="F99" s="5">
        <f>EnergyLJ($A99,$C$2,$C$3,shape_factors!F$2,$C$4,shape_factors!F$3)</f>
        <v>-8.8082323226971355E-3</v>
      </c>
      <c r="G99" s="5">
        <f>EnergyLJ($A99,$C$2,$C$3,shape_factors!G$2,$C$4,shape_factors!G$3)</f>
        <v>-1.0619823468201599E-2</v>
      </c>
      <c r="H99" s="5">
        <f>EnergyLJ($A99,$C$2,$C$3,shape_factors!H$2,$C$4,shape_factors!H$3)</f>
        <v>-0.12983094481571419</v>
      </c>
      <c r="I99" s="5">
        <f>EnergyLJ($A99,$C$2,$C$3,shape_factors!I$2,$C$4,shape_factors!I$3)</f>
        <v>-1.7073273925542271E-2</v>
      </c>
      <c r="J99" s="5">
        <f>EnergyLJ($A99,$C$2,$C$3,shape_factors!J$2,$C$4,shape_factors!J$3)</f>
        <v>-5.934092529300967E-3</v>
      </c>
      <c r="K99" s="5">
        <f>EnergyLJ($A99,$C$2,$C$3,shape_factors!K$2,$C$4,shape_factors!K$3)</f>
        <v>-6.6321268134645192E-3</v>
      </c>
      <c r="L99" s="5">
        <f>EnergyLJ($A99,$C$2,$C$3,shape_factors!L$2,$C$4,shape_factors!L$3)</f>
        <v>-8.0416674217604466E-3</v>
      </c>
      <c r="M99" s="5">
        <f>EnergyLJ($A99,$C$2,$C$3,shape_factors!M$2,$C$4,shape_factors!M$3)</f>
        <v>-6.0851754092673994E-3</v>
      </c>
      <c r="N99" s="5">
        <f>EnergyLJ($A99,$C$2,$C$3,shape_factors!N$2,$C$4,shape_factors!N$3)</f>
        <v>-4.7324133506581687E-3</v>
      </c>
      <c r="O99" s="5">
        <f>EnergyLJ($A99,$C$2,$C$3,shape_factors!O$2,$C$4,shape_factors!O$3)</f>
        <v>-4.4603715937514901E-3</v>
      </c>
      <c r="P99" s="5">
        <f>EnergyLJ($A99,$C$2,$C$3,shape_factors!P$2,$C$4,shape_factors!P$3)</f>
        <v>-4.8175047027769731E-3</v>
      </c>
      <c r="Q99" s="5">
        <f>EnergyLJ($A99,$C$2,$C$3,shape_factors!Q$2,$C$4,shape_factors!Q$3)</f>
        <v>-4.9337463491362183E-3</v>
      </c>
      <c r="R99" s="5">
        <f>EnergyLJ($A99,$C$2,$C$3,shape_factors!R$2,$C$4,shape_factors!R$3)</f>
        <v>-8.9636213275493346E-3</v>
      </c>
      <c r="S99" s="5">
        <f>EnergyLJ($A99,$C$2,$C$3,shape_factors!S$2,$C$4,shape_factors!S$3)</f>
        <v>-5.4063451026771844E-3</v>
      </c>
      <c r="T99" s="5">
        <f>EnergyLJ($A99,$C$2,$C$3,shape_factors!T$2,$C$4,shape_factors!T$3)</f>
        <v>-4.2953316249389984E-3</v>
      </c>
      <c r="U99" s="5">
        <f>EnergyLJ($A99,$C$2,$C$3,shape_factors!U$2,$C$4,shape_factors!U$3)</f>
        <v>-8.8766211848895962E-3</v>
      </c>
    </row>
    <row r="100" spans="1:21" x14ac:dyDescent="0.25">
      <c r="A100">
        <v>20.6</v>
      </c>
      <c r="B100" s="5">
        <f>EnergyLJ($A100,$C$2,$C$3,shape_factors!B$2,$C$4,shape_factors!B$3)</f>
        <v>-2.4742482650641315E-2</v>
      </c>
      <c r="C100" s="5">
        <f>EnergyLJ($A100,$C$2,$C$3,shape_factors!C$2,$C$4,shape_factors!C$3)</f>
        <v>-9.1095798069905226E-3</v>
      </c>
      <c r="D100" s="5">
        <f>EnergyLJ($A100,$C$2,$C$3,shape_factors!D$2,$C$4,shape_factors!D$3)</f>
        <v>-3.2041960016450093E-2</v>
      </c>
      <c r="E100" s="5">
        <f>EnergyLJ($A100,$C$2,$C$3,shape_factors!E$2,$C$4,shape_factors!E$3)</f>
        <v>-1.3602336988385772E-2</v>
      </c>
      <c r="F100" s="5">
        <f>EnergyLJ($A100,$C$2,$C$3,shape_factors!F$2,$C$4,shape_factors!F$3)</f>
        <v>-8.3083025570876313E-3</v>
      </c>
      <c r="G100" s="5">
        <f>EnergyLJ($A100,$C$2,$C$3,shape_factors!G$2,$C$4,shape_factors!G$3)</f>
        <v>-1.0017291552300784E-2</v>
      </c>
      <c r="H100" s="5">
        <f>EnergyLJ($A100,$C$2,$C$3,shape_factors!H$2,$C$4,shape_factors!H$3)</f>
        <v>-0.12265020218617009</v>
      </c>
      <c r="I100" s="5">
        <f>EnergyLJ($A100,$C$2,$C$3,shape_factors!I$2,$C$4,shape_factors!I$3)</f>
        <v>-1.6105851495128609E-2</v>
      </c>
      <c r="J100" s="5">
        <f>EnergyLJ($A100,$C$2,$C$3,shape_factors!J$2,$C$4,shape_factors!J$3)</f>
        <v>-5.5970972815511458E-3</v>
      </c>
      <c r="K100" s="5">
        <f>EnergyLJ($A100,$C$2,$C$3,shape_factors!K$2,$C$4,shape_factors!K$3)</f>
        <v>-6.2555428483924069E-3</v>
      </c>
      <c r="L100" s="5">
        <f>EnergyLJ($A100,$C$2,$C$3,shape_factors!L$2,$C$4,shape_factors!L$3)</f>
        <v>-7.5851757196350291E-3</v>
      </c>
      <c r="M100" s="5">
        <f>EnergyLJ($A100,$C$2,$C$3,shape_factors!M$2,$C$4,shape_factors!M$3)</f>
        <v>-5.7396106220135718E-3</v>
      </c>
      <c r="N100" s="5">
        <f>EnergyLJ($A100,$C$2,$C$3,shape_factors!N$2,$C$4,shape_factors!N$3)</f>
        <v>-4.4635967316396475E-3</v>
      </c>
      <c r="O100" s="5">
        <f>EnergyLJ($A100,$C$2,$C$3,shape_factors!O$2,$C$4,shape_factors!O$3)</f>
        <v>-4.2069941171866878E-3</v>
      </c>
      <c r="P100" s="5">
        <f>EnergyLJ($A100,$C$2,$C$3,shape_factors!P$2,$C$4,shape_factors!P$3)</f>
        <v>-4.5438592521924856E-3</v>
      </c>
      <c r="Q100" s="5">
        <f>EnergyLJ($A100,$C$2,$C$3,shape_factors!Q$2,$C$4,shape_factors!Q$3)</f>
        <v>-4.653504590635394E-3</v>
      </c>
      <c r="R100" s="5">
        <f>EnergyLJ($A100,$C$2,$C$3,shape_factors!R$2,$C$4,shape_factors!R$3)</f>
        <v>-8.454887941092679E-3</v>
      </c>
      <c r="S100" s="5">
        <f>EnergyLJ($A100,$C$2,$C$3,shape_factors!S$2,$C$4,shape_factors!S$3)</f>
        <v>-5.0992881687053921E-3</v>
      </c>
      <c r="T100" s="5">
        <f>EnergyLJ($A100,$C$2,$C$3,shape_factors!T$2,$C$4,shape_factors!T$3)</f>
        <v>-4.0513214526878092E-3</v>
      </c>
      <c r="U100" s="5">
        <f>EnergyLJ($A100,$C$2,$C$3,shape_factors!U$2,$C$4,shape_factors!U$3)</f>
        <v>-8.3728167555183215E-3</v>
      </c>
    </row>
    <row r="101" spans="1:21" x14ac:dyDescent="0.25">
      <c r="A101">
        <v>20.8</v>
      </c>
      <c r="B101" s="5">
        <f>EnergyLJ($A101,$C$2,$C$3,shape_factors!B$2,$C$4,shape_factors!B$3)</f>
        <v>-2.3355816500382862E-2</v>
      </c>
      <c r="C101" s="5">
        <f>EnergyLJ($A101,$C$2,$C$3,shape_factors!C$2,$C$4,shape_factors!C$3)</f>
        <v>-8.59742997935398E-3</v>
      </c>
      <c r="D101" s="5">
        <f>EnergyLJ($A101,$C$2,$C$3,shape_factors!D$2,$C$4,shape_factors!D$3)</f>
        <v>-3.0248877802003114E-2</v>
      </c>
      <c r="E101" s="5">
        <f>EnergyLJ($A101,$C$2,$C$3,shape_factors!E$2,$C$4,shape_factors!E$3)</f>
        <v>-1.2838288746181375E-2</v>
      </c>
      <c r="F101" s="5">
        <f>EnergyLJ($A101,$C$2,$C$3,shape_factors!F$2,$C$4,shape_factors!F$3)</f>
        <v>-7.8411264665293884E-3</v>
      </c>
      <c r="G101" s="5">
        <f>EnergyLJ($A101,$C$2,$C$3,shape_factors!G$2,$C$4,shape_factors!G$3)</f>
        <v>-9.4542116023427058E-3</v>
      </c>
      <c r="H101" s="5">
        <f>EnergyLJ($A101,$C$2,$C$3,shape_factors!H$2,$C$4,shape_factors!H$3)</f>
        <v>-0.11591939001125108</v>
      </c>
      <c r="I101" s="5">
        <f>EnergyLJ($A101,$C$2,$C$3,shape_factors!I$2,$C$4,shape_factors!I$3)</f>
        <v>-1.5201635846965628E-2</v>
      </c>
      <c r="J101" s="5">
        <f>EnergyLJ($A101,$C$2,$C$3,shape_factors!J$2,$C$4,shape_factors!J$3)</f>
        <v>-5.2822019008601272E-3</v>
      </c>
      <c r="K101" s="5">
        <f>EnergyLJ($A101,$C$2,$C$3,shape_factors!K$2,$C$4,shape_factors!K$3)</f>
        <v>-5.9036492266626968E-3</v>
      </c>
      <c r="L101" s="5">
        <f>EnergyLJ($A101,$C$2,$C$3,shape_factors!L$2,$C$4,shape_factors!L$3)</f>
        <v>-7.158599413485409E-3</v>
      </c>
      <c r="M101" s="5">
        <f>EnergyLJ($A101,$C$2,$C$3,shape_factors!M$2,$C$4,shape_factors!M$3)</f>
        <v>-5.41670654963744E-3</v>
      </c>
      <c r="N101" s="5">
        <f>EnergyLJ($A101,$C$2,$C$3,shape_factors!N$2,$C$4,shape_factors!N$3)</f>
        <v>-4.2124159014341762E-3</v>
      </c>
      <c r="O101" s="5">
        <f>EnergyLJ($A101,$C$2,$C$3,shape_factors!O$2,$C$4,shape_factors!O$3)</f>
        <v>-3.9702410366441515E-3</v>
      </c>
      <c r="P101" s="5">
        <f>EnergyLJ($A101,$C$2,$C$3,shape_factors!P$2,$C$4,shape_factors!P$3)</f>
        <v>-4.2881658816363317E-3</v>
      </c>
      <c r="Q101" s="5">
        <f>EnergyLJ($A101,$C$2,$C$3,shape_factors!Q$2,$C$4,shape_factors!Q$3)</f>
        <v>-4.3916469451306863E-3</v>
      </c>
      <c r="R101" s="5">
        <f>EnergyLJ($A101,$C$2,$C$3,shape_factors!R$2,$C$4,shape_factors!R$3)</f>
        <v>-7.9794832872189161E-3</v>
      </c>
      <c r="S101" s="5">
        <f>EnergyLJ($A101,$C$2,$C$3,shape_factors!S$2,$C$4,shape_factors!S$3)</f>
        <v>-4.8123712948755009E-3</v>
      </c>
      <c r="T101" s="5">
        <f>EnergyLJ($A101,$C$2,$C$3,shape_factors!T$2,$C$4,shape_factors!T$3)</f>
        <v>-3.8233219505814527E-3</v>
      </c>
      <c r="U101" s="5">
        <f>EnergyLJ($A101,$C$2,$C$3,shape_factors!U$2,$C$4,shape_factors!U$3)</f>
        <v>-7.9020191038549053E-3</v>
      </c>
    </row>
    <row r="102" spans="1:21" x14ac:dyDescent="0.25">
      <c r="A102">
        <v>21</v>
      </c>
      <c r="B102" s="5">
        <f>EnergyLJ($A102,$C$2,$C$3,shape_factors!B$2,$C$4,shape_factors!B$3)</f>
        <v>-2.2058672164535057E-2</v>
      </c>
      <c r="C102" s="5">
        <f>EnergyLJ($A102,$C$2,$C$3,shape_factors!C$2,$C$4,shape_factors!C$3)</f>
        <v>-8.1185190743341146E-3</v>
      </c>
      <c r="D102" s="5">
        <f>EnergyLJ($A102,$C$2,$C$3,shape_factors!D$2,$C$4,shape_factors!D$3)</f>
        <v>-2.8571264935264361E-2</v>
      </c>
      <c r="E102" s="5">
        <f>EnergyLJ($A102,$C$2,$C$3,shape_factors!E$2,$C$4,shape_factors!E$3)</f>
        <v>-1.2123753310471736E-2</v>
      </c>
      <c r="F102" s="5">
        <f>EnergyLJ($A102,$C$2,$C$3,shape_factors!F$2,$C$4,shape_factors!F$3)</f>
        <v>-7.4042785676419805E-3</v>
      </c>
      <c r="G102" s="5">
        <f>EnergyLJ($A102,$C$2,$C$3,shape_factors!G$2,$C$4,shape_factors!G$3)</f>
        <v>-8.9276649087406262E-3</v>
      </c>
      <c r="H102" s="5">
        <f>EnergyLJ($A102,$C$2,$C$3,shape_factors!H$2,$C$4,shape_factors!H$3)</f>
        <v>-0.10960759766893938</v>
      </c>
      <c r="I102" s="5">
        <f>EnergyLJ($A102,$C$2,$C$3,shape_factors!I$2,$C$4,shape_factors!I$3)</f>
        <v>-1.4355966950336302E-2</v>
      </c>
      <c r="J102" s="5">
        <f>EnergyLJ($A102,$C$2,$C$3,shape_factors!J$2,$C$4,shape_factors!J$3)</f>
        <v>-4.9877673673695338E-3</v>
      </c>
      <c r="K102" s="5">
        <f>EnergyLJ($A102,$C$2,$C$3,shape_factors!K$2,$C$4,shape_factors!K$3)</f>
        <v>-5.5746154778571096E-3</v>
      </c>
      <c r="L102" s="5">
        <f>EnergyLJ($A102,$C$2,$C$3,shape_factors!L$2,$C$4,shape_factors!L$3)</f>
        <v>-6.759722305552566E-3</v>
      </c>
      <c r="M102" s="5">
        <f>EnergyLJ($A102,$C$2,$C$3,shape_factors!M$2,$C$4,shape_factors!M$3)</f>
        <v>-5.1147827104821323E-3</v>
      </c>
      <c r="N102" s="5">
        <f>EnergyLJ($A102,$C$2,$C$3,shape_factors!N$2,$C$4,shape_factors!N$3)</f>
        <v>-3.9775620926046865E-3</v>
      </c>
      <c r="O102" s="5">
        <f>EnergyLJ($A102,$C$2,$C$3,shape_factors!O$2,$C$4,shape_factors!O$3)</f>
        <v>-3.7488784657496738E-3</v>
      </c>
      <c r="P102" s="5">
        <f>EnergyLJ($A102,$C$2,$C$3,shape_factors!P$2,$C$4,shape_factors!P$3)</f>
        <v>-4.0490924106482877E-3</v>
      </c>
      <c r="Q102" s="5">
        <f>EnergyLJ($A102,$C$2,$C$3,shape_factors!Q$2,$C$4,shape_factors!Q$3)</f>
        <v>-4.1468092549113572E-3</v>
      </c>
      <c r="R102" s="5">
        <f>EnergyLJ($A102,$C$2,$C$3,shape_factors!R$2,$C$4,shape_factors!R$3)</f>
        <v>-7.5349395006206943E-3</v>
      </c>
      <c r="S102" s="5">
        <f>EnergyLJ($A102,$C$2,$C$3,shape_factors!S$2,$C$4,shape_factors!S$3)</f>
        <v>-4.5441003961154414E-3</v>
      </c>
      <c r="T102" s="5">
        <f>EnergyLJ($A102,$C$2,$C$3,shape_factors!T$2,$C$4,shape_factors!T$3)</f>
        <v>-3.6101446814816129E-3</v>
      </c>
      <c r="U102" s="5">
        <f>EnergyLJ($A102,$C$2,$C$3,shape_factors!U$2,$C$4,shape_factors!U$3)</f>
        <v>-7.4617840918989832E-3</v>
      </c>
    </row>
    <row r="103" spans="1:21" x14ac:dyDescent="0.25">
      <c r="A103">
        <v>21.2</v>
      </c>
      <c r="B103" s="5">
        <f>EnergyLJ($A103,$C$2,$C$3,shape_factors!B$2,$C$4,shape_factors!B$3)</f>
        <v>-2.0844537588494267E-2</v>
      </c>
      <c r="C103" s="5">
        <f>EnergyLJ($A103,$C$2,$C$3,shape_factors!C$2,$C$4,shape_factors!C$3)</f>
        <v>-7.6704087471394086E-3</v>
      </c>
      <c r="D103" s="5">
        <f>EnergyLJ($A103,$C$2,$C$3,shape_factors!D$2,$C$4,shape_factors!D$3)</f>
        <v>-2.700075579814017E-2</v>
      </c>
      <c r="E103" s="5">
        <f>EnergyLJ($A103,$C$2,$C$3,shape_factors!E$2,$C$4,shape_factors!E$3)</f>
        <v>-1.1455107178875176E-2</v>
      </c>
      <c r="F103" s="5">
        <f>EnergyLJ($A103,$C$2,$C$3,shape_factors!F$2,$C$4,shape_factors!F$3)</f>
        <v>-6.9955330996862427E-3</v>
      </c>
      <c r="G103" s="5">
        <f>EnergyLJ($A103,$C$2,$C$3,shape_factors!G$2,$C$4,shape_factors!G$3)</f>
        <v>-8.4349727477199439E-3</v>
      </c>
      <c r="H103" s="5">
        <f>EnergyLJ($A103,$C$2,$C$3,shape_factors!H$2,$C$4,shape_factors!H$3)</f>
        <v>-0.1036861579041089</v>
      </c>
      <c r="I103" s="5">
        <f>EnergyLJ($A103,$C$2,$C$3,shape_factors!I$2,$C$4,shape_factors!I$3)</f>
        <v>-1.3564565917611095E-2</v>
      </c>
      <c r="J103" s="5">
        <f>EnergyLJ($A103,$C$2,$C$3,shape_factors!J$2,$C$4,shape_factors!J$3)</f>
        <v>-4.7122899340988848E-3</v>
      </c>
      <c r="K103" s="5">
        <f>EnergyLJ($A103,$C$2,$C$3,shape_factors!K$2,$C$4,shape_factors!K$3)</f>
        <v>-5.2667621214771872E-3</v>
      </c>
      <c r="L103" s="5">
        <f>EnergyLJ($A103,$C$2,$C$3,shape_factors!L$2,$C$4,shape_factors!L$3)</f>
        <v>-6.3865107996920033E-3</v>
      </c>
      <c r="M103" s="5">
        <f>EnergyLJ($A103,$C$2,$C$3,shape_factors!M$2,$C$4,shape_factors!M$3)</f>
        <v>-4.832297301067298E-3</v>
      </c>
      <c r="N103" s="5">
        <f>EnergyLJ($A103,$C$2,$C$3,shape_factors!N$2,$C$4,shape_factors!N$3)</f>
        <v>-3.757834656927664E-3</v>
      </c>
      <c r="O103" s="5">
        <f>EnergyLJ($A103,$C$2,$C$3,shape_factors!O$2,$C$4,shape_factors!O$3)</f>
        <v>-3.5417744732405775E-3</v>
      </c>
      <c r="P103" s="5">
        <f>EnergyLJ($A103,$C$2,$C$3,shape_factors!P$2,$C$4,shape_factors!P$3)</f>
        <v>-3.8254167047552397E-3</v>
      </c>
      <c r="Q103" s="5">
        <f>EnergyLJ($A103,$C$2,$C$3,shape_factors!Q$2,$C$4,shape_factors!Q$3)</f>
        <v>-3.9177400393938739E-3</v>
      </c>
      <c r="R103" s="5">
        <f>EnergyLJ($A103,$C$2,$C$3,shape_factors!R$2,$C$4,shape_factors!R$3)</f>
        <v>-7.118991903128204E-3</v>
      </c>
      <c r="S103" s="5">
        <f>EnergyLJ($A103,$C$2,$C$3,shape_factors!S$2,$C$4,shape_factors!S$3)</f>
        <v>-4.2931047500449097E-3</v>
      </c>
      <c r="T103" s="5">
        <f>EnergyLJ($A103,$C$2,$C$3,shape_factors!T$2,$C$4,shape_factors!T$3)</f>
        <v>-3.4106994207329664E-3</v>
      </c>
      <c r="U103" s="5">
        <f>EnergyLJ($A103,$C$2,$C$3,shape_factors!U$2,$C$4,shape_factors!U$3)</f>
        <v>-7.0498688293169033E-3</v>
      </c>
    </row>
    <row r="104" spans="1:21" x14ac:dyDescent="0.25">
      <c r="A104">
        <v>21.4</v>
      </c>
      <c r="B104" s="5">
        <f>EnergyLJ($A104,$C$2,$C$3,shape_factors!B$2,$C$4,shape_factors!B$3)</f>
        <v>-1.9707425065637479E-2</v>
      </c>
      <c r="C104" s="5">
        <f>EnergyLJ($A104,$C$2,$C$3,shape_factors!C$2,$C$4,shape_factors!C$3)</f>
        <v>-7.2508595520558421E-3</v>
      </c>
      <c r="D104" s="5">
        <f>EnergyLJ($A104,$C$2,$C$3,shape_factors!D$2,$C$4,shape_factors!D$3)</f>
        <v>-2.5529654115306798E-2</v>
      </c>
      <c r="E104" s="5">
        <f>EnergyLJ($A104,$C$2,$C$3,shape_factors!E$2,$C$4,shape_factors!E$3)</f>
        <v>-1.0829021345987308E-2</v>
      </c>
      <c r="F104" s="5">
        <f>EnergyLJ($A104,$C$2,$C$3,shape_factors!F$2,$C$4,shape_factors!F$3)</f>
        <v>-6.6128459772934085E-3</v>
      </c>
      <c r="G104" s="5">
        <f>EnergyLJ($A104,$C$2,$C$3,shape_factors!G$2,$C$4,shape_factors!G$3)</f>
        <v>-7.9736747426181545E-3</v>
      </c>
      <c r="H104" s="5">
        <f>EnergyLJ($A104,$C$2,$C$3,shape_factors!H$2,$C$4,shape_factors!H$3)</f>
        <v>-9.8128484411989569E-2</v>
      </c>
      <c r="I104" s="5">
        <f>EnergyLJ($A104,$C$2,$C$3,shape_factors!I$2,$C$4,shape_factors!I$3)</f>
        <v>-1.2823500907862532E-2</v>
      </c>
      <c r="J104" s="5">
        <f>EnergyLJ($A104,$C$2,$C$3,shape_factors!J$2,$C$4,shape_factors!J$3)</f>
        <v>-4.4543888620402206E-3</v>
      </c>
      <c r="K104" s="5">
        <f>EnergyLJ($A104,$C$2,$C$3,shape_factors!K$2,$C$4,shape_factors!K$3)</f>
        <v>-4.9785469881814476E-3</v>
      </c>
      <c r="L104" s="5">
        <f>EnergyLJ($A104,$C$2,$C$3,shape_factors!L$2,$C$4,shape_factors!L$3)</f>
        <v>-6.0370973862024042E-3</v>
      </c>
      <c r="M104" s="5">
        <f>EnergyLJ($A104,$C$2,$C$3,shape_factors!M$2,$C$4,shape_factors!M$3)</f>
        <v>-4.5678346246509332E-3</v>
      </c>
      <c r="N104" s="5">
        <f>EnergyLJ($A104,$C$2,$C$3,shape_factors!N$2,$C$4,shape_factors!N$3)</f>
        <v>-3.5521312487384322E-3</v>
      </c>
      <c r="O104" s="5">
        <f>EnergyLJ($A104,$C$2,$C$3,shape_factors!O$2,$C$4,shape_factors!O$3)</f>
        <v>-3.3478898230610088E-3</v>
      </c>
      <c r="P104" s="5">
        <f>EnergyLJ($A104,$C$2,$C$3,shape_factors!P$2,$C$4,shape_factors!P$3)</f>
        <v>-3.6160166848615513E-3</v>
      </c>
      <c r="Q104" s="5">
        <f>EnergyLJ($A104,$C$2,$C$3,shape_factors!Q$2,$C$4,shape_factors!Q$3)</f>
        <v>-3.7032902670218865E-3</v>
      </c>
      <c r="R104" s="5">
        <f>EnergyLJ($A104,$C$2,$C$3,shape_factors!R$2,$C$4,shape_factors!R$3)</f>
        <v>-6.729560646767831E-3</v>
      </c>
      <c r="S104" s="5">
        <f>EnergyLJ($A104,$C$2,$C$3,shape_factors!S$2,$C$4,shape_factors!S$3)</f>
        <v>-4.058125805058559E-3</v>
      </c>
      <c r="T104" s="5">
        <f>EnergyLJ($A104,$C$2,$C$3,shape_factors!T$2,$C$4,shape_factors!T$3)</f>
        <v>-3.223985234472941E-3</v>
      </c>
      <c r="U104" s="5">
        <f>EnergyLJ($A104,$C$2,$C$3,shape_factors!U$2,$C$4,shape_factors!U$3)</f>
        <v>-6.6642134898432411E-3</v>
      </c>
    </row>
    <row r="105" spans="1:21" x14ac:dyDescent="0.25">
      <c r="A105">
        <v>21.6</v>
      </c>
      <c r="B105" s="5">
        <f>EnergyLJ($A105,$C$2,$C$3,shape_factors!B$2,$C$4,shape_factors!B$3)</f>
        <v>-1.8641825208911455E-2</v>
      </c>
      <c r="C105" s="5">
        <f>EnergyLJ($A105,$C$2,$C$3,shape_factors!C$2,$C$4,shape_factors!C$3)</f>
        <v>-6.8578131388306101E-3</v>
      </c>
      <c r="D105" s="5">
        <f>EnergyLJ($A105,$C$2,$C$3,shape_factors!D$2,$C$4,shape_factors!D$3)</f>
        <v>-2.4150874768078184E-2</v>
      </c>
      <c r="E105" s="5">
        <f>EnergyLJ($A105,$C$2,$C$3,shape_factors!E$2,$C$4,shape_factors!E$3)</f>
        <v>-1.0242435085248821E-2</v>
      </c>
      <c r="F105" s="5">
        <f>EnergyLJ($A105,$C$2,$C$3,shape_factors!F$2,$C$4,shape_factors!F$3)</f>
        <v>-6.25433851306506E-3</v>
      </c>
      <c r="G105" s="5">
        <f>EnergyLJ($A105,$C$2,$C$3,shape_factors!G$2,$C$4,shape_factors!G$3)</f>
        <v>-7.5415093406339716E-3</v>
      </c>
      <c r="H105" s="5">
        <f>EnergyLJ($A105,$C$2,$C$3,shape_factors!H$2,$C$4,shape_factors!H$3)</f>
        <v>-9.2909919644575442E-2</v>
      </c>
      <c r="I105" s="5">
        <f>EnergyLJ($A105,$C$2,$C$3,shape_factors!I$2,$C$4,shape_factors!I$3)</f>
        <v>-1.2129156325516354E-2</v>
      </c>
      <c r="J105" s="5">
        <f>EnergyLJ($A105,$C$2,$C$3,shape_factors!J$2,$C$4,shape_factors!J$3)</f>
        <v>-4.2127953639191648E-3</v>
      </c>
      <c r="K105" s="5">
        <f>EnergyLJ($A105,$C$2,$C$3,shape_factors!K$2,$C$4,shape_factors!K$3)</f>
        <v>-4.7085528874435539E-3</v>
      </c>
      <c r="L105" s="5">
        <f>EnergyLJ($A105,$C$2,$C$3,shape_factors!L$2,$C$4,shape_factors!L$3)</f>
        <v>-5.7097657483956513E-3</v>
      </c>
      <c r="M105" s="5">
        <f>EnergyLJ($A105,$C$2,$C$3,shape_factors!M$2,$C$4,shape_factors!M$3)</f>
        <v>-4.3200937583524664E-3</v>
      </c>
      <c r="N105" s="5">
        <f>EnergyLJ($A105,$C$2,$C$3,shape_factors!N$2,$C$4,shape_factors!N$3)</f>
        <v>-3.3594389776108501E-3</v>
      </c>
      <c r="O105" s="5">
        <f>EnergyLJ($A105,$C$2,$C$3,shape_factors!O$2,$C$4,shape_factors!O$3)</f>
        <v>-3.1662696292270951E-3</v>
      </c>
      <c r="P105" s="5">
        <f>EnergyLJ($A105,$C$2,$C$3,shape_factors!P$2,$C$4,shape_factors!P$3)</f>
        <v>-3.4198613230118505E-3</v>
      </c>
      <c r="Q105" s="5">
        <f>EnergyLJ($A105,$C$2,$C$3,shape_factors!Q$2,$C$4,shape_factors!Q$3)</f>
        <v>-3.5024041367916555E-3</v>
      </c>
      <c r="R105" s="5">
        <f>EnergyLJ($A105,$C$2,$C$3,shape_factors!R$2,$C$4,shape_factors!R$3)</f>
        <v>-6.3647341565810115E-3</v>
      </c>
      <c r="S105" s="5">
        <f>EnergyLJ($A105,$C$2,$C$3,shape_factors!S$2,$C$4,shape_factors!S$3)</f>
        <v>-3.8380070923072374E-3</v>
      </c>
      <c r="T105" s="5">
        <f>EnergyLJ($A105,$C$2,$C$3,shape_factors!T$2,$C$4,shape_factors!T$3)</f>
        <v>-3.0490824395396831E-3</v>
      </c>
      <c r="U105" s="5">
        <f>EnergyLJ($A105,$C$2,$C$3,shape_factors!U$2,$C$4,shape_factors!U$3)</f>
        <v>-6.302924910713585E-3</v>
      </c>
    </row>
    <row r="106" spans="1:21" x14ac:dyDescent="0.25">
      <c r="A106">
        <v>21.8</v>
      </c>
      <c r="B106" s="5">
        <f>EnergyLJ($A106,$C$2,$C$3,shape_factors!B$2,$C$4,shape_factors!B$3)</f>
        <v>-1.7642665266203516E-2</v>
      </c>
      <c r="C106" s="5">
        <f>EnergyLJ($A106,$C$2,$C$3,shape_factors!C$2,$C$4,shape_factors!C$3)</f>
        <v>-6.4893761784363055E-3</v>
      </c>
      <c r="D106" s="5">
        <f>EnergyLJ($A106,$C$2,$C$3,shape_factors!D$2,$C$4,shape_factors!D$3)</f>
        <v>-2.285789101776451E-2</v>
      </c>
      <c r="E106" s="5">
        <f>EnergyLJ($A106,$C$2,$C$3,shape_factors!E$2,$C$4,shape_factors!E$3)</f>
        <v>-9.6925322575394483E-3</v>
      </c>
      <c r="F106" s="5">
        <f>EnergyLJ($A106,$C$2,$C$3,shape_factors!F$2,$C$4,shape_factors!F$3)</f>
        <v>-5.9182827234772395E-3</v>
      </c>
      <c r="G106" s="5">
        <f>EnergyLJ($A106,$C$2,$C$3,shape_factors!G$2,$C$4,shape_factors!G$3)</f>
        <v>-7.1363961830232699E-3</v>
      </c>
      <c r="H106" s="5">
        <f>EnergyLJ($A106,$C$2,$C$3,shape_factors!H$2,$C$4,shape_factors!H$3)</f>
        <v>-8.8007592616695801E-2</v>
      </c>
      <c r="I106" s="5">
        <f>EnergyLJ($A106,$C$2,$C$3,shape_factors!I$2,$C$4,shape_factors!I$3)</f>
        <v>-1.1478204974001271E-2</v>
      </c>
      <c r="J106" s="5">
        <f>EnergyLJ($A106,$C$2,$C$3,shape_factors!J$2,$C$4,shape_factors!J$3)</f>
        <v>-3.9863426283356989E-3</v>
      </c>
      <c r="K106" s="5">
        <f>EnergyLJ($A106,$C$2,$C$3,shape_factors!K$2,$C$4,shape_factors!K$3)</f>
        <v>-4.4554764789585359E-3</v>
      </c>
      <c r="L106" s="5">
        <f>EnergyLJ($A106,$C$2,$C$3,shape_factors!L$2,$C$4,shape_factors!L$3)</f>
        <v>-5.4029373196386229E-3</v>
      </c>
      <c r="M106" s="5">
        <f>EnergyLJ($A106,$C$2,$C$3,shape_factors!M$2,$C$4,shape_factors!M$3)</f>
        <v>-4.0878783274239964E-3</v>
      </c>
      <c r="N106" s="5">
        <f>EnergyLJ($A106,$C$2,$C$3,shape_factors!N$2,$C$4,shape_factors!N$3)</f>
        <v>-3.1788264271986923E-3</v>
      </c>
      <c r="O106" s="5">
        <f>EnergyLJ($A106,$C$2,$C$3,shape_factors!O$2,$C$4,shape_factors!O$3)</f>
        <v>-2.9960358280358137E-3</v>
      </c>
      <c r="P106" s="5">
        <f>EnergyLJ($A106,$C$2,$C$3,shape_factors!P$2,$C$4,shape_factors!P$3)</f>
        <v>-3.2360025195608045E-3</v>
      </c>
      <c r="Q106" s="5">
        <f>EnergyLJ($A106,$C$2,$C$3,shape_factors!Q$2,$C$4,shape_factors!Q$3)</f>
        <v>-3.3141107619918814E-3</v>
      </c>
      <c r="R106" s="5">
        <f>EnergyLJ($A106,$C$2,$C$3,shape_factors!R$2,$C$4,shape_factors!R$3)</f>
        <v>-6.0227541835578095E-3</v>
      </c>
      <c r="S106" s="5">
        <f>EnergyLJ($A106,$C$2,$C$3,shape_factors!S$2,$C$4,shape_factors!S$3)</f>
        <v>-3.6316851242658094E-3</v>
      </c>
      <c r="T106" s="5">
        <f>EnergyLJ($A106,$C$2,$C$3,shape_factors!T$2,$C$4,shape_factors!T$3)</f>
        <v>-2.885145351049286E-3</v>
      </c>
      <c r="U106" s="5">
        <f>EnergyLJ($A106,$C$2,$C$3,shape_factors!U$2,$C$4,shape_factors!U$3)</f>
        <v>-5.964261787205982E-3</v>
      </c>
    </row>
    <row r="107" spans="1:21" x14ac:dyDescent="0.25">
      <c r="A107">
        <v>22</v>
      </c>
      <c r="B107" s="5">
        <f>EnergyLJ($A107,$C$2,$C$3,shape_factors!B$2,$C$4,shape_factors!B$3)</f>
        <v>-1.67052713449313E-2</v>
      </c>
      <c r="C107" s="5">
        <f>EnergyLJ($A107,$C$2,$C$3,shape_factors!C$2,$C$4,shape_factors!C$3)</f>
        <v>-6.1438058376780151E-3</v>
      </c>
      <c r="D107" s="5">
        <f>EnergyLJ($A107,$C$2,$C$3,shape_factors!D$2,$C$4,shape_factors!D$3)</f>
        <v>-2.1644686609824739E-2</v>
      </c>
      <c r="E107" s="5">
        <f>EnergyLJ($A107,$C$2,$C$3,shape_factors!E$2,$C$4,shape_factors!E$3)</f>
        <v>-9.1767198856947396E-3</v>
      </c>
      <c r="F107" s="5">
        <f>EnergyLJ($A107,$C$2,$C$3,shape_factors!F$2,$C$4,shape_factors!F$3)</f>
        <v>-5.6030880524776481E-3</v>
      </c>
      <c r="G107" s="5">
        <f>EnergyLJ($A107,$C$2,$C$3,shape_factors!G$2,$C$4,shape_factors!G$3)</f>
        <v>-6.7564201715183281E-3</v>
      </c>
      <c r="H107" s="5">
        <f>EnergyLJ($A107,$C$2,$C$3,shape_factors!H$2,$C$4,shape_factors!H$3)</f>
        <v>-8.3400286378478308E-2</v>
      </c>
      <c r="I107" s="5">
        <f>EnergyLJ($A107,$C$2,$C$3,shape_factors!I$2,$C$4,shape_factors!I$3)</f>
        <v>-1.0867582861398852E-2</v>
      </c>
      <c r="J107" s="5">
        <f>EnergyLJ($A107,$C$2,$C$3,shape_factors!J$2,$C$4,shape_factors!J$3)</f>
        <v>-3.7739568105460311E-3</v>
      </c>
      <c r="K107" s="5">
        <f>EnergyLJ($A107,$C$2,$C$3,shape_factors!K$2,$C$4,shape_factors!K$3)</f>
        <v>-4.2181182212668034E-3</v>
      </c>
      <c r="L107" s="5">
        <f>EnergyLJ($A107,$C$2,$C$3,shape_factors!L$2,$C$4,shape_factors!L$3)</f>
        <v>-5.1151591388846713E-3</v>
      </c>
      <c r="M107" s="5">
        <f>EnergyLJ($A107,$C$2,$C$3,shape_factors!M$2,$C$4,shape_factors!M$3)</f>
        <v>-3.8700872701519155E-3</v>
      </c>
      <c r="N107" s="5">
        <f>EnergyLJ($A107,$C$2,$C$3,shape_factors!N$2,$C$4,shape_factors!N$3)</f>
        <v>-3.0094364488115408E-3</v>
      </c>
      <c r="O107" s="5">
        <f>EnergyLJ($A107,$C$2,$C$3,shape_factors!O$2,$C$4,shape_factors!O$3)</f>
        <v>-2.8363803812922581E-3</v>
      </c>
      <c r="P107" s="5">
        <f>EnergyLJ($A107,$C$2,$C$3,shape_factors!P$2,$C$4,shape_factors!P$3)</f>
        <v>-3.0635677687306942E-3</v>
      </c>
      <c r="Q107" s="5">
        <f>EnergyLJ($A107,$C$2,$C$3,shape_factors!Q$2,$C$4,shape_factors!Q$3)</f>
        <v>-3.1375166609670132E-3</v>
      </c>
      <c r="R107" s="5">
        <f>EnergyLJ($A107,$C$2,$C$3,shape_factors!R$2,$C$4,shape_factors!R$3)</f>
        <v>-5.7020022993296395E-3</v>
      </c>
      <c r="S107" s="5">
        <f>EnergyLJ($A107,$C$2,$C$3,shape_factors!S$2,$C$4,shape_factors!S$3)</f>
        <v>-3.4381811759023606E-3</v>
      </c>
      <c r="T107" s="5">
        <f>EnergyLJ($A107,$C$2,$C$3,shape_factors!T$2,$C$4,shape_factors!T$3)</f>
        <v>-2.7313957344213173E-3</v>
      </c>
      <c r="U107" s="5">
        <f>EnergyLJ($A107,$C$2,$C$3,shape_factors!U$2,$C$4,shape_factors!U$3)</f>
        <v>-5.6466212954713315E-3</v>
      </c>
    </row>
    <row r="108" spans="1:21" x14ac:dyDescent="0.25">
      <c r="A108">
        <v>22.2</v>
      </c>
      <c r="B108" s="5">
        <f>EnergyLJ($A108,$C$2,$C$3,shape_factors!B$2,$C$4,shape_factors!B$3)</f>
        <v>-1.5825334156651827E-2</v>
      </c>
      <c r="C108" s="5">
        <f>EnergyLJ($A108,$C$2,$C$3,shape_factors!C$2,$C$4,shape_factors!C$3)</f>
        <v>-5.8194966421836226E-3</v>
      </c>
      <c r="D108" s="5">
        <f>EnergyLJ($A108,$C$2,$C$3,shape_factors!D$2,$C$4,shape_factors!D$3)</f>
        <v>-2.0505712283262912E-2</v>
      </c>
      <c r="E108" s="5">
        <f>EnergyLJ($A108,$C$2,$C$3,shape_factors!E$2,$C$4,shape_factors!E$3)</f>
        <v>-8.6926087626802706E-3</v>
      </c>
      <c r="F108" s="5">
        <f>EnergyLJ($A108,$C$2,$C$3,shape_factors!F$2,$C$4,shape_factors!F$3)</f>
        <v>-5.3072893656333723E-3</v>
      </c>
      <c r="G108" s="5">
        <f>EnergyLJ($A108,$C$2,$C$3,shape_factors!G$2,$C$4,shape_factors!G$3)</f>
        <v>-6.3998170556111142E-3</v>
      </c>
      <c r="H108" s="5">
        <f>EnergyLJ($A108,$C$2,$C$3,shape_factors!H$2,$C$4,shape_factors!H$3)</f>
        <v>-7.9068314746518722E-2</v>
      </c>
      <c r="I108" s="5">
        <f>EnergyLJ($A108,$C$2,$C$3,shape_factors!I$2,$C$4,shape_factors!I$3)</f>
        <v>-1.0294466387931408E-2</v>
      </c>
      <c r="J108" s="5">
        <f>EnergyLJ($A108,$C$2,$C$3,shape_factors!J$2,$C$4,shape_factors!J$3)</f>
        <v>-3.5746488889455709E-3</v>
      </c>
      <c r="K108" s="5">
        <f>EnergyLJ($A108,$C$2,$C$3,shape_factors!K$2,$C$4,shape_factors!K$3)</f>
        <v>-3.9953732852731853E-3</v>
      </c>
      <c r="L108" s="5">
        <f>EnergyLJ($A108,$C$2,$C$3,shape_factors!L$2,$C$4,shape_factors!L$3)</f>
        <v>-4.8450928697029638E-3</v>
      </c>
      <c r="M108" s="5">
        <f>EnergyLJ($A108,$C$2,$C$3,shape_factors!M$2,$C$4,shape_factors!M$3)</f>
        <v>-3.6657064899764517E-3</v>
      </c>
      <c r="N108" s="5">
        <f>EnergyLJ($A108,$C$2,$C$3,shape_factors!N$2,$C$4,shape_factors!N$3)</f>
        <v>-2.8504796486233728E-3</v>
      </c>
      <c r="O108" s="5">
        <f>EnergyLJ($A108,$C$2,$C$3,shape_factors!O$2,$C$4,shape_factors!O$3)</f>
        <v>-2.6865591339871177E-3</v>
      </c>
      <c r="P108" s="5">
        <f>EnergyLJ($A108,$C$2,$C$3,shape_factors!P$2,$C$4,shape_factors!P$3)</f>
        <v>-2.9017535300401372E-3</v>
      </c>
      <c r="Q108" s="5">
        <f>EnergyLJ($A108,$C$2,$C$3,shape_factors!Q$2,$C$4,shape_factors!Q$3)</f>
        <v>-2.9717989704570852E-3</v>
      </c>
      <c r="R108" s="5">
        <f>EnergyLJ($A108,$C$2,$C$3,shape_factors!R$2,$C$4,shape_factors!R$3)</f>
        <v>-5.4009876830308501E-3</v>
      </c>
      <c r="S108" s="5">
        <f>EnergyLJ($A108,$C$2,$C$3,shape_factors!S$2,$C$4,shape_factors!S$3)</f>
        <v>-3.2565938561834413E-3</v>
      </c>
      <c r="T108" s="5">
        <f>EnergyLJ($A108,$C$2,$C$3,shape_factors!T$2,$C$4,shape_factors!T$3)</f>
        <v>-2.5871168880425084E-3</v>
      </c>
      <c r="U108" s="5">
        <f>EnergyLJ($A108,$C$2,$C$3,shape_factors!U$2,$C$4,shape_factors!U$3)</f>
        <v>-5.3485269954322446E-3</v>
      </c>
    </row>
    <row r="109" spans="1:21" x14ac:dyDescent="0.25">
      <c r="A109">
        <v>22.4</v>
      </c>
      <c r="B109" s="5">
        <f>EnergyLJ($A109,$C$2,$C$3,shape_factors!B$2,$C$4,shape_factors!B$3)</f>
        <v>-1.4998877933013362E-2</v>
      </c>
      <c r="C109" s="5">
        <f>EnergyLJ($A109,$C$2,$C$3,shape_factors!C$2,$C$4,shape_factors!C$3)</f>
        <v>-5.5149685850362255E-3</v>
      </c>
      <c r="D109" s="5">
        <f>EnergyLJ($A109,$C$2,$C$3,shape_factors!D$2,$C$4,shape_factors!D$3)</f>
        <v>-1.9435846257553402E-2</v>
      </c>
      <c r="E109" s="5">
        <f>EnergyLJ($A109,$C$2,$C$3,shape_factors!E$2,$C$4,shape_factors!E$3)</f>
        <v>-8.2379958864197342E-3</v>
      </c>
      <c r="F109" s="5">
        <f>EnergyLJ($A109,$C$2,$C$3,shape_factors!F$2,$C$4,shape_factors!F$3)</f>
        <v>-5.029536083976602E-3</v>
      </c>
      <c r="G109" s="5">
        <f>EnergyLJ($A109,$C$2,$C$3,shape_factors!G$2,$C$4,shape_factors!G$3)</f>
        <v>-6.0649603846478157E-3</v>
      </c>
      <c r="H109" s="5">
        <f>EnergyLJ($A109,$C$2,$C$3,shape_factors!H$2,$C$4,shape_factors!H$3)</f>
        <v>-7.4993407838842605E-2</v>
      </c>
      <c r="I109" s="5">
        <f>EnergyLJ($A109,$C$2,$C$3,shape_factors!I$2,$C$4,shape_factors!I$3)</f>
        <v>-9.7562516742457674E-3</v>
      </c>
      <c r="J109" s="5">
        <f>EnergyLJ($A109,$C$2,$C$3,shape_factors!J$2,$C$4,shape_factors!J$3)</f>
        <v>-3.3875072975828599E-3</v>
      </c>
      <c r="K109" s="5">
        <f>EnergyLJ($A109,$C$2,$C$3,shape_factors!K$2,$C$4,shape_factors!K$3)</f>
        <v>-3.7862233328537242E-3</v>
      </c>
      <c r="L109" s="5">
        <f>EnergyLJ($A109,$C$2,$C$3,shape_factors!L$2,$C$4,shape_factors!L$3)</f>
        <v>-4.5915048627928829E-3</v>
      </c>
      <c r="M109" s="5">
        <f>EnergyLJ($A109,$C$2,$C$3,shape_factors!M$2,$C$4,shape_factors!M$3)</f>
        <v>-3.473801302957566E-3</v>
      </c>
      <c r="N109" s="5">
        <f>EnergyLJ($A109,$C$2,$C$3,shape_factors!N$2,$C$4,shape_factors!N$3)</f>
        <v>-2.7012284964980145E-3</v>
      </c>
      <c r="O109" s="5">
        <f>EnergyLJ($A109,$C$2,$C$3,shape_factors!O$2,$C$4,shape_factors!O$3)</f>
        <v>-2.5458862584408315E-3</v>
      </c>
      <c r="P109" s="5">
        <f>EnergyLJ($A109,$C$2,$C$3,shape_factors!P$2,$C$4,shape_factors!P$3)</f>
        <v>-2.7498192323296105E-3</v>
      </c>
      <c r="Q109" s="5">
        <f>EnergyLJ($A109,$C$2,$C$3,shape_factors!Q$2,$C$4,shape_factors!Q$3)</f>
        <v>-2.8161993065225419E-3</v>
      </c>
      <c r="R109" s="5">
        <f>EnergyLJ($A109,$C$2,$C$3,shape_factors!R$2,$C$4,shape_factors!R$3)</f>
        <v>-5.118336067292101E-3</v>
      </c>
      <c r="S109" s="5">
        <f>EnergyLJ($A109,$C$2,$C$3,shape_factors!S$2,$C$4,shape_factors!S$3)</f>
        <v>-3.0860923879669571E-3</v>
      </c>
      <c r="T109" s="5">
        <f>EnergyLJ($A109,$C$2,$C$3,shape_factors!T$2,$C$4,shape_factors!T$3)</f>
        <v>-2.4516482910377745E-3</v>
      </c>
      <c r="U109" s="5">
        <f>EnergyLJ($A109,$C$2,$C$3,shape_factors!U$2,$C$4,shape_factors!U$3)</f>
        <v>-5.0686178819358638E-3</v>
      </c>
    </row>
    <row r="110" spans="1:21" x14ac:dyDescent="0.25">
      <c r="A110">
        <v>22.6</v>
      </c>
      <c r="B110" s="5">
        <f>EnergyLJ($A110,$C$2,$C$3,shape_factors!B$2,$C$4,shape_factors!B$3)</f>
        <v>-1.4222232200568815E-2</v>
      </c>
      <c r="C110" s="5">
        <f>EnergyLJ($A110,$C$2,$C$3,shape_factors!C$2,$C$4,shape_factors!C$3)</f>
        <v>-5.2288563539581645E-3</v>
      </c>
      <c r="D110" s="5">
        <f>EnergyLJ($A110,$C$2,$C$3,shape_factors!D$2,$C$4,shape_factors!D$3)</f>
        <v>-1.8430358312399888E-2</v>
      </c>
      <c r="E110" s="5">
        <f>EnergyLJ($A110,$C$2,$C$3,shape_factors!E$2,$C$4,shape_factors!E$3)</f>
        <v>-7.8108485366499714E-3</v>
      </c>
      <c r="F110" s="5">
        <f>EnergyLJ($A110,$C$2,$C$3,shape_factors!F$2,$C$4,shape_factors!F$3)</f>
        <v>-4.7685823410776006E-3</v>
      </c>
      <c r="G110" s="5">
        <f>EnergyLJ($A110,$C$2,$C$3,shape_factors!G$2,$C$4,shape_factors!G$3)</f>
        <v>-5.7503496857444847E-3</v>
      </c>
      <c r="H110" s="5">
        <f>EnergyLJ($A110,$C$2,$C$3,shape_factors!H$2,$C$4,shape_factors!H$3)</f>
        <v>-7.1158605932145111E-2</v>
      </c>
      <c r="I110" s="5">
        <f>EnergyLJ($A110,$C$2,$C$3,shape_factors!I$2,$C$4,shape_factors!I$3)</f>
        <v>-9.2505358152889846E-3</v>
      </c>
      <c r="J110" s="5">
        <f>EnergyLJ($A110,$C$2,$C$3,shape_factors!J$2,$C$4,shape_factors!J$3)</f>
        <v>-3.2116912549686526E-3</v>
      </c>
      <c r="K110" s="5">
        <f>EnergyLJ($A110,$C$2,$C$3,shape_factors!K$2,$C$4,shape_factors!K$3)</f>
        <v>-3.5897290717792651E-3</v>
      </c>
      <c r="L110" s="5">
        <f>EnergyLJ($A110,$C$2,$C$3,shape_factors!L$2,$C$4,shape_factors!L$3)</f>
        <v>-4.3532571551897171E-3</v>
      </c>
      <c r="M110" s="5">
        <f>EnergyLJ($A110,$C$2,$C$3,shape_factors!M$2,$C$4,shape_factors!M$3)</f>
        <v>-3.2935095988896159E-3</v>
      </c>
      <c r="N110" s="5">
        <f>EnergyLJ($A110,$C$2,$C$3,shape_factors!N$2,$C$4,shape_factors!N$3)</f>
        <v>-2.5610119924198687E-3</v>
      </c>
      <c r="O110" s="5">
        <f>EnergyLJ($A110,$C$2,$C$3,shape_factors!O$2,$C$4,shape_factors!O$3)</f>
        <v>-2.4137292244923959E-3</v>
      </c>
      <c r="P110" s="5">
        <f>EnergyLJ($A110,$C$2,$C$3,shape_factors!P$2,$C$4,shape_factors!P$3)</f>
        <v>-2.6070818452516497E-3</v>
      </c>
      <c r="Q110" s="5">
        <f>EnergyLJ($A110,$C$2,$C$3,shape_factors!Q$2,$C$4,shape_factors!Q$3)</f>
        <v>-2.6700182063929072E-3</v>
      </c>
      <c r="R110" s="5">
        <f>EnergyLJ($A110,$C$2,$C$3,shape_factors!R$2,$C$4,shape_factors!R$3)</f>
        <v>-4.8527797249438807E-3</v>
      </c>
      <c r="S110" s="5">
        <f>EnergyLJ($A110,$C$2,$C$3,shape_factors!S$2,$C$4,shape_factors!S$3)</f>
        <v>-2.9259105234260368E-3</v>
      </c>
      <c r="T110" s="5">
        <f>EnergyLJ($A110,$C$2,$C$3,shape_factors!T$2,$C$4,shape_factors!T$3)</f>
        <v>-2.3243807579095702E-3</v>
      </c>
      <c r="U110" s="5">
        <f>EnergyLJ($A110,$C$2,$C$3,shape_factors!U$2,$C$4,shape_factors!U$3)</f>
        <v>-4.8056384668308345E-3</v>
      </c>
    </row>
    <row r="111" spans="1:21" x14ac:dyDescent="0.25">
      <c r="A111">
        <v>22.8</v>
      </c>
      <c r="B111" s="5">
        <f>EnergyLJ($A111,$C$2,$C$3,shape_factors!B$2,$C$4,shape_factors!B$3)</f>
        <v>-1.349200613429688E-2</v>
      </c>
      <c r="C111" s="5">
        <f>EnergyLJ($A111,$C$2,$C$3,shape_factors!C$2,$C$4,shape_factors!C$3)</f>
        <v>-4.9598995637912102E-3</v>
      </c>
      <c r="D111" s="5">
        <f>EnergyLJ($A111,$C$2,$C$3,shape_factors!D$2,$C$4,shape_factors!D$3)</f>
        <v>-1.7484877114290101E-2</v>
      </c>
      <c r="E111" s="5">
        <f>EnergyLJ($A111,$C$2,$C$3,shape_factors!E$2,$C$4,shape_factors!E$3)</f>
        <v>-7.4092898290087743E-3</v>
      </c>
      <c r="F111" s="5">
        <f>EnergyLJ($A111,$C$2,$C$3,shape_factors!F$2,$C$4,shape_factors!F$3)</f>
        <v>-4.5232780595821781E-3</v>
      </c>
      <c r="G111" s="5">
        <f>EnergyLJ($A111,$C$2,$C$3,shape_factors!G$2,$C$4,shape_factors!G$3)</f>
        <v>-5.4545997436246533E-3</v>
      </c>
      <c r="H111" s="5">
        <f>EnergyLJ($A111,$C$2,$C$3,shape_factors!H$2,$C$4,shape_factors!H$3)</f>
        <v>-6.7548161148683422E-2</v>
      </c>
      <c r="I111" s="5">
        <f>EnergyLJ($A111,$C$2,$C$3,shape_factors!I$2,$C$4,shape_factors!I$3)</f>
        <v>-8.7750998675087902E-3</v>
      </c>
      <c r="J111" s="5">
        <f>EnergyLJ($A111,$C$2,$C$3,shape_factors!J$2,$C$4,shape_factors!J$3)</f>
        <v>-3.0464247182095338E-3</v>
      </c>
      <c r="K111" s="5">
        <f>EnergyLJ($A111,$C$2,$C$3,shape_factors!K$2,$C$4,shape_factors!K$3)</f>
        <v>-3.4050235079259457E-3</v>
      </c>
      <c r="L111" s="5">
        <f>EnergyLJ($A111,$C$2,$C$3,shape_factors!L$2,$C$4,shape_factors!L$3)</f>
        <v>-4.129299311043627E-3</v>
      </c>
      <c r="M111" s="5">
        <f>EnergyLJ($A111,$C$2,$C$3,shape_factors!M$2,$C$4,shape_factors!M$3)</f>
        <v>-3.1240356433446968E-3</v>
      </c>
      <c r="N111" s="5">
        <f>EnergyLJ($A111,$C$2,$C$3,shape_factors!N$2,$C$4,shape_factors!N$3)</f>
        <v>-2.4292108335764191E-3</v>
      </c>
      <c r="O111" s="5">
        <f>EnergyLJ($A111,$C$2,$C$3,shape_factors!O$2,$C$4,shape_factors!O$3)</f>
        <v>-2.2895042419776197E-3</v>
      </c>
      <c r="P111" s="5">
        <f>EnergyLJ($A111,$C$2,$C$3,shape_factors!P$2,$C$4,shape_factors!P$3)</f>
        <v>-2.4729109602737074E-3</v>
      </c>
      <c r="Q111" s="5">
        <f>EnergyLJ($A111,$C$2,$C$3,shape_factors!Q$2,$C$4,shape_factors!Q$3)</f>
        <v>-2.5326100919247979E-3</v>
      </c>
      <c r="R111" s="5">
        <f>EnergyLJ($A111,$C$2,$C$3,shape_factors!R$2,$C$4,shape_factors!R$3)</f>
        <v>-4.6031483909241087E-3</v>
      </c>
      <c r="S111" s="5">
        <f>EnergyLJ($A111,$C$2,$C$3,shape_factors!S$2,$C$4,shape_factors!S$3)</f>
        <v>-2.775341030167057E-3</v>
      </c>
      <c r="T111" s="5">
        <f>EnergyLJ($A111,$C$2,$C$3,shape_factors!T$2,$C$4,shape_factors!T$3)</f>
        <v>-2.2047520482352308E-3</v>
      </c>
      <c r="U111" s="5">
        <f>EnergyLJ($A111,$C$2,$C$3,shape_factors!U$2,$C$4,shape_factors!U$3)</f>
        <v>-4.558429787438055E-3</v>
      </c>
    </row>
    <row r="112" spans="1:21" x14ac:dyDescent="0.25">
      <c r="A112">
        <v>23</v>
      </c>
      <c r="B112" s="5">
        <f>EnergyLJ($A112,$C$2,$C$3,shape_factors!B$2,$C$4,shape_factors!B$3)</f>
        <v>-1.2805065238549393E-2</v>
      </c>
      <c r="C112" s="5">
        <f>EnergyLJ($A112,$C$2,$C$3,shape_factors!C$2,$C$4,shape_factors!C$3)</f>
        <v>-4.7069338932582633E-3</v>
      </c>
      <c r="D112" s="5">
        <f>EnergyLJ($A112,$C$2,$C$3,shape_factors!D$2,$C$4,shape_factors!D$3)</f>
        <v>-1.6595360478528609E-2</v>
      </c>
      <c r="E112" s="5">
        <f>EnergyLJ($A112,$C$2,$C$3,shape_factors!E$2,$C$4,shape_factors!E$3)</f>
        <v>-7.0315855991512684E-3</v>
      </c>
      <c r="F112" s="5">
        <f>EnergyLJ($A112,$C$2,$C$3,shape_factors!F$2,$C$4,shape_factors!F$3)</f>
        <v>-4.2925608546896662E-3</v>
      </c>
      <c r="G112" s="5">
        <f>EnergyLJ($A112,$C$2,$C$3,shape_factors!G$2,$C$4,shape_factors!G$3)</f>
        <v>-5.1764308718380463E-3</v>
      </c>
      <c r="H112" s="5">
        <f>EnergyLJ($A112,$C$2,$C$3,shape_factors!H$2,$C$4,shape_factors!H$3)</f>
        <v>-6.4147446480569997E-2</v>
      </c>
      <c r="I112" s="5">
        <f>EnergyLJ($A112,$C$2,$C$3,shape_factors!I$2,$C$4,shape_factors!I$3)</f>
        <v>-8.3278933974835854E-3</v>
      </c>
      <c r="J112" s="5">
        <f>EnergyLJ($A112,$C$2,$C$3,shape_factors!J$2,$C$4,shape_factors!J$3)</f>
        <v>-2.8909908992369743E-3</v>
      </c>
      <c r="K112" s="5">
        <f>EnergyLJ($A112,$C$2,$C$3,shape_factors!K$2,$C$4,shape_factors!K$3)</f>
        <v>-3.2313058243486877E-3</v>
      </c>
      <c r="L112" s="5">
        <f>EnergyLJ($A112,$C$2,$C$3,shape_factors!L$2,$C$4,shape_factors!L$3)</f>
        <v>-3.9186610191759702E-3</v>
      </c>
      <c r="M112" s="5">
        <f>EnergyLJ($A112,$C$2,$C$3,shape_factors!M$2,$C$4,shape_factors!M$3)</f>
        <v>-2.964644455853939E-3</v>
      </c>
      <c r="N112" s="5">
        <f>EnergyLJ($A112,$C$2,$C$3,shape_factors!N$2,$C$4,shape_factors!N$3)</f>
        <v>-2.3052530313693569E-3</v>
      </c>
      <c r="O112" s="5">
        <f>EnergyLJ($A112,$C$2,$C$3,shape_factors!O$2,$C$4,shape_factors!O$3)</f>
        <v>-2.1726721276259459E-3</v>
      </c>
      <c r="P112" s="5">
        <f>EnergyLJ($A112,$C$2,$C$3,shape_factors!P$2,$C$4,shape_factors!P$3)</f>
        <v>-2.3467243295800331E-3</v>
      </c>
      <c r="Q112" s="5">
        <f>EnergyLJ($A112,$C$2,$C$3,shape_factors!Q$2,$C$4,shape_factors!Q$3)</f>
        <v>-2.4033787018402399E-3</v>
      </c>
      <c r="R112" s="5">
        <f>EnergyLJ($A112,$C$2,$C$3,shape_factors!R$2,$C$4,shape_factors!R$3)</f>
        <v>-4.3683610253067665E-3</v>
      </c>
      <c r="S112" s="5">
        <f>EnergyLJ($A112,$C$2,$C$3,shape_factors!S$2,$C$4,shape_factors!S$3)</f>
        <v>-2.6337306902862716E-3</v>
      </c>
      <c r="T112" s="5">
        <f>EnergyLJ($A112,$C$2,$C$3,shape_factors!T$2,$C$4,shape_factors!T$3)</f>
        <v>-2.0922428852855508E-3</v>
      </c>
      <c r="U112" s="5">
        <f>EnergyLJ($A112,$C$2,$C$3,shape_factors!U$2,$C$4,shape_factors!U$3)</f>
        <v>-4.3259212482047076E-3</v>
      </c>
    </row>
    <row r="113" spans="1:21" x14ac:dyDescent="0.25">
      <c r="A113">
        <v>23.2</v>
      </c>
      <c r="B113" s="5">
        <f>EnergyLJ($A113,$C$2,$C$3,shape_factors!B$2,$C$4,shape_factors!B$3)</f>
        <v>-1.2158510129935613E-2</v>
      </c>
      <c r="C113" s="5">
        <f>EnergyLJ($A113,$C$2,$C$3,shape_factors!C$2,$C$4,shape_factors!C$3)</f>
        <v>-4.4688830358315217E-3</v>
      </c>
      <c r="D113" s="5">
        <f>EnergyLJ($A113,$C$2,$C$3,shape_factors!D$2,$C$4,shape_factors!D$3)</f>
        <v>-1.5758068286602287E-2</v>
      </c>
      <c r="E113" s="5">
        <f>EnergyLJ($A113,$C$2,$C$3,shape_factors!E$2,$C$4,shape_factors!E$3)</f>
        <v>-6.6761324853024237E-3</v>
      </c>
      <c r="F113" s="5">
        <f>EnergyLJ($A113,$C$2,$C$3,shape_factors!F$2,$C$4,shape_factors!F$3)</f>
        <v>-4.0754486819959733E-3</v>
      </c>
      <c r="G113" s="5">
        <f>EnergyLJ($A113,$C$2,$C$3,shape_factors!G$2,$C$4,shape_factors!G$3)</f>
        <v>-4.9146600766540082E-3</v>
      </c>
      <c r="H113" s="5">
        <f>EnergyLJ($A113,$C$2,$C$3,shape_factors!H$2,$C$4,shape_factors!H$3)</f>
        <v>-6.0942871667960419E-2</v>
      </c>
      <c r="I113" s="5">
        <f>EnergyLJ($A113,$C$2,$C$3,shape_factors!I$2,$C$4,shape_factors!I$3)</f>
        <v>-7.9070204381923321E-3</v>
      </c>
      <c r="J113" s="5">
        <f>EnergyLJ($A113,$C$2,$C$3,shape_factors!J$2,$C$4,shape_factors!J$3)</f>
        <v>-2.7447272867467771E-3</v>
      </c>
      <c r="K113" s="5">
        <f>EnergyLJ($A113,$C$2,$C$3,shape_factors!K$2,$C$4,shape_factors!K$3)</f>
        <v>-3.0678358244045144E-3</v>
      </c>
      <c r="L113" s="5">
        <f>EnergyLJ($A113,$C$2,$C$3,shape_factors!L$2,$C$4,shape_factors!L$3)</f>
        <v>-3.7204453717512081E-3</v>
      </c>
      <c r="M113" s="5">
        <f>EnergyLJ($A113,$C$2,$C$3,shape_factors!M$2,$C$4,shape_factors!M$3)</f>
        <v>-2.8146567064467505E-3</v>
      </c>
      <c r="N113" s="5">
        <f>EnergyLJ($A113,$C$2,$C$3,shape_factors!N$2,$C$4,shape_factors!N$3)</f>
        <v>-2.1886099331365145E-3</v>
      </c>
      <c r="O113" s="5">
        <f>EnergyLJ($A113,$C$2,$C$3,shape_factors!O$2,$C$4,shape_factors!O$3)</f>
        <v>-2.0627345537037774E-3</v>
      </c>
      <c r="P113" s="5">
        <f>EnergyLJ($A113,$C$2,$C$3,shape_factors!P$2,$C$4,shape_factors!P$3)</f>
        <v>-2.2279838168597376E-3</v>
      </c>
      <c r="Q113" s="5">
        <f>EnergyLJ($A113,$C$2,$C$3,shape_factors!Q$2,$C$4,shape_factors!Q$3)</f>
        <v>-2.2817729456475659E-3</v>
      </c>
      <c r="R113" s="5">
        <f>EnergyLJ($A113,$C$2,$C$3,shape_factors!R$2,$C$4,shape_factors!R$3)</f>
        <v>-4.1474183334810977E-3</v>
      </c>
      <c r="S113" s="5">
        <f>EnergyLJ($A113,$C$2,$C$3,shape_factors!S$2,$C$4,shape_factors!S$3)</f>
        <v>-2.5004757608686817E-3</v>
      </c>
      <c r="T113" s="5">
        <f>EnergyLJ($A113,$C$2,$C$3,shape_factors!T$2,$C$4,shape_factors!T$3)</f>
        <v>-1.9863733424402064E-3</v>
      </c>
      <c r="U113" s="5">
        <f>EnergyLJ($A113,$C$2,$C$3,shape_factors!U$2,$C$4,shape_factors!U$3)</f>
        <v>-4.1071232123519492E-3</v>
      </c>
    </row>
    <row r="114" spans="1:21" x14ac:dyDescent="0.25">
      <c r="A114">
        <v>23.4</v>
      </c>
      <c r="B114" s="5">
        <f>EnergyLJ($A114,$C$2,$C$3,shape_factors!B$2,$C$4,shape_factors!B$3)</f>
        <v>-1.1549657219697055E-2</v>
      </c>
      <c r="C114" s="5">
        <f>EnergyLJ($A114,$C$2,$C$3,shape_factors!C$2,$C$4,shape_factors!C$3)</f>
        <v>-4.2447513841387353E-3</v>
      </c>
      <c r="D114" s="5">
        <f>EnergyLJ($A114,$C$2,$C$3,shape_factors!D$2,$C$4,shape_factors!D$3)</f>
        <v>-1.4969537806711609E-2</v>
      </c>
      <c r="E114" s="5">
        <f>EnergyLJ($A114,$C$2,$C$3,shape_factors!E$2,$C$4,shape_factors!E$3)</f>
        <v>-6.3414470915182115E-3</v>
      </c>
      <c r="F114" s="5">
        <f>EnergyLJ($A114,$C$2,$C$3,shape_factors!F$2,$C$4,shape_factors!F$3)</f>
        <v>-3.8710331559400871E-3</v>
      </c>
      <c r="G114" s="5">
        <f>EnergyLJ($A114,$C$2,$C$3,shape_factors!G$2,$C$4,shape_factors!G$3)</f>
        <v>-4.6681930254158788E-3</v>
      </c>
      <c r="H114" s="5">
        <f>EnergyLJ($A114,$C$2,$C$3,shape_factors!H$2,$C$4,shape_factors!H$3)</f>
        <v>-5.7921805462324394E-2</v>
      </c>
      <c r="I114" s="5">
        <f>EnergyLJ($A114,$C$2,$C$3,shape_factors!I$2,$C$4,shape_factors!I$3)</f>
        <v>-7.510726715234067E-3</v>
      </c>
      <c r="J114" s="5">
        <f>EnergyLJ($A114,$C$2,$C$3,shape_factors!J$2,$C$4,shape_factors!J$3)</f>
        <v>-2.6070211235201396E-3</v>
      </c>
      <c r="K114" s="5">
        <f>EnergyLJ($A114,$C$2,$C$3,shape_factors!K$2,$C$4,shape_factors!K$3)</f>
        <v>-2.9139288828490622E-3</v>
      </c>
      <c r="L114" s="5">
        <f>EnergyLJ($A114,$C$2,$C$3,shape_factors!L$2,$C$4,shape_factors!L$3)</f>
        <v>-3.533822756492081E-3</v>
      </c>
      <c r="M114" s="5">
        <f>EnergyLJ($A114,$C$2,$C$3,shape_factors!M$2,$C$4,shape_factors!M$3)</f>
        <v>-2.673444078972079E-3</v>
      </c>
      <c r="N114" s="5">
        <f>EnergyLJ($A114,$C$2,$C$3,shape_factors!N$2,$C$4,shape_factors!N$3)</f>
        <v>-2.0787926082360074E-3</v>
      </c>
      <c r="O114" s="5">
        <f>EnergyLJ($A114,$C$2,$C$3,shape_factors!O$2,$C$4,shape_factors!O$3)</f>
        <v>-1.9592306403300526E-3</v>
      </c>
      <c r="P114" s="5">
        <f>EnergyLJ($A114,$C$2,$C$3,shape_factors!P$2,$C$4,shape_factors!P$3)</f>
        <v>-2.1161917189222402E-3</v>
      </c>
      <c r="Q114" s="5">
        <f>EnergyLJ($A114,$C$2,$C$3,shape_factors!Q$2,$C$4,shape_factors!Q$3)</f>
        <v>-2.1672831372166893E-3</v>
      </c>
      <c r="R114" s="5">
        <f>EnergyLJ($A114,$C$2,$C$3,shape_factors!R$2,$C$4,shape_factors!R$3)</f>
        <v>-3.9393959684704653E-3</v>
      </c>
      <c r="S114" s="5">
        <f>EnergyLJ($A114,$C$2,$C$3,shape_factors!S$2,$C$4,shape_factors!S$3)</f>
        <v>-2.3750178499701139E-3</v>
      </c>
      <c r="T114" s="5">
        <f>EnergyLJ($A114,$C$2,$C$3,shape_factors!T$2,$C$4,shape_factors!T$3)</f>
        <v>-1.8866995607082135E-3</v>
      </c>
      <c r="U114" s="5">
        <f>EnergyLJ($A114,$C$2,$C$3,shape_factors!U$2,$C$4,shape_factors!U$3)</f>
        <v>-3.9011202692045398E-3</v>
      </c>
    </row>
    <row r="115" spans="1:21" x14ac:dyDescent="0.25">
      <c r="A115">
        <v>23.6</v>
      </c>
      <c r="B115" s="5">
        <f>EnergyLJ($A115,$C$2,$C$3,shape_factors!B$2,$C$4,shape_factors!B$3)</f>
        <v>-1.0976021113719476E-2</v>
      </c>
      <c r="C115" s="5">
        <f>EnergyLJ($A115,$C$2,$C$3,shape_factors!C$2,$C$4,shape_factors!C$3)</f>
        <v>-4.0336173758608084E-3</v>
      </c>
      <c r="D115" s="5">
        <f>EnergyLJ($A115,$C$2,$C$3,shape_factors!D$2,$C$4,shape_factors!D$3)</f>
        <v>-1.4226561190411222E-2</v>
      </c>
      <c r="E115" s="5">
        <f>EnergyLJ($A115,$C$2,$C$3,shape_factors!E$2,$C$4,shape_factors!E$3)</f>
        <v>-6.026156126251089E-3</v>
      </c>
      <c r="F115" s="5">
        <f>EnergyLJ($A115,$C$2,$C$3,shape_factors!F$2,$C$4,shape_factors!F$3)</f>
        <v>-3.6784734729081001E-3</v>
      </c>
      <c r="G115" s="5">
        <f>EnergyLJ($A115,$C$2,$C$3,shape_factors!G$2,$C$4,shape_factors!G$3)</f>
        <v>-4.4360167404537791E-3</v>
      </c>
      <c r="H115" s="5">
        <f>EnergyLJ($A115,$C$2,$C$3,shape_factors!H$2,$C$4,shape_factors!H$3)</f>
        <v>-5.5072503824774577E-2</v>
      </c>
      <c r="I115" s="5">
        <f>EnergyLJ($A115,$C$2,$C$3,shape_factors!I$2,$C$4,shape_factors!I$3)</f>
        <v>-7.1373880196323901E-3</v>
      </c>
      <c r="J115" s="5">
        <f>EnergyLJ($A115,$C$2,$C$3,shape_factors!J$2,$C$4,shape_factors!J$3)</f>
        <v>-2.4773052941620796E-3</v>
      </c>
      <c r="K115" s="5">
        <f>EnergyLJ($A115,$C$2,$C$3,shape_factors!K$2,$C$4,shape_factors!K$3)</f>
        <v>-2.7689513547983816E-3</v>
      </c>
      <c r="L115" s="5">
        <f>EnergyLJ($A115,$C$2,$C$3,shape_factors!L$2,$C$4,shape_factors!L$3)</f>
        <v>-3.3580253020372283E-3</v>
      </c>
      <c r="M115" s="5">
        <f>EnergyLJ($A115,$C$2,$C$3,shape_factors!M$2,$C$4,shape_factors!M$3)</f>
        <v>-2.5404250551215551E-3</v>
      </c>
      <c r="N115" s="5">
        <f>EnergyLJ($A115,$C$2,$C$3,shape_factors!N$2,$C$4,shape_factors!N$3)</f>
        <v>-1.9753485624552074E-3</v>
      </c>
      <c r="O115" s="5">
        <f>EnergyLJ($A115,$C$2,$C$3,shape_factors!O$2,$C$4,shape_factors!O$3)</f>
        <v>-1.8617338574602083E-3</v>
      </c>
      <c r="P115" s="5">
        <f>EnergyLJ($A115,$C$2,$C$3,shape_factors!P$2,$C$4,shape_factors!P$3)</f>
        <v>-2.0108874214676011E-3</v>
      </c>
      <c r="Q115" s="5">
        <f>EnergyLJ($A115,$C$2,$C$3,shape_factors!Q$2,$C$4,shape_factors!Q$3)</f>
        <v>-2.0594375704693847E-3</v>
      </c>
      <c r="R115" s="5">
        <f>EnergyLJ($A115,$C$2,$C$3,shape_factors!R$2,$C$4,shape_factors!R$3)</f>
        <v>-3.7434383483254362E-3</v>
      </c>
      <c r="S115" s="5">
        <f>EnergyLJ($A115,$C$2,$C$3,shape_factors!S$2,$C$4,shape_factors!S$3)</f>
        <v>-2.2568401670275385E-3</v>
      </c>
      <c r="T115" s="5">
        <f>EnergyLJ($A115,$C$2,$C$3,shape_factors!T$2,$C$4,shape_factors!T$3)</f>
        <v>-1.7928107645854897E-3</v>
      </c>
      <c r="U115" s="5">
        <f>EnergyLJ($A115,$C$2,$C$3,shape_factors!U$2,$C$4,shape_factors!U$3)</f>
        <v>-3.7070651107636091E-3</v>
      </c>
    </row>
    <row r="116" spans="1:21" x14ac:dyDescent="0.25">
      <c r="A116">
        <v>23.8</v>
      </c>
      <c r="B116" s="5">
        <f>EnergyLJ($A116,$C$2,$C$3,shape_factors!B$2,$C$4,shape_factors!B$3)</f>
        <v>-1.0435298566738247E-2</v>
      </c>
      <c r="C116" s="5">
        <f>EnergyLJ($A116,$C$2,$C$3,shape_factors!C$2,$C$4,shape_factors!C$3)</f>
        <v>-3.8346274366394873E-3</v>
      </c>
      <c r="D116" s="5">
        <f>EnergyLJ($A116,$C$2,$C$3,shape_factors!D$2,$C$4,shape_factors!D$3)</f>
        <v>-1.3526164940837415E-2</v>
      </c>
      <c r="E116" s="5">
        <f>EnergyLJ($A116,$C$2,$C$3,shape_factors!E$2,$C$4,shape_factors!E$3)</f>
        <v>-5.7289874217757303E-3</v>
      </c>
      <c r="F116" s="5">
        <f>EnergyLJ($A116,$C$2,$C$3,shape_factors!F$2,$C$4,shape_factors!F$3)</f>
        <v>-3.4969908799853677E-3</v>
      </c>
      <c r="G116" s="5">
        <f>EnergyLJ($A116,$C$2,$C$3,shape_factors!G$2,$C$4,shape_factors!G$3)</f>
        <v>-4.2171929479225259E-3</v>
      </c>
      <c r="H116" s="5">
        <f>EnergyLJ($A116,$C$2,$C$3,shape_factors!H$2,$C$4,shape_factors!H$3)</f>
        <v>-5.2384043630872137E-2</v>
      </c>
      <c r="I116" s="5">
        <f>EnergyLJ($A116,$C$2,$C$3,shape_factors!I$2,$C$4,shape_factors!I$3)</f>
        <v>-6.7854996166151942E-3</v>
      </c>
      <c r="J116" s="5">
        <f>EnergyLJ($A116,$C$2,$C$3,shape_factors!J$2,$C$4,shape_factors!J$3)</f>
        <v>-2.3550545830492032E-3</v>
      </c>
      <c r="K116" s="5">
        <f>EnergyLJ($A116,$C$2,$C$3,shape_factors!K$2,$C$4,shape_factors!K$3)</f>
        <v>-2.6323163977412223E-3</v>
      </c>
      <c r="L116" s="5">
        <f>EnergyLJ($A116,$C$2,$C$3,shape_factors!L$2,$C$4,shape_factors!L$3)</f>
        <v>-3.1923418224032549E-3</v>
      </c>
      <c r="M116" s="5">
        <f>EnergyLJ($A116,$C$2,$C$3,shape_factors!M$2,$C$4,shape_factors!M$3)</f>
        <v>-2.4150610779471705E-3</v>
      </c>
      <c r="N116" s="5">
        <f>EnergyLJ($A116,$C$2,$C$3,shape_factors!N$2,$C$4,shape_factors!N$3)</f>
        <v>-1.8778587485278307E-3</v>
      </c>
      <c r="O116" s="5">
        <f>EnergyLJ($A116,$C$2,$C$3,shape_factors!O$2,$C$4,shape_factors!O$3)</f>
        <v>-1.7698492061415888E-3</v>
      </c>
      <c r="P116" s="5">
        <f>EnergyLJ($A116,$C$2,$C$3,shape_factors!P$2,$C$4,shape_factors!P$3)</f>
        <v>-1.9116443562266401E-3</v>
      </c>
      <c r="Q116" s="5">
        <f>EnergyLJ($A116,$C$2,$C$3,shape_factors!Q$2,$C$4,shape_factors!Q$3)</f>
        <v>-1.9577994036236446E-3</v>
      </c>
      <c r="R116" s="5">
        <f>EnergyLJ($A116,$C$2,$C$3,shape_factors!R$2,$C$4,shape_factors!R$3)</f>
        <v>-3.5587530285777725E-3</v>
      </c>
      <c r="S116" s="5">
        <f>EnergyLJ($A116,$C$2,$C$3,shape_factors!S$2,$C$4,shape_factors!S$3)</f>
        <v>-2.1454641109897219E-3</v>
      </c>
      <c r="T116" s="5">
        <f>EnergyLJ($A116,$C$2,$C$3,shape_factors!T$2,$C$4,shape_factors!T$3)</f>
        <v>-1.7043265469585235E-3</v>
      </c>
      <c r="U116" s="5">
        <f>EnergyLJ($A116,$C$2,$C$3,shape_factors!U$2,$C$4,shape_factors!U$3)</f>
        <v>-3.5241729580711553E-3</v>
      </c>
    </row>
    <row r="117" spans="1:21" x14ac:dyDescent="0.25">
      <c r="A117">
        <v>24</v>
      </c>
      <c r="B117" s="5">
        <f>EnergyLJ($A117,$C$2,$C$3,shape_factors!B$2,$C$4,shape_factors!B$3)</f>
        <v>-9.9253538437559796E-3</v>
      </c>
      <c r="C117" s="5">
        <f>EnergyLJ($A117,$C$2,$C$3,shape_factors!C$2,$C$4,shape_factors!C$3)</f>
        <v>-3.64699046223602E-3</v>
      </c>
      <c r="D117" s="5">
        <f>EnergyLJ($A117,$C$2,$C$3,shape_factors!D$2,$C$4,shape_factors!D$3)</f>
        <v>-1.2865591168223188E-2</v>
      </c>
      <c r="E117" s="5">
        <f>EnergyLJ($A117,$C$2,$C$3,shape_factors!E$2,$C$4,shape_factors!E$3)</f>
        <v>-5.4487617497860968E-3</v>
      </c>
      <c r="F117" s="5">
        <f>EnergyLJ($A117,$C$2,$C$3,shape_factors!F$2,$C$4,shape_factors!F$3)</f>
        <v>-3.3258636365090318E-3</v>
      </c>
      <c r="G117" s="5">
        <f>EnergyLJ($A117,$C$2,$C$3,shape_factors!G$2,$C$4,shape_factors!G$3)</f>
        <v>-4.0108520182814515E-3</v>
      </c>
      <c r="H117" s="5">
        <f>EnergyLJ($A117,$C$2,$C$3,shape_factors!H$2,$C$4,shape_factors!H$3)</f>
        <v>-4.9846261476339929E-2</v>
      </c>
      <c r="I117" s="5">
        <f>EnergyLJ($A117,$C$2,$C$3,shape_factors!I$2,$C$4,shape_factors!I$3)</f>
        <v>-6.4536665911237136E-3</v>
      </c>
      <c r="J117" s="5">
        <f>EnergyLJ($A117,$C$2,$C$3,shape_factors!J$2,$C$4,shape_factors!J$3)</f>
        <v>-2.2397822664995087E-3</v>
      </c>
      <c r="K117" s="5">
        <f>EnergyLJ($A117,$C$2,$C$3,shape_factors!K$2,$C$4,shape_factors!K$3)</f>
        <v>-2.5034801664854051E-3</v>
      </c>
      <c r="L117" s="5">
        <f>EnergyLJ($A117,$C$2,$C$3,shape_factors!L$2,$C$4,shape_factors!L$3)</f>
        <v>-3.0361132121638711E-3</v>
      </c>
      <c r="M117" s="5">
        <f>EnergyLJ($A117,$C$2,$C$3,shape_factors!M$2,$C$4,shape_factors!M$3)</f>
        <v>-2.2968530579906411E-3</v>
      </c>
      <c r="N117" s="5">
        <f>EnergyLJ($A117,$C$2,$C$3,shape_factors!N$2,$C$4,shape_factors!N$3)</f>
        <v>-1.785934843931703E-3</v>
      </c>
      <c r="O117" s="5">
        <f>EnergyLJ($A117,$C$2,$C$3,shape_factors!O$2,$C$4,shape_factors!O$3)</f>
        <v>-1.6832106518427489E-3</v>
      </c>
      <c r="P117" s="5">
        <f>EnergyLJ($A117,$C$2,$C$3,shape_factors!P$2,$C$4,shape_factors!P$3)</f>
        <v>-1.8180672301342511E-3</v>
      </c>
      <c r="Q117" s="5">
        <f>EnergyLJ($A117,$C$2,$C$3,shape_factors!Q$2,$C$4,shape_factors!Q$3)</f>
        <v>-1.861963821960516E-3</v>
      </c>
      <c r="R117" s="5">
        <f>EnergyLJ($A117,$C$2,$C$3,shape_factors!R$2,$C$4,shape_factors!R$3)</f>
        <v>-3.3846055760066653E-3</v>
      </c>
      <c r="S117" s="5">
        <f>EnergyLJ($A117,$C$2,$C$3,shape_factors!S$2,$C$4,shape_factors!S$3)</f>
        <v>-2.0404461633173414E-3</v>
      </c>
      <c r="T117" s="5">
        <f>EnergyLJ($A117,$C$2,$C$3,shape_factors!T$2,$C$4,shape_factors!T$3)</f>
        <v>-1.62089439684703E-3</v>
      </c>
      <c r="U117" s="5">
        <f>EnergyLJ($A117,$C$2,$C$3,shape_factors!U$2,$C$4,shape_factors!U$3)</f>
        <v>-3.3517164841219008E-3</v>
      </c>
    </row>
    <row r="118" spans="1:21" x14ac:dyDescent="0.25">
      <c r="A118">
        <v>24.2</v>
      </c>
      <c r="B118" s="5">
        <f>EnergyLJ($A118,$C$2,$C$3,shape_factors!B$2,$C$4,shape_factors!B$3)</f>
        <v>-9.4442053564194606E-3</v>
      </c>
      <c r="C118" s="5">
        <f>EnergyLJ($A118,$C$2,$C$3,shape_factors!C$2,$C$4,shape_factors!C$3)</f>
        <v>-3.4699727881599657E-3</v>
      </c>
      <c r="D118" s="5">
        <f>EnergyLJ($A118,$C$2,$C$3,shape_factors!D$2,$C$4,shape_factors!D$3)</f>
        <v>-1.2242280466553769E-2</v>
      </c>
      <c r="E118" s="5">
        <f>EnergyLJ($A118,$C$2,$C$3,shape_factors!E$2,$C$4,shape_factors!E$3)</f>
        <v>-5.184385357164375E-3</v>
      </c>
      <c r="F118" s="5">
        <f>EnergyLJ($A118,$C$2,$C$3,shape_factors!F$2,$C$4,shape_factors!F$3)</f>
        <v>-3.1644224210513202E-3</v>
      </c>
      <c r="G118" s="5">
        <f>EnergyLJ($A118,$C$2,$C$3,shape_factors!G$2,$C$4,shape_factors!G$3)</f>
        <v>-3.8161874416717126E-3</v>
      </c>
      <c r="H118" s="5">
        <f>EnergyLJ($A118,$C$2,$C$3,shape_factors!H$2,$C$4,shape_factors!H$3)</f>
        <v>-4.7449697201873947E-2</v>
      </c>
      <c r="I118" s="5">
        <f>EnergyLJ($A118,$C$2,$C$3,shape_factors!I$2,$C$4,shape_factors!I$3)</f>
        <v>-6.1405950409365861E-3</v>
      </c>
      <c r="J118" s="5">
        <f>EnergyLJ($A118,$C$2,$C$3,shape_factors!J$2,$C$4,shape_factors!J$3)</f>
        <v>-2.1310370069261985E-3</v>
      </c>
      <c r="K118" s="5">
        <f>EnergyLJ($A118,$C$2,$C$3,shape_factors!K$2,$C$4,shape_factors!K$3)</f>
        <v>-2.3819383450962143E-3</v>
      </c>
      <c r="L118" s="5">
        <f>EnergyLJ($A118,$C$2,$C$3,shape_factors!L$2,$C$4,shape_factors!L$3)</f>
        <v>-2.8887282489813873E-3</v>
      </c>
      <c r="M118" s="5">
        <f>EnergyLJ($A118,$C$2,$C$3,shape_factors!M$2,$C$4,shape_factors!M$3)</f>
        <v>-2.1853381889831492E-3</v>
      </c>
      <c r="N118" s="5">
        <f>EnergyLJ($A118,$C$2,$C$3,shape_factors!N$2,$C$4,shape_factors!N$3)</f>
        <v>-1.699216770149221E-3</v>
      </c>
      <c r="O118" s="5">
        <f>EnergyLJ($A118,$C$2,$C$3,shape_factors!O$2,$C$4,shape_factors!O$3)</f>
        <v>-1.60147878549975E-3</v>
      </c>
      <c r="P118" s="5">
        <f>EnergyLJ($A118,$C$2,$C$3,shape_factors!P$2,$C$4,shape_factors!P$3)</f>
        <v>-1.7297895002615366E-3</v>
      </c>
      <c r="Q118" s="5">
        <f>EnergyLJ($A118,$C$2,$C$3,shape_factors!Q$2,$C$4,shape_factors!Q$3)</f>
        <v>-1.771555452215994E-3</v>
      </c>
      <c r="R118" s="5">
        <f>EnergyLJ($A118,$C$2,$C$3,shape_factors!R$2,$C$4,shape_factors!R$3)</f>
        <v>-3.2203148955385454E-3</v>
      </c>
      <c r="S118" s="5">
        <f>EnergyLJ($A118,$C$2,$C$3,shape_factors!S$2,$C$4,shape_factors!S$3)</f>
        <v>-1.9413750564272417E-3</v>
      </c>
      <c r="T118" s="5">
        <f>EnergyLJ($A118,$C$2,$C$3,shape_factors!T$2,$C$4,shape_factors!T$3)</f>
        <v>-1.5421874465164302E-3</v>
      </c>
      <c r="U118" s="5">
        <f>EnergyLJ($A118,$C$2,$C$3,shape_factors!U$2,$C$4,shape_factors!U$3)</f>
        <v>-3.1890211855966832E-3</v>
      </c>
    </row>
    <row r="119" spans="1:21" x14ac:dyDescent="0.25">
      <c r="A119">
        <v>24.4</v>
      </c>
      <c r="B119" s="5">
        <f>EnergyLJ($A119,$C$2,$C$3,shape_factors!B$2,$C$4,shape_factors!B$3)</f>
        <v>-8.9900134552852607E-3</v>
      </c>
      <c r="C119" s="5">
        <f>EnergyLJ($A119,$C$2,$C$3,shape_factors!C$2,$C$4,shape_factors!C$3)</f>
        <v>-3.302893600308218E-3</v>
      </c>
      <c r="D119" s="5">
        <f>EnergyLJ($A119,$C$2,$C$3,shape_factors!D$2,$C$4,shape_factors!D$3)</f>
        <v>-1.1653856261510595E-2</v>
      </c>
      <c r="E119" s="5">
        <f>EnergyLJ($A119,$C$2,$C$3,shape_factors!E$2,$C$4,shape_factors!E$3)</f>
        <v>-4.9348431536676129E-3</v>
      </c>
      <c r="F119" s="5">
        <f>EnergyLJ($A119,$C$2,$C$3,shape_factors!F$2,$C$4,shape_factors!F$3)</f>
        <v>-3.0120461413386339E-3</v>
      </c>
      <c r="G119" s="5">
        <f>EnergyLJ($A119,$C$2,$C$3,shape_factors!G$2,$C$4,shape_factors!G$3)</f>
        <v>-3.6324507872679541E-3</v>
      </c>
      <c r="H119" s="5">
        <f>EnergyLJ($A119,$C$2,$C$3,shape_factors!H$2,$C$4,shape_factors!H$3)</f>
        <v>-4.5185541779136092E-2</v>
      </c>
      <c r="I119" s="5">
        <f>EnergyLJ($A119,$C$2,$C$3,shape_factors!I$2,$C$4,shape_factors!I$3)</f>
        <v>-5.8450840373333772E-3</v>
      </c>
      <c r="J119" s="5">
        <f>EnergyLJ($A119,$C$2,$C$3,shape_factors!J$2,$C$4,shape_factors!J$3)</f>
        <v>-2.028400020070716E-3</v>
      </c>
      <c r="K119" s="5">
        <f>EnergyLJ($A119,$C$2,$C$3,shape_factors!K$2,$C$4,shape_factors!K$3)</f>
        <v>-2.2672229835968053E-3</v>
      </c>
      <c r="L119" s="5">
        <f>EnergyLJ($A119,$C$2,$C$3,shape_factors!L$2,$C$4,shape_factors!L$3)</f>
        <v>-2.7496197645939576E-3</v>
      </c>
      <c r="M119" s="5">
        <f>EnergyLJ($A119,$C$2,$C$3,shape_factors!M$2,$C$4,shape_factors!M$3)</f>
        <v>-2.0800870434896129E-3</v>
      </c>
      <c r="N119" s="5">
        <f>EnergyLJ($A119,$C$2,$C$3,shape_factors!N$2,$C$4,shape_factors!N$3)</f>
        <v>-1.617370430247241E-3</v>
      </c>
      <c r="O119" s="5">
        <f>EnergyLJ($A119,$C$2,$C$3,shape_factors!O$2,$C$4,shape_factors!O$3)</f>
        <v>-1.5243386904469636E-3</v>
      </c>
      <c r="P119" s="5">
        <f>EnergyLJ($A119,$C$2,$C$3,shape_factors!P$2,$C$4,shape_factors!P$3)</f>
        <v>-1.6464710709539656E-3</v>
      </c>
      <c r="Q119" s="5">
        <f>EnergyLJ($A119,$C$2,$C$3,shape_factors!Q$2,$C$4,shape_factors!Q$3)</f>
        <v>-1.6862260044861201E-3</v>
      </c>
      <c r="R119" s="5">
        <f>EnergyLJ($A119,$C$2,$C$3,shape_factors!R$2,$C$4,shape_factors!R$3)</f>
        <v>-3.0652489670583457E-3</v>
      </c>
      <c r="S119" s="5">
        <f>EnergyLJ($A119,$C$2,$C$3,shape_factors!S$2,$C$4,shape_factors!S$3)</f>
        <v>-1.8478691912006558E-3</v>
      </c>
      <c r="T119" s="5">
        <f>EnergyLJ($A119,$C$2,$C$3,shape_factors!T$2,$C$4,shape_factors!T$3)</f>
        <v>-1.4679024169240783E-3</v>
      </c>
      <c r="U119" s="5">
        <f>EnergyLJ($A119,$C$2,$C$3,shape_factors!U$2,$C$4,shape_factors!U$3)</f>
        <v>-3.0354611606023029E-3</v>
      </c>
    </row>
    <row r="120" spans="1:21" x14ac:dyDescent="0.25">
      <c r="A120">
        <v>24.6</v>
      </c>
      <c r="B120" s="5">
        <f>EnergyLJ($A120,$C$2,$C$3,shape_factors!B$2,$C$4,shape_factors!B$3)</f>
        <v>-8.5610692707065693E-3</v>
      </c>
      <c r="C120" s="5">
        <f>EnergyLJ($A120,$C$2,$C$3,shape_factors!C$2,$C$4,shape_factors!C$3)</f>
        <v>-3.1451207448941806E-3</v>
      </c>
      <c r="D120" s="5">
        <f>EnergyLJ($A120,$C$2,$C$3,shape_factors!D$2,$C$4,shape_factors!D$3)</f>
        <v>-1.1098110494483983E-2</v>
      </c>
      <c r="E120" s="5">
        <f>EnergyLJ($A120,$C$2,$C$3,shape_factors!E$2,$C$4,shape_factors!E$3)</f>
        <v>-4.699192490187183E-3</v>
      </c>
      <c r="F120" s="5">
        <f>EnergyLJ($A120,$C$2,$C$3,shape_factors!F$2,$C$4,shape_factors!F$3)</f>
        <v>-2.8681581089526698E-3</v>
      </c>
      <c r="G120" s="5">
        <f>EnergyLJ($A120,$C$2,$C$3,shape_factors!G$2,$C$4,shape_factors!G$3)</f>
        <v>-3.4589471008684377E-3</v>
      </c>
      <c r="H120" s="5">
        <f>EnergyLJ($A120,$C$2,$C$3,shape_factors!H$2,$C$4,shape_factors!H$3)</f>
        <v>-4.3045589223585867E-2</v>
      </c>
      <c r="I120" s="5">
        <f>EnergyLJ($A120,$C$2,$C$3,shape_factors!I$2,$C$4,shape_factors!I$3)</f>
        <v>-5.5660182812915055E-3</v>
      </c>
      <c r="J120" s="5">
        <f>EnergyLJ($A120,$C$2,$C$3,shape_factors!J$2,$C$4,shape_factors!J$3)</f>
        <v>-1.9314824893765371E-3</v>
      </c>
      <c r="K120" s="5">
        <f>EnergyLJ($A120,$C$2,$C$3,shape_factors!K$2,$C$4,shape_factors!K$3)</f>
        <v>-2.1588996105044696E-3</v>
      </c>
      <c r="L120" s="5">
        <f>EnergyLJ($A120,$C$2,$C$3,shape_factors!L$2,$C$4,shape_factors!L$3)</f>
        <v>-2.6182611493405427E-3</v>
      </c>
      <c r="M120" s="5">
        <f>EnergyLJ($A120,$C$2,$C$3,shape_factors!M$2,$C$4,shape_factors!M$3)</f>
        <v>-1.9807009219112263E-3</v>
      </c>
      <c r="N120" s="5">
        <f>EnergyLJ($A120,$C$2,$C$3,shape_factors!N$2,$C$4,shape_factors!N$3)</f>
        <v>-1.5400856440125387E-3</v>
      </c>
      <c r="O120" s="5">
        <f>EnergyLJ($A120,$C$2,$C$3,shape_factors!O$2,$C$4,shape_factors!O$3)</f>
        <v>-1.4514979956454952E-3</v>
      </c>
      <c r="P120" s="5">
        <f>EnergyLJ($A120,$C$2,$C$3,shape_factors!P$2,$C$4,shape_factors!P$3)</f>
        <v>-1.567796192043981E-3</v>
      </c>
      <c r="Q120" s="5">
        <f>EnergyLJ($A120,$C$2,$C$3,shape_factors!Q$2,$C$4,shape_factors!Q$3)</f>
        <v>-1.6056521200116969E-3</v>
      </c>
      <c r="R120" s="5">
        <f>EnergyLJ($A120,$C$2,$C$3,shape_factors!R$2,$C$4,shape_factors!R$3)</f>
        <v>-2.9188209533246236E-3</v>
      </c>
      <c r="S120" s="5">
        <f>EnergyLJ($A120,$C$2,$C$3,shape_factors!S$2,$C$4,shape_factors!S$3)</f>
        <v>-1.7595742798845314E-3</v>
      </c>
      <c r="T120" s="5">
        <f>EnergyLJ($A120,$C$2,$C$3,shape_factors!T$2,$C$4,shape_factors!T$3)</f>
        <v>-1.397757742627374E-3</v>
      </c>
      <c r="U120" s="5">
        <f>EnergyLJ($A120,$C$2,$C$3,shape_factors!U$2,$C$4,shape_factors!U$3)</f>
        <v>-2.8904552539761917E-3</v>
      </c>
    </row>
    <row r="121" spans="1:21" x14ac:dyDescent="0.25">
      <c r="A121">
        <v>24.8</v>
      </c>
      <c r="B121" s="5">
        <f>EnergyLJ($A121,$C$2,$C$3,shape_factors!B$2,$C$4,shape_factors!B$3)</f>
        <v>-8.1557845056487669E-3</v>
      </c>
      <c r="C121" s="5">
        <f>EnergyLJ($A121,$C$2,$C$3,shape_factors!C$2,$C$4,shape_factors!C$3)</f>
        <v>-2.9960669001730506E-3</v>
      </c>
      <c r="D121" s="5">
        <f>EnergyLJ($A121,$C$2,$C$3,shape_factors!D$2,$C$4,shape_factors!D$3)</f>
        <v>-1.0572990520577495E-2</v>
      </c>
      <c r="E121" s="5">
        <f>EnergyLJ($A121,$C$2,$C$3,shape_factors!E$2,$C$4,shape_factors!E$3)</f>
        <v>-4.4765574724043395E-3</v>
      </c>
      <c r="F121" s="5">
        <f>EnergyLJ($A121,$C$2,$C$3,shape_factors!F$2,$C$4,shape_factors!F$3)</f>
        <v>-2.7322225445295923E-3</v>
      </c>
      <c r="G121" s="5">
        <f>EnergyLJ($A121,$C$2,$C$3,shape_factors!G$2,$C$4,shape_factors!G$3)</f>
        <v>-3.2950306996137849E-3</v>
      </c>
      <c r="H121" s="5">
        <f>EnergyLJ($A121,$C$2,$C$3,shape_factors!H$2,$C$4,shape_factors!H$3)</f>
        <v>-4.1022192222746445E-2</v>
      </c>
      <c r="I121" s="5">
        <f>EnergyLJ($A121,$C$2,$C$3,shape_factors!I$2,$C$4,shape_factors!I$3)</f>
        <v>-5.302361390419885E-3</v>
      </c>
      <c r="J121" s="5">
        <f>EnergyLJ($A121,$C$2,$C$3,shape_factors!J$2,$C$4,shape_factors!J$3)</f>
        <v>-1.8399232042072386E-3</v>
      </c>
      <c r="K121" s="5">
        <f>EnergyLJ($A121,$C$2,$C$3,shape_factors!K$2,$C$4,shape_factors!K$3)</f>
        <v>-2.0565645952200385E-3</v>
      </c>
      <c r="L121" s="5">
        <f>EnergyLJ($A121,$C$2,$C$3,shape_factors!L$2,$C$4,shape_factors!L$3)</f>
        <v>-2.4941631588511035E-3</v>
      </c>
      <c r="M121" s="5">
        <f>EnergyLJ($A121,$C$2,$C$3,shape_factors!M$2,$C$4,shape_factors!M$3)</f>
        <v>-1.8868094309674184E-3</v>
      </c>
      <c r="N121" s="5">
        <f>EnergyLJ($A121,$C$2,$C$3,shape_factors!N$2,$C$4,shape_factors!N$3)</f>
        <v>-1.4670742619976548E-3</v>
      </c>
      <c r="O121" s="5">
        <f>EnergyLJ($A121,$C$2,$C$3,shape_factors!O$2,$C$4,shape_factors!O$3)</f>
        <v>-1.382685097621717E-3</v>
      </c>
      <c r="P121" s="5">
        <f>EnergyLJ($A121,$C$2,$C$3,shape_factors!P$2,$C$4,shape_factors!P$3)</f>
        <v>-1.4934715391623987E-3</v>
      </c>
      <c r="Q121" s="5">
        <f>EnergyLJ($A121,$C$2,$C$3,shape_factors!Q$2,$C$4,shape_factors!Q$3)</f>
        <v>-1.5295334054157893E-3</v>
      </c>
      <c r="R121" s="5">
        <f>EnergyLJ($A121,$C$2,$C$3,shape_factors!R$2,$C$4,shape_factors!R$3)</f>
        <v>-2.7804856441159412E-3</v>
      </c>
      <c r="S121" s="5">
        <f>EnergyLJ($A121,$C$2,$C$3,shape_factors!S$2,$C$4,shape_factors!S$3)</f>
        <v>-1.6761611931281175E-3</v>
      </c>
      <c r="T121" s="5">
        <f>EnergyLJ($A121,$C$2,$C$3,shape_factors!T$2,$C$4,shape_factors!T$3)</f>
        <v>-1.3314918592087297E-3</v>
      </c>
      <c r="U121" s="5">
        <f>EnergyLJ($A121,$C$2,$C$3,shape_factors!U$2,$C$4,shape_factors!U$3)</f>
        <v>-2.7534635356128464E-3</v>
      </c>
    </row>
    <row r="122" spans="1:21" x14ac:dyDescent="0.25">
      <c r="A122">
        <v>25</v>
      </c>
      <c r="B122" s="5">
        <f>EnergyLJ($A122,$C$2,$C$3,shape_factors!B$2,$C$4,shape_factors!B$3)</f>
        <v>-7.7726820932191775E-3</v>
      </c>
      <c r="C122" s="5">
        <f>EnergyLJ($A122,$C$2,$C$3,shape_factors!C$2,$C$4,shape_factors!C$3)</f>
        <v>-2.8551860762397576E-3</v>
      </c>
      <c r="D122" s="5">
        <f>EnergyLJ($A122,$C$2,$C$3,shape_factors!D$2,$C$4,shape_factors!D$3)</f>
        <v>-1.0076587110335067E-2</v>
      </c>
      <c r="E122" s="5">
        <f>EnergyLJ($A122,$C$2,$C$3,shape_factors!E$2,$C$4,shape_factors!E$3)</f>
        <v>-4.266123760175284E-3</v>
      </c>
      <c r="F122" s="5">
        <f>EnergyLJ($A122,$C$2,$C$3,shape_factors!F$2,$C$4,shape_factors!F$3)</f>
        <v>-2.6037413826251886E-3</v>
      </c>
      <c r="G122" s="5">
        <f>EnergyLJ($A122,$C$2,$C$3,shape_factors!G$2,$C$4,shape_factors!G$3)</f>
        <v>-3.1401013268528397E-3</v>
      </c>
      <c r="H122" s="5">
        <f>EnergyLJ($A122,$C$2,$C$3,shape_factors!H$2,$C$4,shape_factors!H$3)</f>
        <v>-3.9108221190568955E-2</v>
      </c>
      <c r="I122" s="5">
        <f>EnergyLJ($A122,$C$2,$C$3,shape_factors!I$2,$C$4,shape_factors!I$3)</f>
        <v>-5.0531497582775526E-3</v>
      </c>
      <c r="J122" s="5">
        <f>EnergyLJ($A122,$C$2,$C$3,shape_factors!J$2,$C$4,shape_factors!J$3)</f>
        <v>-1.7533864009676571E-3</v>
      </c>
      <c r="K122" s="5">
        <f>EnergyLJ($A122,$C$2,$C$3,shape_factors!K$2,$C$4,shape_factors!K$3)</f>
        <v>-1.959842736911869E-3</v>
      </c>
      <c r="L122" s="5">
        <f>EnergyLJ($A122,$C$2,$C$3,shape_factors!L$2,$C$4,shape_factors!L$3)</f>
        <v>-2.3768709946918689E-3</v>
      </c>
      <c r="M122" s="5">
        <f>EnergyLJ($A122,$C$2,$C$3,shape_factors!M$2,$C$4,shape_factors!M$3)</f>
        <v>-1.7980682701919935E-3</v>
      </c>
      <c r="N122" s="5">
        <f>EnergyLJ($A122,$C$2,$C$3,shape_factors!N$2,$C$4,shape_factors!N$3)</f>
        <v>-1.3980684417201268E-3</v>
      </c>
      <c r="O122" s="5">
        <f>EnergyLJ($A122,$C$2,$C$3,shape_factors!O$2,$C$4,shape_factors!O$3)</f>
        <v>-1.3176475353101238E-3</v>
      </c>
      <c r="P122" s="5">
        <f>EnergyLJ($A122,$C$2,$C$3,shape_factors!P$2,$C$4,shape_factors!P$3)</f>
        <v>-1.4232244590943728E-3</v>
      </c>
      <c r="Q122" s="5">
        <f>EnergyLJ($A122,$C$2,$C$3,shape_factors!Q$2,$C$4,shape_factors!Q$3)</f>
        <v>-1.4575906359339721E-3</v>
      </c>
      <c r="R122" s="5">
        <f>EnergyLJ($A122,$C$2,$C$3,shape_factors!R$2,$C$4,shape_factors!R$3)</f>
        <v>-2.6497362052464875E-3</v>
      </c>
      <c r="S122" s="5">
        <f>EnergyLJ($A122,$C$2,$C$3,shape_factors!S$2,$C$4,shape_factors!S$3)</f>
        <v>-1.5973239920476154E-3</v>
      </c>
      <c r="T122" s="5">
        <f>EnergyLJ($A122,$C$2,$C$3,shape_factors!T$2,$C$4,shape_factors!T$3)</f>
        <v>-1.2688616379894272E-3</v>
      </c>
      <c r="U122" s="5">
        <f>EnergyLJ($A122,$C$2,$C$3,shape_factors!U$2,$C$4,shape_factors!U$3)</f>
        <v>-2.6239840807466032E-3</v>
      </c>
    </row>
    <row r="123" spans="1:21" x14ac:dyDescent="0.25">
      <c r="A123">
        <v>25.2</v>
      </c>
      <c r="B123" s="5">
        <f>EnergyLJ($A123,$C$2,$C$3,shape_factors!B$2,$C$4,shape_factors!B$3)</f>
        <v>-7.410387640196997E-3</v>
      </c>
      <c r="C123" s="5">
        <f>EnergyLJ($A123,$C$2,$C$3,shape_factors!C$2,$C$4,shape_factors!C$3)</f>
        <v>-2.721970412543644E-3</v>
      </c>
      <c r="D123" s="5">
        <f>EnergyLJ($A123,$C$2,$C$3,shape_factors!D$2,$C$4,shape_factors!D$3)</f>
        <v>-9.6071234555360017E-3</v>
      </c>
      <c r="E123" s="5">
        <f>EnergyLJ($A123,$C$2,$C$3,shape_factors!E$2,$C$4,shape_factors!E$3)</f>
        <v>-4.0671338079060239E-3</v>
      </c>
      <c r="F123" s="5">
        <f>EnergyLJ($A123,$C$2,$C$3,shape_factors!F$2,$C$4,shape_factors!F$3)</f>
        <v>-2.4822513484963845E-3</v>
      </c>
      <c r="G123" s="5">
        <f>EnergyLJ($A123,$C$2,$C$3,shape_factors!G$2,$C$4,shape_factors!G$3)</f>
        <v>-2.9936006338622859E-3</v>
      </c>
      <c r="H123" s="5">
        <f>EnergyLJ($A123,$C$2,$C$3,shape_factors!H$2,$C$4,shape_factors!H$3)</f>
        <v>-3.7297026479618689E-2</v>
      </c>
      <c r="I123" s="5">
        <f>EnergyLJ($A123,$C$2,$C$3,shape_factors!I$2,$C$4,shape_factors!I$3)</f>
        <v>-4.8174869334918829E-3</v>
      </c>
      <c r="J123" s="5">
        <f>EnergyLJ($A123,$C$2,$C$3,shape_factors!J$2,$C$4,shape_factors!J$3)</f>
        <v>-1.6715597882885418E-3</v>
      </c>
      <c r="K123" s="5">
        <f>EnergyLJ($A123,$C$2,$C$3,shape_factors!K$2,$C$4,shape_factors!K$3)</f>
        <v>-1.8683850588779511E-3</v>
      </c>
      <c r="L123" s="5">
        <f>EnergyLJ($A123,$C$2,$C$3,shape_factors!L$2,$C$4,shape_factors!L$3)</f>
        <v>-2.2659616335786877E-3</v>
      </c>
      <c r="M123" s="5">
        <f>EnergyLJ($A123,$C$2,$C$3,shape_factors!M$2,$C$4,shape_factors!M$3)</f>
        <v>-1.7141572071320103E-3</v>
      </c>
      <c r="N123" s="5">
        <f>EnergyLJ($A123,$C$2,$C$3,shape_factors!N$2,$C$4,shape_factors!N$3)</f>
        <v>-1.3328190709424412E-3</v>
      </c>
      <c r="O123" s="5">
        <f>EnergyLJ($A123,$C$2,$C$3,shape_factors!O$2,$C$4,shape_factors!O$3)</f>
        <v>-1.2561505035840401E-3</v>
      </c>
      <c r="P123" s="5">
        <f>EnergyLJ($A123,$C$2,$C$3,shape_factors!P$2,$C$4,shape_factors!P$3)</f>
        <v>-1.3568013648397187E-3</v>
      </c>
      <c r="Q123" s="5">
        <f>EnergyLJ($A123,$C$2,$C$3,shape_factors!Q$2,$C$4,shape_factors!Q$3)</f>
        <v>-1.3895641119318293E-3</v>
      </c>
      <c r="R123" s="5">
        <f>EnergyLJ($A123,$C$2,$C$3,shape_factors!R$2,$C$4,shape_factors!R$3)</f>
        <v>-2.5261012042235519E-3</v>
      </c>
      <c r="S123" s="5">
        <f>EnergyLJ($A123,$C$2,$C$3,shape_factors!S$2,$C$4,shape_factors!S$3)</f>
        <v>-1.522778128130673E-3</v>
      </c>
      <c r="T123" s="5">
        <f>EnergyLJ($A123,$C$2,$C$3,shape_factors!T$2,$C$4,shape_factors!T$3)</f>
        <v>-1.2096409543359029E-3</v>
      </c>
      <c r="U123" s="5">
        <f>EnergyLJ($A123,$C$2,$C$3,shape_factors!U$2,$C$4,shape_factors!U$3)</f>
        <v>-2.5015500242308391E-3</v>
      </c>
    </row>
    <row r="124" spans="1:21" x14ac:dyDescent="0.25">
      <c r="A124">
        <v>25.4</v>
      </c>
      <c r="B124" s="5">
        <f>EnergyLJ($A124,$C$2,$C$3,shape_factors!B$2,$C$4,shape_factors!B$3)</f>
        <v>-7.0676215854765046E-3</v>
      </c>
      <c r="C124" s="5">
        <f>EnergyLJ($A124,$C$2,$C$3,shape_factors!C$2,$C$4,shape_factors!C$3)</f>
        <v>-2.5959472457734653E-3</v>
      </c>
      <c r="D124" s="5">
        <f>EnergyLJ($A124,$C$2,$C$3,shape_factors!D$2,$C$4,shape_factors!D$3)</f>
        <v>-9.1629450889458581E-3</v>
      </c>
      <c r="E124" s="5">
        <f>EnergyLJ($A124,$C$2,$C$3,shape_factors!E$2,$C$4,shape_factors!E$3)</f>
        <v>-3.8788825055850024E-3</v>
      </c>
      <c r="F124" s="5">
        <f>EnergyLJ($A124,$C$2,$C$3,shape_factors!F$2,$C$4,shape_factors!F$3)</f>
        <v>-2.3673212818035722E-3</v>
      </c>
      <c r="G124" s="5">
        <f>EnergyLJ($A124,$C$2,$C$3,shape_factors!G$2,$C$4,shape_factors!G$3)</f>
        <v>-2.8550089584231629E-3</v>
      </c>
      <c r="H124" s="5">
        <f>EnergyLJ($A124,$C$2,$C$3,shape_factors!H$2,$C$4,shape_factors!H$3)</f>
        <v>-3.5582403502757549E-2</v>
      </c>
      <c r="I124" s="5">
        <f>EnergyLJ($A124,$C$2,$C$3,shape_factors!I$2,$C$4,shape_factors!I$3)</f>
        <v>-4.5945384712530127E-3</v>
      </c>
      <c r="J124" s="5">
        <f>EnergyLJ($A124,$C$2,$C$3,shape_factors!J$2,$C$4,shape_factors!J$3)</f>
        <v>-1.5941527393118233E-3</v>
      </c>
      <c r="K124" s="5">
        <f>EnergyLJ($A124,$C$2,$C$3,shape_factors!K$2,$C$4,shape_factors!K$3)</f>
        <v>-1.7818667894613546E-3</v>
      </c>
      <c r="L124" s="5">
        <f>EnergyLJ($A124,$C$2,$C$3,shape_factors!L$2,$C$4,shape_factors!L$3)</f>
        <v>-2.1610413822935885E-3</v>
      </c>
      <c r="M124" s="5">
        <f>EnergyLJ($A124,$C$2,$C$3,shape_factors!M$2,$C$4,shape_factors!M$3)</f>
        <v>-1.6347782238612591E-3</v>
      </c>
      <c r="N124" s="5">
        <f>EnergyLJ($A124,$C$2,$C$3,shape_factors!N$2,$C$4,shape_factors!N$3)</f>
        <v>-1.2710943244637978E-3</v>
      </c>
      <c r="O124" s="5">
        <f>EnergyLJ($A124,$C$2,$C$3,shape_factors!O$2,$C$4,shape_factors!O$3)</f>
        <v>-1.1979754926764999E-3</v>
      </c>
      <c r="P124" s="5">
        <f>EnergyLJ($A124,$C$2,$C$3,shape_factors!P$2,$C$4,shape_factors!P$3)</f>
        <v>-1.2939662665676518E-3</v>
      </c>
      <c r="Q124" s="5">
        <f>EnergyLJ($A124,$C$2,$C$3,shape_factors!Q$2,$C$4,shape_factors!Q$3)</f>
        <v>-1.3252121545707007E-3</v>
      </c>
      <c r="R124" s="5">
        <f>EnergyLJ($A124,$C$2,$C$3,shape_factors!R$2,$C$4,shape_factors!R$3)</f>
        <v>-2.4091418871204713E-3</v>
      </c>
      <c r="S124" s="5">
        <f>EnergyLJ($A124,$C$2,$C$3,shape_factors!S$2,$C$4,shape_factors!S$3)</f>
        <v>-1.4522587955057697E-3</v>
      </c>
      <c r="T124" s="5">
        <f>EnergyLJ($A124,$C$2,$C$3,shape_factors!T$2,$C$4,shape_factors!T$3)</f>
        <v>-1.1536193772292136E-3</v>
      </c>
      <c r="U124" s="5">
        <f>EnergyLJ($A124,$C$2,$C$3,shape_factors!U$2,$C$4,shape_factors!U$3)</f>
        <v>-2.3857268636283966E-3</v>
      </c>
    </row>
    <row r="125" spans="1:21" x14ac:dyDescent="0.25">
      <c r="A125">
        <v>25.6</v>
      </c>
      <c r="B125" s="5">
        <f>EnergyLJ($A125,$C$2,$C$3,shape_factors!B$2,$C$4,shape_factors!B$3)</f>
        <v>-6.7431920091844044E-3</v>
      </c>
      <c r="C125" s="5">
        <f>EnergyLJ($A125,$C$2,$C$3,shape_factors!C$2,$C$4,shape_factors!C$3)</f>
        <v>-2.4766764234584408E-3</v>
      </c>
      <c r="D125" s="5">
        <f>EnergyLJ($A125,$C$2,$C$3,shape_factors!D$2,$C$4,shape_factors!D$3)</f>
        <v>-8.7425106364961303E-3</v>
      </c>
      <c r="E125" s="5">
        <f>EnergyLJ($A125,$C$2,$C$3,shape_factors!E$2,$C$4,shape_factors!E$3)</f>
        <v>-3.7007131840883123E-3</v>
      </c>
      <c r="F125" s="5">
        <f>EnergyLJ($A125,$C$2,$C$3,shape_factors!F$2,$C$4,shape_factors!F$3)</f>
        <v>-2.2585496847014933E-3</v>
      </c>
      <c r="G125" s="5">
        <f>EnergyLJ($A125,$C$2,$C$3,shape_factors!G$2,$C$4,shape_factors!G$3)</f>
        <v>-2.7238423732070124E-3</v>
      </c>
      <c r="H125" s="5">
        <f>EnergyLJ($A125,$C$2,$C$3,shape_factors!H$2,$C$4,shape_factors!H$3)</f>
        <v>-3.3958560534796095E-2</v>
      </c>
      <c r="I125" s="5">
        <f>EnergyLJ($A125,$C$2,$C$3,shape_factors!I$2,$C$4,shape_factors!I$3)</f>
        <v>-4.3835272143861442E-3</v>
      </c>
      <c r="J125" s="5">
        <f>EnergyLJ($A125,$C$2,$C$3,shape_factors!J$2,$C$4,shape_factors!J$3)</f>
        <v>-1.5208946357910579E-3</v>
      </c>
      <c r="K125" s="5">
        <f>EnergyLJ($A125,$C$2,$C$3,shape_factors!K$2,$C$4,shape_factors!K$3)</f>
        <v>-1.6999855124641651E-3</v>
      </c>
      <c r="L125" s="5">
        <f>EnergyLJ($A125,$C$2,$C$3,shape_factors!L$2,$C$4,shape_factors!L$3)</f>
        <v>-2.0617436376950782E-3</v>
      </c>
      <c r="M125" s="5">
        <f>EnergyLJ($A125,$C$2,$C$3,shape_factors!M$2,$C$4,shape_factors!M$3)</f>
        <v>-1.5596538191394442E-3</v>
      </c>
      <c r="N125" s="5">
        <f>EnergyLJ($A125,$C$2,$C$3,shape_factors!N$2,$C$4,shape_factors!N$3)</f>
        <v>-1.2126783421985163E-3</v>
      </c>
      <c r="O125" s="5">
        <f>EnergyLJ($A125,$C$2,$C$3,shape_factors!O$2,$C$4,shape_factors!O$3)</f>
        <v>-1.1429190419614155E-3</v>
      </c>
      <c r="P125" s="5">
        <f>EnergyLJ($A125,$C$2,$C$3,shape_factors!P$2,$C$4,shape_factors!P$3)</f>
        <v>-1.2344994260235181E-3</v>
      </c>
      <c r="Q125" s="5">
        <f>EnergyLJ($A125,$C$2,$C$3,shape_factors!Q$2,$C$4,shape_factors!Q$3)</f>
        <v>-1.2643097278825322E-3</v>
      </c>
      <c r="R125" s="5">
        <f>EnergyLJ($A125,$C$2,$C$3,shape_factors!R$2,$C$4,shape_factors!R$3)</f>
        <v>-2.2984496837439011E-3</v>
      </c>
      <c r="S125" s="5">
        <f>EnergyLJ($A125,$C$2,$C$3,shape_factors!S$2,$C$4,shape_factors!S$3)</f>
        <v>-1.385519421632884E-3</v>
      </c>
      <c r="T125" s="5">
        <f>EnergyLJ($A125,$C$2,$C$3,shape_factors!T$2,$C$4,shape_factors!T$3)</f>
        <v>-1.1006009689900368E-3</v>
      </c>
      <c r="U125" s="5">
        <f>EnergyLJ($A125,$C$2,$C$3,shape_factors!U$2,$C$4,shape_factors!U$3)</f>
        <v>-2.2761099884097626E-3</v>
      </c>
    </row>
    <row r="126" spans="1:21" x14ac:dyDescent="0.25">
      <c r="A126">
        <v>25.8</v>
      </c>
      <c r="B126" s="5">
        <f>EnergyLJ($A126,$C$2,$C$3,shape_factors!B$2,$C$4,shape_factors!B$3)</f>
        <v>-6.4359880343838761E-3</v>
      </c>
      <c r="C126" s="5">
        <f>EnergyLJ($A126,$C$2,$C$3,shape_factors!C$2,$C$4,shape_factors!C$3)</f>
        <v>-2.3637478410409476E-3</v>
      </c>
      <c r="D126" s="5">
        <f>EnergyLJ($A126,$C$2,$C$3,shape_factors!D$2,$C$4,shape_factors!D$3)</f>
        <v>-8.344383328091242E-3</v>
      </c>
      <c r="E126" s="5">
        <f>EnergyLJ($A126,$C$2,$C$3,shape_factors!E$2,$C$4,shape_factors!E$3)</f>
        <v>-3.5320139519088964E-3</v>
      </c>
      <c r="F126" s="5">
        <f>EnergyLJ($A126,$C$2,$C$3,shape_factors!F$2,$C$4,shape_factors!F$3)</f>
        <v>-2.1555624739910944E-3</v>
      </c>
      <c r="G126" s="5">
        <f>EnergyLJ($A126,$C$2,$C$3,shape_factors!G$2,$C$4,shape_factors!G$3)</f>
        <v>-2.5996499795651975E-3</v>
      </c>
      <c r="H126" s="5">
        <f>EnergyLJ($A126,$C$2,$C$3,shape_factors!H$2,$C$4,shape_factors!H$3)</f>
        <v>-3.2420088982222282E-2</v>
      </c>
      <c r="I126" s="5">
        <f>EnergyLJ($A126,$C$2,$C$3,shape_factors!I$2,$C$4,shape_factors!I$3)</f>
        <v>-4.1837289653497657E-3</v>
      </c>
      <c r="J126" s="5">
        <f>EnergyLJ($A126,$C$2,$C$3,shape_factors!J$2,$C$4,shape_factors!J$3)</f>
        <v>-1.4515333502222397E-3</v>
      </c>
      <c r="K126" s="5">
        <f>EnergyLJ($A126,$C$2,$C$3,shape_factors!K$2,$C$4,shape_factors!K$3)</f>
        <v>-1.6224594716779807E-3</v>
      </c>
      <c r="L126" s="5">
        <f>EnergyLJ($A126,$C$2,$C$3,shape_factors!L$2,$C$4,shape_factors!L$3)</f>
        <v>-1.9677268332310453E-3</v>
      </c>
      <c r="M126" s="5">
        <f>EnergyLJ($A126,$C$2,$C$3,shape_factors!M$2,$C$4,shape_factors!M$3)</f>
        <v>-1.488525452086123E-3</v>
      </c>
      <c r="N126" s="5">
        <f>EnergyLJ($A126,$C$2,$C$3,shape_factors!N$2,$C$4,shape_factors!N$3)</f>
        <v>-1.1573700175177295E-3</v>
      </c>
      <c r="O126" s="5">
        <f>EnergyLJ($A126,$C$2,$C$3,shape_factors!O$2,$C$4,shape_factors!O$3)</f>
        <v>-1.0907915976989461E-3</v>
      </c>
      <c r="P126" s="5">
        <f>EnergyLJ($A126,$C$2,$C$3,shape_factors!P$2,$C$4,shape_factors!P$3)</f>
        <v>-1.1781961231680889E-3</v>
      </c>
      <c r="Q126" s="5">
        <f>EnergyLJ($A126,$C$2,$C$3,shape_factors!Q$2,$C$4,shape_factors!Q$3)</f>
        <v>-1.206647175766747E-3</v>
      </c>
      <c r="R126" s="5">
        <f>EnergyLJ($A126,$C$2,$C$3,shape_factors!R$2,$C$4,shape_factors!R$3)</f>
        <v>-2.1936439204166039E-3</v>
      </c>
      <c r="S126" s="5">
        <f>EnergyLJ($A126,$C$2,$C$3,shape_factors!S$2,$C$4,shape_factors!S$3)</f>
        <v>-1.3223302838414842E-3</v>
      </c>
      <c r="T126" s="5">
        <f>EnergyLJ($A126,$C$2,$C$3,shape_factors!T$2,$C$4,shape_factors!T$3)</f>
        <v>-1.0504031851440558E-3</v>
      </c>
      <c r="U126" s="5">
        <f>EnergyLJ($A126,$C$2,$C$3,shape_factors!U$2,$C$4,shape_factors!U$3)</f>
        <v>-2.1723224147768313E-3</v>
      </c>
    </row>
    <row r="127" spans="1:21" x14ac:dyDescent="0.25">
      <c r="A127">
        <v>26</v>
      </c>
      <c r="B127" s="5">
        <f>EnergyLJ($A127,$C$2,$C$3,shape_factors!B$2,$C$4,shape_factors!B$3)</f>
        <v>-6.1449737688069059E-3</v>
      </c>
      <c r="C127" s="5">
        <f>EnergyLJ($A127,$C$2,$C$3,shape_factors!C$2,$C$4,shape_factors!C$3)</f>
        <v>-2.2567791823355937E-3</v>
      </c>
      <c r="D127" s="5">
        <f>EnergyLJ($A127,$C$2,$C$3,shape_factors!D$2,$C$4,shape_factors!D$3)</f>
        <v>-7.9672232001972015E-3</v>
      </c>
      <c r="E127" s="5">
        <f>EnergyLJ($A127,$C$2,$C$3,shape_factors!E$2,$C$4,shape_factors!E$3)</f>
        <v>-3.3722143336322417E-3</v>
      </c>
      <c r="F127" s="5">
        <f>EnergyLJ($A127,$C$2,$C$3,shape_factors!F$2,$C$4,shape_factors!F$3)</f>
        <v>-2.0580109189796401E-3</v>
      </c>
      <c r="G127" s="5">
        <f>EnergyLJ($A127,$C$2,$C$3,shape_factors!G$2,$C$4,shape_factors!G$3)</f>
        <v>-2.4820114246813293E-3</v>
      </c>
      <c r="H127" s="5">
        <f>EnergyLJ($A127,$C$2,$C$3,shape_factors!H$2,$C$4,shape_factors!H$3)</f>
        <v>-3.0961935925586364E-2</v>
      </c>
      <c r="I127" s="5">
        <f>EnergyLJ($A127,$C$2,$C$3,shape_factors!I$2,$C$4,shape_factors!I$3)</f>
        <v>-3.9944685142277933E-3</v>
      </c>
      <c r="J127" s="5">
        <f>EnergyLJ($A127,$C$2,$C$3,shape_factors!J$2,$C$4,shape_factors!J$3)</f>
        <v>-1.3858338535635711E-3</v>
      </c>
      <c r="K127" s="5">
        <f>EnergyLJ($A127,$C$2,$C$3,shape_factors!K$2,$C$4,shape_factors!K$3)</f>
        <v>-1.5490260156470548E-3</v>
      </c>
      <c r="L127" s="5">
        <f>EnergyLJ($A127,$C$2,$C$3,shape_factors!L$2,$C$4,shape_factors!L$3)</f>
        <v>-1.8786725551708358E-3</v>
      </c>
      <c r="M127" s="5">
        <f>EnergyLJ($A127,$C$2,$C$3,shape_factors!M$2,$C$4,shape_factors!M$3)</f>
        <v>-1.42115211461541E-3</v>
      </c>
      <c r="N127" s="5">
        <f>EnergyLJ($A127,$C$2,$C$3,shape_factors!N$2,$C$4,shape_factors!N$3)</f>
        <v>-1.1049818859067127E-3</v>
      </c>
      <c r="O127" s="5">
        <f>EnergyLJ($A127,$C$2,$C$3,shape_factors!O$2,$C$4,shape_factors!O$3)</f>
        <v>-1.0414164653637823E-3</v>
      </c>
      <c r="P127" s="5">
        <f>EnergyLJ($A127,$C$2,$C$3,shape_factors!P$2,$C$4,shape_factors!P$3)</f>
        <v>-1.1248655249247634E-3</v>
      </c>
      <c r="Q127" s="5">
        <f>EnergyLJ($A127,$C$2,$C$3,shape_factors!Q$2,$C$4,shape_factors!Q$3)</f>
        <v>-1.1520290635427725E-3</v>
      </c>
      <c r="R127" s="5">
        <f>EnergyLJ($A127,$C$2,$C$3,shape_factors!R$2,$C$4,shape_factors!R$3)</f>
        <v>-2.0943697217055842E-3</v>
      </c>
      <c r="S127" s="5">
        <f>EnergyLJ($A127,$C$2,$C$3,shape_factors!S$2,$C$4,shape_factors!S$3)</f>
        <v>-1.262477240368039E-3</v>
      </c>
      <c r="T127" s="5">
        <f>EnergyLJ($A127,$C$2,$C$3,shape_factors!T$2,$C$4,shape_factors!T$3)</f>
        <v>-1.0028558653903583E-3</v>
      </c>
      <c r="U127" s="5">
        <f>EnergyLJ($A127,$C$2,$C$3,shape_factors!U$2,$C$4,shape_factors!U$3)</f>
        <v>-2.0740127076197584E-3</v>
      </c>
    </row>
    <row r="128" spans="1:21" x14ac:dyDescent="0.25">
      <c r="A128">
        <v>26.2</v>
      </c>
      <c r="B128" s="5">
        <f>EnergyLJ($A128,$C$2,$C$3,shape_factors!B$2,$C$4,shape_factors!B$3)</f>
        <v>-5.869182739029661E-3</v>
      </c>
      <c r="C128" s="5">
        <f>EnergyLJ($A128,$C$2,$C$3,shape_factors!C$2,$C$4,shape_factors!C$3)</f>
        <v>-2.1554138452253109E-3</v>
      </c>
      <c r="D128" s="5">
        <f>EnergyLJ($A128,$C$2,$C$3,shape_factors!D$2,$C$4,shape_factors!D$3)</f>
        <v>-7.6097799296323699E-3</v>
      </c>
      <c r="E128" s="5">
        <f>EnergyLJ($A128,$C$2,$C$3,shape_factors!E$2,$C$4,shape_factors!E$3)</f>
        <v>-3.2207821833271141E-3</v>
      </c>
      <c r="F128" s="5">
        <f>EnergyLJ($A128,$C$2,$C$3,shape_factors!F$2,$C$4,shape_factors!F$3)</f>
        <v>-1.9655697484669363E-3</v>
      </c>
      <c r="G128" s="5">
        <f>EnergyLJ($A128,$C$2,$C$3,shape_factors!G$2,$C$4,shape_factors!G$3)</f>
        <v>-2.3705346221689701E-3</v>
      </c>
      <c r="H128" s="5">
        <f>EnergyLJ($A128,$C$2,$C$3,shape_factors!H$2,$C$4,shape_factors!H$3)</f>
        <v>-2.9579378754468057E-2</v>
      </c>
      <c r="I128" s="5">
        <f>EnergyLJ($A128,$C$2,$C$3,shape_factors!I$2,$C$4,shape_factors!I$3)</f>
        <v>-3.8151159911237746E-3</v>
      </c>
      <c r="J128" s="5">
        <f>EnergyLJ($A128,$C$2,$C$3,shape_factors!J$2,$C$4,shape_factors!J$3)</f>
        <v>-1.3235769373067046E-3</v>
      </c>
      <c r="K128" s="5">
        <f>EnergyLJ($A128,$C$2,$C$3,shape_factors!K$2,$C$4,shape_factors!K$3)</f>
        <v>-1.4794401701226044E-3</v>
      </c>
      <c r="L128" s="5">
        <f>EnergyLJ($A128,$C$2,$C$3,shape_factors!L$2,$C$4,shape_factors!L$3)</f>
        <v>-1.7942838133935522E-3</v>
      </c>
      <c r="M128" s="5">
        <f>EnergyLJ($A128,$C$2,$C$3,shape_factors!M$2,$C$4,shape_factors!M$3)</f>
        <v>-1.3573090211113966E-3</v>
      </c>
      <c r="N128" s="5">
        <f>EnergyLJ($A128,$C$2,$C$3,shape_factors!N$2,$C$4,shape_factors!N$3)</f>
        <v>-1.0553391049539797E-3</v>
      </c>
      <c r="O128" s="5">
        <f>EnergyLJ($A128,$C$2,$C$3,shape_factors!O$2,$C$4,shape_factors!O$3)</f>
        <v>-9.9462884808421571E-4</v>
      </c>
      <c r="P128" s="5">
        <f>EnergyLJ($A128,$C$2,$C$3,shape_factors!P$2,$C$4,shape_factors!P$3)</f>
        <v>-1.0743296468908794E-3</v>
      </c>
      <c r="Q128" s="5">
        <f>EnergyLJ($A128,$C$2,$C$3,shape_factors!Q$2,$C$4,shape_factors!Q$3)</f>
        <v>-1.1002731146959718E-3</v>
      </c>
      <c r="R128" s="5">
        <f>EnergyLJ($A128,$C$2,$C$3,shape_factors!R$2,$C$4,shape_factors!R$3)</f>
        <v>-2.0002960842262969E-3</v>
      </c>
      <c r="S128" s="5">
        <f>EnergyLJ($A128,$C$2,$C$3,shape_factors!S$2,$C$4,shape_factors!S$3)</f>
        <v>-1.2057605656439045E-3</v>
      </c>
      <c r="T128" s="5">
        <f>EnergyLJ($A128,$C$2,$C$3,shape_factors!T$2,$C$4,shape_factors!T$3)</f>
        <v>-9.5780030751146255E-4</v>
      </c>
      <c r="U128" s="5">
        <f>EnergyLJ($A128,$C$2,$C$3,shape_factors!U$2,$C$4,shape_factors!U$3)</f>
        <v>-1.980853072898422E-3</v>
      </c>
    </row>
    <row r="129" spans="1:21" x14ac:dyDescent="0.25">
      <c r="A129">
        <v>26.4</v>
      </c>
      <c r="B129" s="5">
        <f>EnergyLJ($A129,$C$2,$C$3,shape_factors!B$2,$C$4,shape_factors!B$3)</f>
        <v>-5.6077127739805428E-3</v>
      </c>
      <c r="C129" s="5">
        <f>EnergyLJ($A129,$C$2,$C$3,shape_factors!C$2,$C$4,shape_factors!C$3)</f>
        <v>-2.0593190361821319E-3</v>
      </c>
      <c r="D129" s="5">
        <f>EnergyLJ($A129,$C$2,$C$3,shape_factors!D$2,$C$4,shape_factors!D$3)</f>
        <v>-7.2708862436274479E-3</v>
      </c>
      <c r="E129" s="5">
        <f>EnergyLJ($A129,$C$2,$C$3,shape_factors!E$2,$C$4,shape_factors!E$3)</f>
        <v>-3.0772208485752434E-3</v>
      </c>
      <c r="F129" s="5">
        <f>EnergyLJ($A129,$C$2,$C$3,shape_factors!F$2,$C$4,shape_factors!F$3)</f>
        <v>-1.8779354118638944E-3</v>
      </c>
      <c r="G129" s="5">
        <f>EnergyLJ($A129,$C$2,$C$3,shape_factors!G$2,$C$4,shape_factors!G$3)</f>
        <v>-2.2648536581011285E-3</v>
      </c>
      <c r="H129" s="5">
        <f>EnergyLJ($A129,$C$2,$C$3,shape_factors!H$2,$C$4,shape_factors!H$3)</f>
        <v>-2.8268001729203237E-2</v>
      </c>
      <c r="I129" s="5">
        <f>EnergyLJ($A129,$C$2,$C$3,shape_factors!I$2,$C$4,shape_factors!I$3)</f>
        <v>-3.6450835143657201E-3</v>
      </c>
      <c r="J129" s="5">
        <f>EnergyLJ($A129,$C$2,$C$3,shape_factors!J$2,$C$4,shape_factors!J$3)</f>
        <v>-1.264558039741438E-3</v>
      </c>
      <c r="K129" s="5">
        <f>EnergyLJ($A129,$C$2,$C$3,shape_factors!K$2,$C$4,shape_factors!K$3)</f>
        <v>-1.4134733268707743E-3</v>
      </c>
      <c r="L129" s="5">
        <f>EnergyLJ($A129,$C$2,$C$3,shape_factors!L$2,$C$4,shape_factors!L$3)</f>
        <v>-1.7142834530231431E-3</v>
      </c>
      <c r="M129" s="5">
        <f>EnergyLJ($A129,$C$2,$C$3,shape_factors!M$2,$C$4,shape_factors!M$3)</f>
        <v>-1.2967864049307112E-3</v>
      </c>
      <c r="N129" s="5">
        <f>EnergyLJ($A129,$C$2,$C$3,shape_factors!N$2,$C$4,shape_factors!N$3)</f>
        <v>-1.0082785175522893E-3</v>
      </c>
      <c r="O129" s="5">
        <f>EnergyLJ($A129,$C$2,$C$3,shape_factors!O$2,$C$4,shape_factors!O$3)</f>
        <v>-9.5027496353487697E-4</v>
      </c>
      <c r="P129" s="5">
        <f>EnergyLJ($A129,$C$2,$C$3,shape_factors!P$2,$C$4,shape_factors!P$3)</f>
        <v>-1.0264223997486052E-3</v>
      </c>
      <c r="Q129" s="5">
        <f>EnergyLJ($A129,$C$2,$C$3,shape_factors!Q$2,$C$4,shape_factors!Q$3)</f>
        <v>-1.0512092343550022E-3</v>
      </c>
      <c r="R129" s="5">
        <f>EnergyLJ($A129,$C$2,$C$3,shape_factors!R$2,$C$4,shape_factors!R$3)</f>
        <v>-1.9111141072692883E-3</v>
      </c>
      <c r="S129" s="5">
        <f>EnergyLJ($A129,$C$2,$C$3,shape_factors!S$2,$C$4,shape_factors!S$3)</f>
        <v>-1.1519938805694993E-3</v>
      </c>
      <c r="T129" s="5">
        <f>EnergyLJ($A129,$C$2,$C$3,shape_factors!T$2,$C$4,shape_factors!T$3)</f>
        <v>-9.1508841684882368E-4</v>
      </c>
      <c r="U129" s="5">
        <f>EnergyLJ($A129,$C$2,$C$3,shape_factors!U$2,$C$4,shape_factors!U$3)</f>
        <v>-1.8925376053402605E-3</v>
      </c>
    </row>
    <row r="130" spans="1:21" x14ac:dyDescent="0.25">
      <c r="A130">
        <v>26.6</v>
      </c>
      <c r="B130" s="5">
        <f>EnergyLJ($A130,$C$2,$C$3,shape_factors!B$2,$C$4,shape_factors!B$3)</f>
        <v>-5.3597212987004641E-3</v>
      </c>
      <c r="C130" s="5">
        <f>EnergyLJ($A130,$C$2,$C$3,shape_factors!C$2,$C$4,shape_factors!C$3)</f>
        <v>-1.9681840187603873E-3</v>
      </c>
      <c r="D130" s="5">
        <f>EnergyLJ($A130,$C$2,$C$3,shape_factors!D$2,$C$4,shape_factors!D$3)</f>
        <v>-6.9494518563141287E-3</v>
      </c>
      <c r="E130" s="5">
        <f>EnergyLJ($A130,$C$2,$C$3,shape_factors!E$2,$C$4,shape_factors!E$3)</f>
        <v>-2.9410665631607793E-3</v>
      </c>
      <c r="F130" s="5">
        <f>EnergyLJ($A130,$C$2,$C$3,shape_factors!F$2,$C$4,shape_factors!F$3)</f>
        <v>-1.7948244808759992E-3</v>
      </c>
      <c r="G130" s="5">
        <f>EnergyLJ($A130,$C$2,$C$3,shape_factors!G$2,$C$4,shape_factors!G$3)</f>
        <v>-2.1646268661687962E-3</v>
      </c>
      <c r="H130" s="5">
        <f>EnergyLJ($A130,$C$2,$C$3,shape_factors!H$2,$C$4,shape_factors!H$3)</f>
        <v>-2.7023674316760199E-2</v>
      </c>
      <c r="I130" s="5">
        <f>EnergyLJ($A130,$C$2,$C$3,shape_factors!I$2,$C$4,shape_factors!I$3)</f>
        <v>-3.4838221086281895E-3</v>
      </c>
      <c r="J130" s="5">
        <f>EnergyLJ($A130,$C$2,$C$3,shape_factors!J$2,$C$4,shape_factors!J$3)</f>
        <v>-1.2085861672248279E-3</v>
      </c>
      <c r="K130" s="5">
        <f>EnergyLJ($A130,$C$2,$C$3,shape_factors!K$2,$C$4,shape_factors!K$3)</f>
        <v>-1.3509120385775098E-3</v>
      </c>
      <c r="L130" s="5">
        <f>EnergyLJ($A130,$C$2,$C$3,shape_factors!L$2,$C$4,shape_factors!L$3)</f>
        <v>-1.6384126945060144E-3</v>
      </c>
      <c r="M130" s="5">
        <f>EnergyLJ($A130,$C$2,$C$3,shape_factors!M$2,$C$4,shape_factors!M$3)</f>
        <v>-1.2393884123118397E-3</v>
      </c>
      <c r="N130" s="5">
        <f>EnergyLJ($A130,$C$2,$C$3,shape_factors!N$2,$C$4,shape_factors!N$3)</f>
        <v>-9.6364779096713737E-4</v>
      </c>
      <c r="O130" s="5">
        <f>EnergyLJ($A130,$C$2,$C$3,shape_factors!O$2,$C$4,shape_factors!O$3)</f>
        <v>-9.0821123235745871E-4</v>
      </c>
      <c r="P130" s="5">
        <f>EnergyLJ($A130,$C$2,$C$3,shape_factors!P$2,$C$4,shape_factors!P$3)</f>
        <v>-9.8098871290012838E-4</v>
      </c>
      <c r="Q130" s="5">
        <f>EnergyLJ($A130,$C$2,$C$3,shape_factors!Q$2,$C$4,shape_factors!Q$3)</f>
        <v>-1.0046786118465252E-3</v>
      </c>
      <c r="R130" s="5">
        <f>EnergyLJ($A130,$C$2,$C$3,shape_factors!R$2,$C$4,shape_factors!R$3)</f>
        <v>-1.8265353664464793E-3</v>
      </c>
      <c r="S130" s="5">
        <f>EnergyLJ($A130,$C$2,$C$3,shape_factors!S$2,$C$4,shape_factors!S$3)</f>
        <v>-1.1010031693948158E-3</v>
      </c>
      <c r="T130" s="5">
        <f>EnergyLJ($A130,$C$2,$C$3,shape_factors!T$2,$C$4,shape_factors!T$3)</f>
        <v>-8.7458192467237831E-4</v>
      </c>
      <c r="U130" s="5">
        <f>EnergyLJ($A130,$C$2,$C$3,shape_factors!U$2,$C$4,shape_factors!U$3)</f>
        <v>-1.8087806777835128E-3</v>
      </c>
    </row>
    <row r="131" spans="1:21" x14ac:dyDescent="0.25">
      <c r="A131">
        <v>26.8</v>
      </c>
      <c r="B131" s="5">
        <f>EnergyLJ($A131,$C$2,$C$3,shape_factors!B$2,$C$4,shape_factors!B$3)</f>
        <v>-5.1244210029055643E-3</v>
      </c>
      <c r="C131" s="5">
        <f>EnergyLJ($A131,$C$2,$C$3,shape_factors!C$2,$C$4,shape_factors!C$3)</f>
        <v>-1.8817185026118791E-3</v>
      </c>
      <c r="D131" s="5">
        <f>EnergyLJ($A131,$C$2,$C$3,shape_factors!D$2,$C$4,shape_factors!D$3)</f>
        <v>-6.6444578863954357E-3</v>
      </c>
      <c r="E131" s="5">
        <f>EnergyLJ($A131,$C$2,$C$3,shape_factors!E$2,$C$4,shape_factors!E$3)</f>
        <v>-2.8118860485057719E-3</v>
      </c>
      <c r="F131" s="5">
        <f>EnergyLJ($A131,$C$2,$C$3,shape_factors!F$2,$C$4,shape_factors!F$3)</f>
        <v>-1.7159721794658765E-3</v>
      </c>
      <c r="G131" s="5">
        <f>EnergyLJ($A131,$C$2,$C$3,shape_factors!G$2,$C$4,shape_factors!G$3)</f>
        <v>-2.0695350572031254E-3</v>
      </c>
      <c r="H131" s="5">
        <f>EnergyLJ($A131,$C$2,$C$3,shape_factors!H$2,$C$4,shape_factors!H$3)</f>
        <v>-2.5842531160375791E-2</v>
      </c>
      <c r="I131" s="5">
        <f>EnergyLJ($A131,$C$2,$C$3,shape_factors!I$2,$C$4,shape_factors!I$3)</f>
        <v>-3.3308188695054422E-3</v>
      </c>
      <c r="J131" s="5">
        <f>EnergyLJ($A131,$C$2,$C$3,shape_factors!J$2,$C$4,shape_factors!J$3)</f>
        <v>-1.1554829021359402E-3</v>
      </c>
      <c r="K131" s="5">
        <f>EnergyLJ($A131,$C$2,$C$3,shape_factors!K$2,$C$4,shape_factors!K$3)</f>
        <v>-1.2915569105643419E-3</v>
      </c>
      <c r="L131" s="5">
        <f>EnergyLJ($A131,$C$2,$C$3,shape_factors!L$2,$C$4,shape_factors!L$3)</f>
        <v>-1.566429790899405E-3</v>
      </c>
      <c r="M131" s="5">
        <f>EnergyLJ($A131,$C$2,$C$3,shape_factors!M$2,$C$4,shape_factors!M$3)</f>
        <v>-1.1849320851628929E-3</v>
      </c>
      <c r="N131" s="5">
        <f>EnergyLJ($A131,$C$2,$C$3,shape_factors!N$2,$C$4,shape_factors!N$3)</f>
        <v>-9.2130462512462661E-4</v>
      </c>
      <c r="O131" s="5">
        <f>EnergyLJ($A131,$C$2,$C$3,shape_factors!O$2,$C$4,shape_factors!O$3)</f>
        <v>-8.6830353184050746E-4</v>
      </c>
      <c r="P131" s="5">
        <f>EnergyLJ($A131,$C$2,$C$3,shape_factors!P$2,$C$4,shape_factors!P$3)</f>
        <v>-9.3788372856047967E-4</v>
      </c>
      <c r="Q131" s="5">
        <f>EnergyLJ($A131,$C$2,$C$3,shape_factors!Q$2,$C$4,shape_factors!Q$3)</f>
        <v>-9.6053289539877102E-4</v>
      </c>
      <c r="R131" s="5">
        <f>EnergyLJ($A131,$C$2,$C$3,shape_factors!R$2,$C$4,shape_factors!R$3)</f>
        <v>-1.7462904178579416E-3</v>
      </c>
      <c r="S131" s="5">
        <f>EnergyLJ($A131,$C$2,$C$3,shape_factors!S$2,$C$4,shape_factors!S$3)</f>
        <v>-1.0526258756203457E-3</v>
      </c>
      <c r="T131" s="5">
        <f>EnergyLJ($A131,$C$2,$C$3,shape_factors!T$2,$C$4,shape_factors!T$3)</f>
        <v>-8.3615166940543672E-4</v>
      </c>
      <c r="U131" s="5">
        <f>EnergyLJ($A131,$C$2,$C$3,shape_factors!U$2,$C$4,shape_factors!U$3)</f>
        <v>-1.7293154597861054E-3</v>
      </c>
    </row>
    <row r="132" spans="1:21" x14ac:dyDescent="0.25">
      <c r="A132">
        <v>27</v>
      </c>
      <c r="B132" s="5">
        <f>EnergyLJ($A132,$C$2,$C$3,shape_factors!B$2,$C$4,shape_factors!B$3)</f>
        <v>-4.901075852175904E-3</v>
      </c>
      <c r="C132" s="5">
        <f>EnergyLJ($A132,$C$2,$C$3,shape_factors!C$2,$C$4,shape_factors!C$3)</f>
        <v>-1.7996511608335155E-3</v>
      </c>
      <c r="D132" s="5">
        <f>EnergyLJ($A132,$C$2,$C$3,shape_factors!D$2,$C$4,shape_factors!D$3)</f>
        <v>-6.3549517148974513E-3</v>
      </c>
      <c r="E132" s="5">
        <f>EnergyLJ($A132,$C$2,$C$3,shape_factors!E$2,$C$4,shape_factors!E$3)</f>
        <v>-2.6892743057968316E-3</v>
      </c>
      <c r="F132" s="5">
        <f>EnergyLJ($A132,$C$2,$C$3,shape_factors!F$2,$C$4,shape_factors!F$3)</f>
        <v>-1.6411310309616871E-3</v>
      </c>
      <c r="G132" s="5">
        <f>EnergyLJ($A132,$C$2,$C$3,shape_factors!G$2,$C$4,shape_factors!G$3)</f>
        <v>-1.979279889678884E-3</v>
      </c>
      <c r="H132" s="5">
        <f>EnergyLJ($A132,$C$2,$C$3,shape_factors!H$2,$C$4,shape_factors!H$3)</f>
        <v>-2.4720953553850192E-2</v>
      </c>
      <c r="I132" s="5">
        <f>EnergyLJ($A132,$C$2,$C$3,shape_factors!I$2,$C$4,shape_factors!I$3)</f>
        <v>-3.1855943532547058E-3</v>
      </c>
      <c r="J132" s="5">
        <f>EnergyLJ($A132,$C$2,$C$3,shape_factors!J$2,$C$4,shape_factors!J$3)</f>
        <v>-1.1050814899798026E-3</v>
      </c>
      <c r="K132" s="5">
        <f>EnergyLJ($A132,$C$2,$C$3,shape_factors!K$2,$C$4,shape_factors!K$3)</f>
        <v>-1.2352215809018977E-3</v>
      </c>
      <c r="L132" s="5">
        <f>EnergyLJ($A132,$C$2,$C$3,shape_factors!L$2,$C$4,shape_factors!L$3)</f>
        <v>-1.4981087921931715E-3</v>
      </c>
      <c r="M132" s="5">
        <f>EnergyLJ($A132,$C$2,$C$3,shape_factors!M$2,$C$4,shape_factors!M$3)</f>
        <v>-1.1332464250014304E-3</v>
      </c>
      <c r="N132" s="5">
        <f>EnergyLJ($A132,$C$2,$C$3,shape_factors!N$2,$C$4,shape_factors!N$3)</f>
        <v>-8.8111602409644721E-4</v>
      </c>
      <c r="O132" s="5">
        <f>EnergyLJ($A132,$C$2,$C$3,shape_factors!O$2,$C$4,shape_factors!O$3)</f>
        <v>-8.3042650917965546E-4</v>
      </c>
      <c r="P132" s="5">
        <f>EnergyLJ($A132,$C$2,$C$3,shape_factors!P$2,$C$4,shape_factors!P$3)</f>
        <v>-8.9697206017831795E-4</v>
      </c>
      <c r="Q132" s="5">
        <f>EnergyLJ($A132,$C$2,$C$3,shape_factors!Q$2,$C$4,shape_factors!Q$3)</f>
        <v>-9.1863343271756954E-4</v>
      </c>
      <c r="R132" s="5">
        <f>EnergyLJ($A132,$C$2,$C$3,shape_factors!R$2,$C$4,shape_factors!R$3)</f>
        <v>-1.670127421452456E-3</v>
      </c>
      <c r="S132" s="5">
        <f>EnergyLJ($A132,$C$2,$C$3,shape_factors!S$2,$C$4,shape_factors!S$3)</f>
        <v>-1.0067100700462055E-3</v>
      </c>
      <c r="T132" s="5">
        <f>EnergyLJ($A132,$C$2,$C$3,shape_factors!T$2,$C$4,shape_factors!T$3)</f>
        <v>-7.9967693523491515E-4</v>
      </c>
      <c r="U132" s="5">
        <f>EnergyLJ($A132,$C$2,$C$3,shape_factors!U$2,$C$4,shape_factors!U$3)</f>
        <v>-1.6538925542817851E-3</v>
      </c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32"/>
  <sheetViews>
    <sheetView workbookViewId="0">
      <selection activeCell="C3" sqref="C3"/>
    </sheetView>
  </sheetViews>
  <sheetFormatPr defaultRowHeight="15" x14ac:dyDescent="0.25"/>
  <cols>
    <col min="2" max="2" width="12.140625" style="5" bestFit="1" customWidth="1"/>
    <col min="3" max="3" width="10.5703125" style="5" bestFit="1" customWidth="1"/>
    <col min="4" max="4" width="12.5703125" style="5" bestFit="1" customWidth="1"/>
    <col min="5" max="5" width="11.5703125" style="5" bestFit="1" customWidth="1"/>
    <col min="6" max="6" width="10.5703125" style="5" bestFit="1" customWidth="1"/>
    <col min="7" max="7" width="11.5703125" style="5" bestFit="1" customWidth="1"/>
    <col min="8" max="8" width="13.7109375" style="5" bestFit="1" customWidth="1"/>
    <col min="9" max="9" width="11.5703125" style="5" bestFit="1" customWidth="1"/>
    <col min="10" max="21" width="10.5703125" style="5" bestFit="1" customWidth="1"/>
  </cols>
  <sheetData>
    <row r="1" spans="1:21" x14ac:dyDescent="0.25">
      <c r="B1" s="5" t="s">
        <v>29</v>
      </c>
      <c r="C1" s="5" t="str">
        <f>shape_factors!E1</f>
        <v>Ile</v>
      </c>
    </row>
    <row r="2" spans="1:21" x14ac:dyDescent="0.25">
      <c r="B2" s="5" t="s">
        <v>4</v>
      </c>
      <c r="C2" s="5">
        <f>interaction_energies!B7</f>
        <v>1.3</v>
      </c>
    </row>
    <row r="3" spans="1:21" x14ac:dyDescent="0.25">
      <c r="B3" s="5" t="s">
        <v>5</v>
      </c>
      <c r="C3" s="5">
        <f>shape_factors!E2</f>
        <v>2.5918999999999999</v>
      </c>
    </row>
    <row r="4" spans="1:21" x14ac:dyDescent="0.25">
      <c r="B4" s="5" t="s">
        <v>6</v>
      </c>
      <c r="C4" s="5">
        <f>shape_factors!E3</f>
        <v>4.4859</v>
      </c>
    </row>
    <row r="6" spans="1:21" x14ac:dyDescent="0.25">
      <c r="A6" t="s">
        <v>3</v>
      </c>
      <c r="B6" s="6" t="str">
        <f>interaction_energies!B3</f>
        <v>Cys</v>
      </c>
      <c r="C6" s="6" t="str">
        <f>interaction_energies!C3</f>
        <v>Met</v>
      </c>
      <c r="D6" s="6" t="str">
        <f>interaction_energies!D3</f>
        <v>Phe</v>
      </c>
      <c r="E6" s="6" t="str">
        <f>interaction_energies!E3</f>
        <v>Ile</v>
      </c>
      <c r="F6" s="6" t="str">
        <f>interaction_energies!F3</f>
        <v>Leu</v>
      </c>
      <c r="G6" s="6" t="str">
        <f>interaction_energies!G3</f>
        <v>Val</v>
      </c>
      <c r="H6" s="6" t="str">
        <f>interaction_energies!H3</f>
        <v>Trp</v>
      </c>
      <c r="I6" s="6" t="str">
        <f>interaction_energies!I3</f>
        <v>Tyr</v>
      </c>
      <c r="J6" s="6" t="str">
        <f>interaction_energies!J3</f>
        <v>Ala</v>
      </c>
      <c r="K6" s="6" t="str">
        <f>interaction_energies!K3</f>
        <v>Gly</v>
      </c>
      <c r="L6" s="6" t="str">
        <f>interaction_energies!L3</f>
        <v>Thr</v>
      </c>
      <c r="M6" s="6" t="str">
        <f>interaction_energies!M3</f>
        <v>Ser</v>
      </c>
      <c r="N6" s="6" t="str">
        <f>interaction_energies!N3</f>
        <v>Gln</v>
      </c>
      <c r="O6" s="6" t="str">
        <f>interaction_energies!O3</f>
        <v>Asn</v>
      </c>
      <c r="P6" s="6" t="str">
        <f>interaction_energies!P3</f>
        <v>Glu</v>
      </c>
      <c r="Q6" s="6" t="str">
        <f>interaction_energies!Q3</f>
        <v>Asp</v>
      </c>
      <c r="R6" s="6" t="str">
        <f>interaction_energies!R3</f>
        <v>His</v>
      </c>
      <c r="S6" s="6" t="str">
        <f>interaction_energies!S3</f>
        <v>Arg</v>
      </c>
      <c r="T6" s="6" t="str">
        <f>interaction_energies!T3</f>
        <v>Lys</v>
      </c>
      <c r="U6" s="6" t="str">
        <f>interaction_energies!U3</f>
        <v>Pro</v>
      </c>
    </row>
    <row r="7" spans="1:21" x14ac:dyDescent="0.25">
      <c r="A7">
        <v>2</v>
      </c>
      <c r="B7" s="5">
        <f>EnergyLJ($A7,$C$2,$C$3,shape_factors!B$2,$C$4,shape_factors!B$3)</f>
        <v>30119130.974924564</v>
      </c>
      <c r="C7" s="5">
        <f>EnergyLJ($A7,$C$2,$C$3,shape_factors!C$2,$C$4,shape_factors!C$3)</f>
        <v>1546342.9279501224</v>
      </c>
      <c r="D7" s="5">
        <f>EnergyLJ($A7,$C$2,$C$3,shape_factors!D$2,$C$4,shape_factors!D$3)</f>
        <v>60873613.038323954</v>
      </c>
      <c r="E7" s="5">
        <f>EnergyLJ($A7,$C$2,$C$3,shape_factors!E$2,$C$4,shape_factors!E$3)</f>
        <v>5390038.3636907171</v>
      </c>
      <c r="F7" s="5">
        <f>EnergyLJ($A7,$C$2,$C$3,shape_factors!F$2,$C$4,shape_factors!F$3)</f>
        <v>1144772.3452308755</v>
      </c>
      <c r="G7" s="5">
        <f>EnergyLJ($A7,$C$2,$C$3,shape_factors!G$2,$C$4,shape_factors!G$3)</f>
        <v>2096422.4449628354</v>
      </c>
      <c r="H7" s="5">
        <f>EnergyLJ($A7,$C$2,$C$3,shape_factors!H$2,$C$4,shape_factors!H$3)</f>
        <v>1845537998.8107924</v>
      </c>
      <c r="I7" s="5">
        <f>EnergyLJ($A7,$C$2,$C$3,shape_factors!I$2,$C$4,shape_factors!I$3)</f>
        <v>8895329.0339086391</v>
      </c>
      <c r="J7" s="5">
        <f>EnergyLJ($A7,$C$2,$C$3,shape_factors!J$2,$C$4,shape_factors!J$3)</f>
        <v>292533.43982072617</v>
      </c>
      <c r="K7" s="5">
        <f>EnergyLJ($A7,$C$2,$C$3,shape_factors!K$2,$C$4,shape_factors!K$3)</f>
        <v>435392.99875075824</v>
      </c>
      <c r="L7" s="5">
        <f>EnergyLJ($A7,$C$2,$C$3,shape_factors!L$2,$C$4,shape_factors!L$3)</f>
        <v>845274.63937306963</v>
      </c>
      <c r="M7" s="5">
        <f>EnergyLJ($A7,$C$2,$C$3,shape_factors!M$2,$C$4,shape_factors!M$3)</f>
        <v>320379.74536288885</v>
      </c>
      <c r="N7" s="5">
        <f>EnergyLJ($A7,$C$2,$C$3,shape_factors!N$2,$C$4,shape_factors!N$3)</f>
        <v>125241.84927979189</v>
      </c>
      <c r="O7" s="5">
        <f>EnergyLJ($A7,$C$2,$C$3,shape_factors!O$2,$C$4,shape_factors!O$3)</f>
        <v>99331.790759711381</v>
      </c>
      <c r="P7" s="5">
        <f>EnergyLJ($A7,$C$2,$C$3,shape_factors!P$2,$C$4,shape_factors!P$3)</f>
        <v>134177.38830550999</v>
      </c>
      <c r="Q7" s="5">
        <f>EnergyLJ($A7,$C$2,$C$3,shape_factors!Q$2,$C$4,shape_factors!Q$3)</f>
        <v>147049.48591982454</v>
      </c>
      <c r="R7" s="5">
        <f>EnergyLJ($A7,$C$2,$C$3,shape_factors!R$2,$C$4,shape_factors!R$3)</f>
        <v>1212606.9101289667</v>
      </c>
      <c r="S7" s="5">
        <f>EnergyLJ($A7,$C$2,$C$3,shape_factors!S$2,$C$4,shape_factors!S$3)</f>
        <v>207713.56119773505</v>
      </c>
      <c r="T7" s="5">
        <f>EnergyLJ($A7,$C$2,$C$3,shape_factors!T$2,$C$4,shape_factors!T$3)</f>
        <v>85498.418800730782</v>
      </c>
      <c r="U7" s="5">
        <f>EnergyLJ($A7,$C$2,$C$3,shape_factors!U$2,$C$4,shape_factors!U$3)</f>
        <v>1174323.6864631274</v>
      </c>
    </row>
    <row r="8" spans="1:21" x14ac:dyDescent="0.25">
      <c r="A8">
        <v>2.2000000000000002</v>
      </c>
      <c r="B8" s="5">
        <f>EnergyLJ($A8,$C$2,$C$3,shape_factors!B$2,$C$4,shape_factors!B$3)</f>
        <v>9593806.0218731202</v>
      </c>
      <c r="C8" s="5">
        <f>EnergyLJ($A8,$C$2,$C$3,shape_factors!C$2,$C$4,shape_factors!C$3)</f>
        <v>492014.74395250803</v>
      </c>
      <c r="D8" s="5">
        <f>EnergyLJ($A8,$C$2,$C$3,shape_factors!D$2,$C$4,shape_factors!D$3)</f>
        <v>19391834.505687919</v>
      </c>
      <c r="E8" s="5">
        <f>EnergyLJ($A8,$C$2,$C$3,shape_factors!E$2,$C$4,shape_factors!E$3)</f>
        <v>1716130.1575812572</v>
      </c>
      <c r="F8" s="5">
        <f>EnergyLJ($A8,$C$2,$C$3,shape_factors!F$2,$C$4,shape_factors!F$3)</f>
        <v>364159.29121390352</v>
      </c>
      <c r="G8" s="5">
        <f>EnergyLJ($A8,$C$2,$C$3,shape_factors!G$2,$C$4,shape_factors!G$3)</f>
        <v>667172.45178566978</v>
      </c>
      <c r="H8" s="5">
        <f>EnergyLJ($A8,$C$2,$C$3,shape_factors!H$2,$C$4,shape_factors!H$3)</f>
        <v>588021197.44809163</v>
      </c>
      <c r="I8" s="5">
        <f>EnergyLJ($A8,$C$2,$C$3,shape_factors!I$2,$C$4,shape_factors!I$3)</f>
        <v>2832653.3074203036</v>
      </c>
      <c r="J8" s="5">
        <f>EnergyLJ($A8,$C$2,$C$3,shape_factors!J$2,$C$4,shape_factors!J$3)</f>
        <v>92906.316510085453</v>
      </c>
      <c r="K8" s="5">
        <f>EnergyLJ($A8,$C$2,$C$3,shape_factors!K$2,$C$4,shape_factors!K$3)</f>
        <v>138359.07375440837</v>
      </c>
      <c r="L8" s="5">
        <f>EnergyLJ($A8,$C$2,$C$3,shape_factors!L$2,$C$4,shape_factors!L$3)</f>
        <v>268814.49306590308</v>
      </c>
      <c r="M8" s="5">
        <f>EnergyLJ($A8,$C$2,$C$3,shape_factors!M$2,$C$4,shape_factors!M$3)</f>
        <v>101764.90420812693</v>
      </c>
      <c r="N8" s="5">
        <f>EnergyLJ($A8,$C$2,$C$3,shape_factors!N$2,$C$4,shape_factors!N$3)</f>
        <v>39706.875921739775</v>
      </c>
      <c r="O8" s="5">
        <f>EnergyLJ($A8,$C$2,$C$3,shape_factors!O$2,$C$4,shape_factors!O$3)</f>
        <v>31472.842670075428</v>
      </c>
      <c r="P8" s="5">
        <f>EnergyLJ($A8,$C$2,$C$3,shape_factors!P$2,$C$4,shape_factors!P$3)</f>
        <v>42547.058555592026</v>
      </c>
      <c r="Q8" s="5">
        <f>EnergyLJ($A8,$C$2,$C$3,shape_factors!Q$2,$C$4,shape_factors!Q$3)</f>
        <v>46638.881060308697</v>
      </c>
      <c r="R8" s="5">
        <f>EnergyLJ($A8,$C$2,$C$3,shape_factors!R$2,$C$4,shape_factors!R$3)</f>
        <v>385755.95846653159</v>
      </c>
      <c r="S8" s="5">
        <f>EnergyLJ($A8,$C$2,$C$3,shape_factors!S$2,$C$4,shape_factors!S$3)</f>
        <v>65927.801133663204</v>
      </c>
      <c r="T8" s="5">
        <f>EnergyLJ($A8,$C$2,$C$3,shape_factors!T$2,$C$4,shape_factors!T$3)</f>
        <v>27077.868085474682</v>
      </c>
      <c r="U8" s="5">
        <f>EnergyLJ($A8,$C$2,$C$3,shape_factors!U$2,$C$4,shape_factors!U$3)</f>
        <v>373567.56667111209</v>
      </c>
    </row>
    <row r="9" spans="1:21" x14ac:dyDescent="0.25">
      <c r="A9">
        <v>2.4</v>
      </c>
      <c r="B9" s="5">
        <f>EnergyLJ($A9,$C$2,$C$3,shape_factors!B$2,$C$4,shape_factors!B$3)</f>
        <v>3375272.8394516576</v>
      </c>
      <c r="C9" s="5">
        <f>EnergyLJ($A9,$C$2,$C$3,shape_factors!C$2,$C$4,shape_factors!C$3)</f>
        <v>172800.4512866626</v>
      </c>
      <c r="D9" s="5">
        <f>EnergyLJ($A9,$C$2,$C$3,shape_factors!D$2,$C$4,shape_factors!D$3)</f>
        <v>6823417.2883593217</v>
      </c>
      <c r="E9" s="5">
        <f>EnergyLJ($A9,$C$2,$C$3,shape_factors!E$2,$C$4,shape_factors!E$3)</f>
        <v>603348.86310629023</v>
      </c>
      <c r="F9" s="5">
        <f>EnergyLJ($A9,$C$2,$C$3,shape_factors!F$2,$C$4,shape_factors!F$3)</f>
        <v>127849.80424653841</v>
      </c>
      <c r="G9" s="5">
        <f>EnergyLJ($A9,$C$2,$C$3,shape_factors!G$2,$C$4,shape_factors!G$3)</f>
        <v>234391.71820117245</v>
      </c>
      <c r="H9" s="5">
        <f>EnergyLJ($A9,$C$2,$C$3,shape_factors!H$2,$C$4,shape_factors!H$3)</f>
        <v>206967547.18243447</v>
      </c>
      <c r="I9" s="5">
        <f>EnergyLJ($A9,$C$2,$C$3,shape_factors!I$2,$C$4,shape_factors!I$3)</f>
        <v>996154.87013151031</v>
      </c>
      <c r="J9" s="5">
        <f>EnergyLJ($A9,$C$2,$C$3,shape_factors!J$2,$C$4,shape_factors!J$3)</f>
        <v>32534.272319425068</v>
      </c>
      <c r="K9" s="5">
        <f>EnergyLJ($A9,$C$2,$C$3,shape_factors!K$2,$C$4,shape_factors!K$3)</f>
        <v>48496.48957166633</v>
      </c>
      <c r="L9" s="5">
        <f>EnergyLJ($A9,$C$2,$C$3,shape_factors!L$2,$C$4,shape_factors!L$3)</f>
        <v>94335.613102984134</v>
      </c>
      <c r="M9" s="5">
        <f>EnergyLJ($A9,$C$2,$C$3,shape_factors!M$2,$C$4,shape_factors!M$3)</f>
        <v>35644.642682255871</v>
      </c>
      <c r="N9" s="5">
        <f>EnergyLJ($A9,$C$2,$C$3,shape_factors!N$2,$C$4,shape_factors!N$3)</f>
        <v>13866.373358054143</v>
      </c>
      <c r="O9" s="5">
        <f>EnergyLJ($A9,$C$2,$C$3,shape_factors!O$2,$C$4,shape_factors!O$3)</f>
        <v>10980.05768078152</v>
      </c>
      <c r="P9" s="5">
        <f>EnergyLJ($A9,$C$2,$C$3,shape_factors!P$2,$C$4,shape_factors!P$3)</f>
        <v>14862.251654584383</v>
      </c>
      <c r="Q9" s="5">
        <f>EnergyLJ($A9,$C$2,$C$3,shape_factors!Q$2,$C$4,shape_factors!Q$3)</f>
        <v>16297.222988628926</v>
      </c>
      <c r="R9" s="5">
        <f>EnergyLJ($A9,$C$2,$C$3,shape_factors!R$2,$C$4,shape_factors!R$3)</f>
        <v>135442.03243195533</v>
      </c>
      <c r="S9" s="5">
        <f>EnergyLJ($A9,$C$2,$C$3,shape_factors!S$2,$C$4,shape_factors!S$3)</f>
        <v>23064.386910066973</v>
      </c>
      <c r="T9" s="5">
        <f>EnergyLJ($A9,$C$2,$C$3,shape_factors!T$2,$C$4,shape_factors!T$3)</f>
        <v>9440.1175600485458</v>
      </c>
      <c r="U9" s="5">
        <f>EnergyLJ($A9,$C$2,$C$3,shape_factors!U$2,$C$4,shape_factors!U$3)</f>
        <v>131157.21412701311</v>
      </c>
    </row>
    <row r="10" spans="1:21" x14ac:dyDescent="0.25">
      <c r="A10">
        <v>2.6</v>
      </c>
      <c r="B10" s="5">
        <f>EnergyLJ($A10,$C$2,$C$3,shape_factors!B$2,$C$4,shape_factors!B$3)</f>
        <v>1290716.7790681315</v>
      </c>
      <c r="C10" s="5">
        <f>EnergyLJ($A10,$C$2,$C$3,shape_factors!C$2,$C$4,shape_factors!C$3)</f>
        <v>65905.907111453314</v>
      </c>
      <c r="D10" s="5">
        <f>EnergyLJ($A10,$C$2,$C$3,shape_factors!D$2,$C$4,shape_factors!D$3)</f>
        <v>2609893.3678130209</v>
      </c>
      <c r="E10" s="5">
        <f>EnergyLJ($A10,$C$2,$C$3,shape_factors!E$2,$C$4,shape_factors!E$3)</f>
        <v>230481.11546944527</v>
      </c>
      <c r="F10" s="5">
        <f>EnergyLJ($A10,$C$2,$C$3,shape_factors!F$2,$C$4,shape_factors!F$3)</f>
        <v>48734.717250922564</v>
      </c>
      <c r="G10" s="5">
        <f>EnergyLJ($A10,$C$2,$C$3,shape_factors!G$2,$C$4,shape_factors!G$3)</f>
        <v>89439.857583907666</v>
      </c>
      <c r="H10" s="5">
        <f>EnergyLJ($A10,$C$2,$C$3,shape_factors!H$2,$C$4,shape_factors!H$3)</f>
        <v>79198058.232198492</v>
      </c>
      <c r="I10" s="5">
        <f>EnergyLJ($A10,$C$2,$C$3,shape_factors!I$2,$C$4,shape_factors!I$3)</f>
        <v>380687.61076500377</v>
      </c>
      <c r="J10" s="5">
        <f>EnergyLJ($A10,$C$2,$C$3,shape_factors!J$2,$C$4,shape_factors!J$3)</f>
        <v>12353.103254058249</v>
      </c>
      <c r="K10" s="5">
        <f>EnergyLJ($A10,$C$2,$C$3,shape_factors!K$2,$C$4,shape_factors!K$3)</f>
        <v>18440.354153942259</v>
      </c>
      <c r="L10" s="5">
        <f>EnergyLJ($A10,$C$2,$C$3,shape_factors!L$2,$C$4,shape_factors!L$3)</f>
        <v>35936.072354268275</v>
      </c>
      <c r="M10" s="5">
        <f>EnergyLJ($A10,$C$2,$C$3,shape_factors!M$2,$C$4,shape_factors!M$3)</f>
        <v>13538.899034932918</v>
      </c>
      <c r="N10" s="5">
        <f>EnergyLJ($A10,$C$2,$C$3,shape_factors!N$2,$C$4,shape_factors!N$3)</f>
        <v>5242.6466644893362</v>
      </c>
      <c r="O10" s="5">
        <f>EnergyLJ($A10,$C$2,$C$3,shape_factors!O$2,$C$4,shape_factors!O$3)</f>
        <v>4145.040529246573</v>
      </c>
      <c r="P10" s="5">
        <f>EnergyLJ($A10,$C$2,$C$3,shape_factors!P$2,$C$4,shape_factors!P$3)</f>
        <v>5621.5305798543659</v>
      </c>
      <c r="Q10" s="5">
        <f>EnergyLJ($A10,$C$2,$C$3,shape_factors!Q$2,$C$4,shape_factors!Q$3)</f>
        <v>6167.5961574005923</v>
      </c>
      <c r="R10" s="5">
        <f>EnergyLJ($A10,$C$2,$C$3,shape_factors!R$2,$C$4,shape_factors!R$3)</f>
        <v>51634.608601283246</v>
      </c>
      <c r="S10" s="5">
        <f>EnergyLJ($A10,$C$2,$C$3,shape_factors!S$2,$C$4,shape_factors!S$3)</f>
        <v>8744.3434912439898</v>
      </c>
      <c r="T10" s="5">
        <f>EnergyLJ($A10,$C$2,$C$3,shape_factors!T$2,$C$4,shape_factors!T$3)</f>
        <v>3559.8127672455944</v>
      </c>
      <c r="U10" s="5">
        <f>EnergyLJ($A10,$C$2,$C$3,shape_factors!U$2,$C$4,shape_factors!U$3)</f>
        <v>49997.979795996165</v>
      </c>
    </row>
    <row r="11" spans="1:21" x14ac:dyDescent="0.25">
      <c r="A11">
        <v>2.8</v>
      </c>
      <c r="B11" s="5">
        <f>EnergyLJ($A11,$C$2,$C$3,shape_factors!B$2,$C$4,shape_factors!B$3)</f>
        <v>529816.99609850452</v>
      </c>
      <c r="C11" s="5">
        <f>EnergyLJ($A11,$C$2,$C$3,shape_factors!C$2,$C$4,shape_factors!C$3)</f>
        <v>26948.402700757812</v>
      </c>
      <c r="D11" s="5">
        <f>EnergyLJ($A11,$C$2,$C$3,shape_factors!D$2,$C$4,shape_factors!D$3)</f>
        <v>1071674.5819717513</v>
      </c>
      <c r="E11" s="5">
        <f>EnergyLJ($A11,$C$2,$C$3,shape_factors!E$2,$C$4,shape_factors!E$3)</f>
        <v>94462.574679605867</v>
      </c>
      <c r="F11" s="5">
        <f>EnergyLJ($A11,$C$2,$C$3,shape_factors!F$2,$C$4,shape_factors!F$3)</f>
        <v>19910.856263719568</v>
      </c>
      <c r="G11" s="5">
        <f>EnergyLJ($A11,$C$2,$C$3,shape_factors!G$2,$C$4,shape_factors!G$3)</f>
        <v>36597.345881866437</v>
      </c>
      <c r="H11" s="5">
        <f>EnergyLJ($A11,$C$2,$C$3,shape_factors!H$2,$C$4,shape_factors!H$3)</f>
        <v>32541383.192586727</v>
      </c>
      <c r="I11" s="5">
        <f>EnergyLJ($A11,$C$2,$C$3,shape_factors!I$2,$C$4,shape_factors!I$3)</f>
        <v>156117.35538865931</v>
      </c>
      <c r="J11" s="5">
        <f>EnergyLJ($A11,$C$2,$C$3,shape_factors!J$2,$C$4,shape_factors!J$3)</f>
        <v>5017.5260912830045</v>
      </c>
      <c r="K11" s="5">
        <f>EnergyLJ($A11,$C$2,$C$3,shape_factors!K$2,$C$4,shape_factors!K$3)</f>
        <v>7506.1177992060948</v>
      </c>
      <c r="L11" s="5">
        <f>EnergyLJ($A11,$C$2,$C$3,shape_factors!L$2,$C$4,shape_factors!L$3)</f>
        <v>14667.682376187386</v>
      </c>
      <c r="M11" s="5">
        <f>EnergyLJ($A11,$C$2,$C$3,shape_factors!M$2,$C$4,shape_factors!M$3)</f>
        <v>5502.0882104419907</v>
      </c>
      <c r="N11" s="5">
        <f>EnergyLJ($A11,$C$2,$C$3,shape_factors!N$2,$C$4,shape_factors!N$3)</f>
        <v>2115.8440069351532</v>
      </c>
      <c r="O11" s="5">
        <f>EnergyLJ($A11,$C$2,$C$3,shape_factors!O$2,$C$4,shape_factors!O$3)</f>
        <v>1668.9979868791331</v>
      </c>
      <c r="P11" s="5">
        <f>EnergyLJ($A11,$C$2,$C$3,shape_factors!P$2,$C$4,shape_factors!P$3)</f>
        <v>2270.1957339800742</v>
      </c>
      <c r="Q11" s="5">
        <f>EnergyLJ($A11,$C$2,$C$3,shape_factors!Q$2,$C$4,shape_factors!Q$3)</f>
        <v>2492.7323879260648</v>
      </c>
      <c r="R11" s="5">
        <f>EnergyLJ($A11,$C$2,$C$3,shape_factors!R$2,$C$4,shape_factors!R$3)</f>
        <v>21099.155871413514</v>
      </c>
      <c r="S11" s="5">
        <f>EnergyLJ($A11,$C$2,$C$3,shape_factors!S$2,$C$4,shape_factors!S$3)</f>
        <v>3543.7759488291745</v>
      </c>
      <c r="T11" s="5">
        <f>EnergyLJ($A11,$C$2,$C$3,shape_factors!T$2,$C$4,shape_factors!T$3)</f>
        <v>1430.976626151343</v>
      </c>
      <c r="U11" s="5">
        <f>EnergyLJ($A11,$C$2,$C$3,shape_factors!U$2,$C$4,shape_factors!U$3)</f>
        <v>20428.496117573119</v>
      </c>
    </row>
    <row r="12" spans="1:21" x14ac:dyDescent="0.25">
      <c r="A12">
        <v>3</v>
      </c>
      <c r="B12" s="5">
        <f>EnergyLJ($A12,$C$2,$C$3,shape_factors!B$2,$C$4,shape_factors!B$3)</f>
        <v>231136.13961405479</v>
      </c>
      <c r="C12" s="5">
        <f>EnergyLJ($A12,$C$2,$C$3,shape_factors!C$2,$C$4,shape_factors!C$3)</f>
        <v>11690.901002297242</v>
      </c>
      <c r="D12" s="5">
        <f>EnergyLJ($A12,$C$2,$C$3,shape_factors!D$2,$C$4,shape_factors!D$3)</f>
        <v>467748.99893518037</v>
      </c>
      <c r="E12" s="5">
        <f>EnergyLJ($A12,$C$2,$C$3,shape_factors!E$2,$C$4,shape_factors!E$3)</f>
        <v>41118.706923267877</v>
      </c>
      <c r="F12" s="5">
        <f>EnergyLJ($A12,$C$2,$C$3,shape_factors!F$2,$C$4,shape_factors!F$3)</f>
        <v>8627.556487242291</v>
      </c>
      <c r="G12" s="5">
        <f>EnergyLJ($A12,$C$2,$C$3,shape_factors!G$2,$C$4,shape_factors!G$3)</f>
        <v>15893.230222508671</v>
      </c>
      <c r="H12" s="5">
        <f>EnergyLJ($A12,$C$2,$C$3,shape_factors!H$2,$C$4,shape_factors!H$3)</f>
        <v>14216355.562924057</v>
      </c>
      <c r="I12" s="5">
        <f>EnergyLJ($A12,$C$2,$C$3,shape_factors!I$2,$C$4,shape_factors!I$3)</f>
        <v>68014.511269924609</v>
      </c>
      <c r="J12" s="5">
        <f>EnergyLJ($A12,$C$2,$C$3,shape_factors!J$2,$C$4,shape_factors!J$3)</f>
        <v>2155.67569509237</v>
      </c>
      <c r="K12" s="5">
        <f>EnergyLJ($A12,$C$2,$C$3,shape_factors!K$2,$C$4,shape_factors!K$3)</f>
        <v>3235.0158332045512</v>
      </c>
      <c r="L12" s="5">
        <f>EnergyLJ($A12,$C$2,$C$3,shape_factors!L$2,$C$4,shape_factors!L$3)</f>
        <v>6346.7176640632852</v>
      </c>
      <c r="M12" s="5">
        <f>EnergyLJ($A12,$C$2,$C$3,shape_factors!M$2,$C$4,shape_factors!M$3)</f>
        <v>2365.702596100316</v>
      </c>
      <c r="N12" s="5">
        <f>EnergyLJ($A12,$C$2,$C$3,shape_factors!N$2,$C$4,shape_factors!N$3)</f>
        <v>900.44545526562672</v>
      </c>
      <c r="O12" s="5">
        <f>EnergyLJ($A12,$C$2,$C$3,shape_factors!O$2,$C$4,shape_factors!O$3)</f>
        <v>707.81971361759429</v>
      </c>
      <c r="P12" s="5">
        <f>EnergyLJ($A12,$C$2,$C$3,shape_factors!P$2,$C$4,shape_factors!P$3)</f>
        <v>967.04898530536002</v>
      </c>
      <c r="Q12" s="5">
        <f>EnergyLJ($A12,$C$2,$C$3,shape_factors!Q$2,$C$4,shape_factors!Q$3)</f>
        <v>1063.1234983266345</v>
      </c>
      <c r="R12" s="5">
        <f>EnergyLJ($A12,$C$2,$C$3,shape_factors!R$2,$C$4,shape_factors!R$3)</f>
        <v>9144.6752221525021</v>
      </c>
      <c r="S12" s="5">
        <f>EnergyLJ($A12,$C$2,$C$3,shape_factors!S$2,$C$4,shape_factors!S$3)</f>
        <v>1517.4817897737744</v>
      </c>
      <c r="T12" s="5">
        <f>EnergyLJ($A12,$C$2,$C$3,shape_factors!T$2,$C$4,shape_factors!T$3)</f>
        <v>605.35904426261675</v>
      </c>
      <c r="U12" s="5">
        <f>EnergyLJ($A12,$C$2,$C$3,shape_factors!U$2,$C$4,shape_factors!U$3)</f>
        <v>8852.8130411199763</v>
      </c>
    </row>
    <row r="13" spans="1:21" x14ac:dyDescent="0.25">
      <c r="A13">
        <v>3.2</v>
      </c>
      <c r="B13" s="5">
        <f>EnergyLJ($A13,$C$2,$C$3,shape_factors!B$2,$C$4,shape_factors!B$3)</f>
        <v>106303.02580338313</v>
      </c>
      <c r="C13" s="5">
        <f>EnergyLJ($A13,$C$2,$C$3,shape_factors!C$2,$C$4,shape_factors!C$3)</f>
        <v>5334.6234973993032</v>
      </c>
      <c r="D13" s="5">
        <f>EnergyLJ($A13,$C$2,$C$3,shape_factors!D$2,$C$4,shape_factors!D$3)</f>
        <v>215269.11566823177</v>
      </c>
      <c r="E13" s="5">
        <f>EnergyLJ($A13,$C$2,$C$3,shape_factors!E$2,$C$4,shape_factors!E$3)</f>
        <v>18852.368994292738</v>
      </c>
      <c r="F13" s="5">
        <f>EnergyLJ($A13,$C$2,$C$3,shape_factors!F$2,$C$4,shape_factors!F$3)</f>
        <v>3930.1448485855153</v>
      </c>
      <c r="G13" s="5">
        <f>EnergyLJ($A13,$C$2,$C$3,shape_factors!G$2,$C$4,shape_factors!G$3)</f>
        <v>7262.7747679902486</v>
      </c>
      <c r="H13" s="5">
        <f>EnergyLJ($A13,$C$2,$C$3,shape_factors!H$2,$C$4,shape_factors!H$3)</f>
        <v>6551176.9182617376</v>
      </c>
      <c r="I13" s="5">
        <f>EnergyLJ($A13,$C$2,$C$3,shape_factors!I$2,$C$4,shape_factors!I$3)</f>
        <v>31221.193495116429</v>
      </c>
      <c r="J13" s="5">
        <f>EnergyLJ($A13,$C$2,$C$3,shape_factors!J$2,$C$4,shape_factors!J$3)</f>
        <v>970.00952301763323</v>
      </c>
      <c r="K13" s="5">
        <f>EnergyLJ($A13,$C$2,$C$3,shape_factors!K$2,$C$4,shape_factors!K$3)</f>
        <v>1462.340922720964</v>
      </c>
      <c r="L13" s="5">
        <f>EnergyLJ($A13,$C$2,$C$3,shape_factors!L$2,$C$4,shape_factors!L$3)</f>
        <v>2885.3585257119585</v>
      </c>
      <c r="M13" s="5">
        <f>EnergyLJ($A13,$C$2,$C$3,shape_factors!M$2,$C$4,shape_factors!M$3)</f>
        <v>1065.7239139345336</v>
      </c>
      <c r="N13" s="5">
        <f>EnergyLJ($A13,$C$2,$C$3,shape_factors!N$2,$C$4,shape_factors!N$3)</f>
        <v>399.56825368641211</v>
      </c>
      <c r="O13" s="5">
        <f>EnergyLJ($A13,$C$2,$C$3,shape_factors!O$2,$C$4,shape_factors!O$3)</f>
        <v>312.46706098689378</v>
      </c>
      <c r="P13" s="5">
        <f>EnergyLJ($A13,$C$2,$C$3,shape_factors!P$2,$C$4,shape_factors!P$3)</f>
        <v>429.72782610460928</v>
      </c>
      <c r="Q13" s="5">
        <f>EnergyLJ($A13,$C$2,$C$3,shape_factors!Q$2,$C$4,shape_factors!Q$3)</f>
        <v>473.26433275865236</v>
      </c>
      <c r="R13" s="5">
        <f>EnergyLJ($A13,$C$2,$C$3,shape_factors!R$2,$C$4,shape_factors!R$3)</f>
        <v>4167.14809285106</v>
      </c>
      <c r="S13" s="5">
        <f>EnergyLJ($A13,$C$2,$C$3,shape_factors!S$2,$C$4,shape_factors!S$3)</f>
        <v>679.54703693256192</v>
      </c>
      <c r="T13" s="5">
        <f>EnergyLJ($A13,$C$2,$C$3,shape_factors!T$2,$C$4,shape_factors!T$3)</f>
        <v>266.23123554422875</v>
      </c>
      <c r="U13" s="5">
        <f>EnergyLJ($A13,$C$2,$C$3,shape_factors!U$2,$C$4,shape_factors!U$3)</f>
        <v>4033.3784075429653</v>
      </c>
    </row>
    <row r="14" spans="1:21" x14ac:dyDescent="0.25">
      <c r="A14">
        <v>3.4</v>
      </c>
      <c r="B14" s="5">
        <f>EnergyLJ($A14,$C$2,$C$3,shape_factors!B$2,$C$4,shape_factors!B$3)</f>
        <v>51198.714258649627</v>
      </c>
      <c r="C14" s="5">
        <f>EnergyLJ($A14,$C$2,$C$3,shape_factors!C$2,$C$4,shape_factors!C$3)</f>
        <v>2541.3935575462338</v>
      </c>
      <c r="D14" s="5">
        <f>EnergyLJ($A14,$C$2,$C$3,shape_factors!D$2,$C$4,shape_factors!D$3)</f>
        <v>103775.47147614601</v>
      </c>
      <c r="E14" s="5">
        <f>EnergyLJ($A14,$C$2,$C$3,shape_factors!E$2,$C$4,shape_factors!E$3)</f>
        <v>9040.9938219436299</v>
      </c>
      <c r="F14" s="5">
        <f>EnergyLJ($A14,$C$2,$C$3,shape_factors!F$2,$C$4,shape_factors!F$3)</f>
        <v>1867.8658897274845</v>
      </c>
      <c r="G14" s="5">
        <f>EnergyLJ($A14,$C$2,$C$3,shape_factors!G$2,$C$4,shape_factors!G$3)</f>
        <v>3467.0292582342208</v>
      </c>
      <c r="H14" s="5">
        <f>EnergyLJ($A14,$C$2,$C$3,shape_factors!H$2,$C$4,shape_factors!H$3)</f>
        <v>3163750.3505696738</v>
      </c>
      <c r="I14" s="5">
        <f>EnergyLJ($A14,$C$2,$C$3,shape_factors!I$2,$C$4,shape_factors!I$3)</f>
        <v>14997.550918055431</v>
      </c>
      <c r="J14" s="5">
        <f>EnergyLJ($A14,$C$2,$C$3,shape_factors!J$2,$C$4,shape_factors!J$3)</f>
        <v>453.01445418530869</v>
      </c>
      <c r="K14" s="5">
        <f>EnergyLJ($A14,$C$2,$C$3,shape_factors!K$2,$C$4,shape_factors!K$3)</f>
        <v>687.44079259146724</v>
      </c>
      <c r="L14" s="5">
        <f>EnergyLJ($A14,$C$2,$C$3,shape_factors!L$2,$C$4,shape_factors!L$3)</f>
        <v>1367.4484780432547</v>
      </c>
      <c r="M14" s="5">
        <f>EnergyLJ($A14,$C$2,$C$3,shape_factors!M$2,$C$4,shape_factors!M$3)</f>
        <v>498.53101558541567</v>
      </c>
      <c r="N14" s="5">
        <f>EnergyLJ($A14,$C$2,$C$3,shape_factors!N$2,$C$4,shape_factors!N$3)</f>
        <v>182.8104836817308</v>
      </c>
      <c r="O14" s="5">
        <f>EnergyLJ($A14,$C$2,$C$3,shape_factors!O$2,$C$4,shape_factors!O$3)</f>
        <v>141.84598289824055</v>
      </c>
      <c r="P14" s="5">
        <f>EnergyLJ($A14,$C$2,$C$3,shape_factors!P$2,$C$4,shape_factors!P$3)</f>
        <v>197.02367867289598</v>
      </c>
      <c r="Q14" s="5">
        <f>EnergyLJ($A14,$C$2,$C$3,shape_factors!Q$2,$C$4,shape_factors!Q$3)</f>
        <v>217.56235161962539</v>
      </c>
      <c r="R14" s="5">
        <f>EnergyLJ($A14,$C$2,$C$3,shape_factors!R$2,$C$4,shape_factors!R$3)</f>
        <v>1981.4662193986042</v>
      </c>
      <c r="S14" s="5">
        <f>EnergyLJ($A14,$C$2,$C$3,shape_factors!S$2,$C$4,shape_factors!S$3)</f>
        <v>315.13872837155475</v>
      </c>
      <c r="T14" s="5">
        <f>EnergyLJ($A14,$C$2,$C$3,shape_factors!T$2,$C$4,shape_factors!T$3)</f>
        <v>120.16455409828637</v>
      </c>
      <c r="U14" s="5">
        <f>EnergyLJ($A14,$C$2,$C$3,shape_factors!U$2,$C$4,shape_factors!U$3)</f>
        <v>1917.34452670983</v>
      </c>
    </row>
    <row r="15" spans="1:21" x14ac:dyDescent="0.25">
      <c r="A15">
        <v>3.6</v>
      </c>
      <c r="B15" s="5">
        <f>EnergyLJ($A15,$C$2,$C$3,shape_factors!B$2,$C$4,shape_factors!B$3)</f>
        <v>25678.6816156553</v>
      </c>
      <c r="C15" s="5">
        <f>EnergyLJ($A15,$C$2,$C$3,shape_factors!C$2,$C$4,shape_factors!C$3)</f>
        <v>1255.7106820298691</v>
      </c>
      <c r="D15" s="5">
        <f>EnergyLJ($A15,$C$2,$C$3,shape_factors!D$2,$C$4,shape_factors!D$3)</f>
        <v>52113.200120104753</v>
      </c>
      <c r="E15" s="5">
        <f>EnergyLJ($A15,$C$2,$C$3,shape_factors!E$2,$C$4,shape_factors!E$3)</f>
        <v>4508.159427920059</v>
      </c>
      <c r="F15" s="5">
        <f>EnergyLJ($A15,$C$2,$C$3,shape_factors!F$2,$C$4,shape_factors!F$3)</f>
        <v>919.87644932380488</v>
      </c>
      <c r="G15" s="5">
        <f>EnergyLJ($A15,$C$2,$C$3,shape_factors!G$2,$C$4,shape_factors!G$3)</f>
        <v>1717.9160959178844</v>
      </c>
      <c r="H15" s="5">
        <f>EnergyLJ($A15,$C$2,$C$3,shape_factors!H$2,$C$4,shape_factors!H$3)</f>
        <v>1592543.1812554749</v>
      </c>
      <c r="I15" s="5">
        <f>EnergyLJ($A15,$C$2,$C$3,shape_factors!I$2,$C$4,shape_factors!I$3)</f>
        <v>7495.2340234114054</v>
      </c>
      <c r="J15" s="5">
        <f>EnergyLJ($A15,$C$2,$C$3,shape_factors!J$2,$C$4,shape_factors!J$3)</f>
        <v>217.60440216362025</v>
      </c>
      <c r="K15" s="5">
        <f>EnergyLJ($A15,$C$2,$C$3,shape_factors!K$2,$C$4,shape_factors!K$3)</f>
        <v>333.35407963641256</v>
      </c>
      <c r="L15" s="5">
        <f>EnergyLJ($A15,$C$2,$C$3,shape_factors!L$2,$C$4,shape_factors!L$3)</f>
        <v>670.77858270057584</v>
      </c>
      <c r="M15" s="5">
        <f>EnergyLJ($A15,$C$2,$C$3,shape_factors!M$2,$C$4,shape_factors!M$3)</f>
        <v>240.03850698356942</v>
      </c>
      <c r="N15" s="5">
        <f>EnergyLJ($A15,$C$2,$C$3,shape_factors!N$2,$C$4,shape_factors!N$3)</f>
        <v>85.159202812207923</v>
      </c>
      <c r="O15" s="5">
        <f>EnergyLJ($A15,$C$2,$C$3,shape_factors!O$2,$C$4,shape_factors!O$3)</f>
        <v>65.281786175364473</v>
      </c>
      <c r="P15" s="5">
        <f>EnergyLJ($A15,$C$2,$C$3,shape_factors!P$2,$C$4,shape_factors!P$3)</f>
        <v>92.075981410647174</v>
      </c>
      <c r="Q15" s="5">
        <f>EnergyLJ($A15,$C$2,$C$3,shape_factors!Q$2,$C$4,shape_factors!Q$3)</f>
        <v>102.08582902801605</v>
      </c>
      <c r="R15" s="5">
        <f>EnergyLJ($A15,$C$2,$C$3,shape_factors!R$2,$C$4,shape_factors!R$3)</f>
        <v>976.48153274040499</v>
      </c>
      <c r="S15" s="5">
        <f>EnergyLJ($A15,$C$2,$C$3,shape_factors!S$2,$C$4,shape_factors!S$3)</f>
        <v>149.82179769122379</v>
      </c>
      <c r="T15" s="5">
        <f>EnergyLJ($A15,$C$2,$C$3,shape_factors!T$2,$C$4,shape_factors!T$3)</f>
        <v>54.805414005185646</v>
      </c>
      <c r="U15" s="5">
        <f>EnergyLJ($A15,$C$2,$C$3,shape_factors!U$2,$C$4,shape_factors!U$3)</f>
        <v>944.52859079528844</v>
      </c>
    </row>
    <row r="16" spans="1:21" x14ac:dyDescent="0.25">
      <c r="A16">
        <v>3.8</v>
      </c>
      <c r="B16" s="5">
        <f>EnergyLJ($A16,$C$2,$C$3,shape_factors!B$2,$C$4,shape_factors!B$3)</f>
        <v>13347.742499173037</v>
      </c>
      <c r="C16" s="5">
        <f>EnergyLJ($A16,$C$2,$C$3,shape_factors!C$2,$C$4,shape_factors!C$3)</f>
        <v>639.60738351740054</v>
      </c>
      <c r="D16" s="5">
        <f>EnergyLJ($A16,$C$2,$C$3,shape_factors!D$2,$C$4,shape_factors!D$3)</f>
        <v>27133.175050073496</v>
      </c>
      <c r="E16" s="5">
        <f>EnergyLJ($A16,$C$2,$C$3,shape_factors!E$2,$C$4,shape_factors!E$3)</f>
        <v>2325.0844276959178</v>
      </c>
      <c r="F16" s="5">
        <f>EnergyLJ($A16,$C$2,$C$3,shape_factors!F$2,$C$4,shape_factors!F$3)</f>
        <v>466.40810105926886</v>
      </c>
      <c r="G16" s="5">
        <f>EnergyLJ($A16,$C$2,$C$3,shape_factors!G$2,$C$4,shape_factors!G$3)</f>
        <v>878.44335408853453</v>
      </c>
      <c r="H16" s="5">
        <f>EnergyLJ($A16,$C$2,$C$3,shape_factors!H$2,$C$4,shape_factors!H$3)</f>
        <v>831796.26146136085</v>
      </c>
      <c r="I16" s="5">
        <f>EnergyLJ($A16,$C$2,$C$3,shape_factors!I$2,$C$4,shape_factors!I$3)</f>
        <v>3877.46182816287</v>
      </c>
      <c r="J16" s="5">
        <f>EnergyLJ($A16,$C$2,$C$3,shape_factors!J$2,$C$4,shape_factors!J$3)</f>
        <v>106.45683565868376</v>
      </c>
      <c r="K16" s="5">
        <f>EnergyLJ($A16,$C$2,$C$3,shape_factors!K$2,$C$4,shape_factors!K$3)</f>
        <v>165.35791486016319</v>
      </c>
      <c r="L16" s="5">
        <f>EnergyLJ($A16,$C$2,$C$3,shape_factors!L$2,$C$4,shape_factors!L$3)</f>
        <v>338.23401152720595</v>
      </c>
      <c r="M16" s="5">
        <f>EnergyLJ($A16,$C$2,$C$3,shape_factors!M$2,$C$4,shape_factors!M$3)</f>
        <v>117.84462680024338</v>
      </c>
      <c r="N16" s="5">
        <f>EnergyLJ($A16,$C$2,$C$3,shape_factors!N$2,$C$4,shape_factors!N$3)</f>
        <v>39.742498727656525</v>
      </c>
      <c r="O16" s="5">
        <f>EnergyLJ($A16,$C$2,$C$3,shape_factors!O$2,$C$4,shape_factors!O$3)</f>
        <v>29.873209601210689</v>
      </c>
      <c r="P16" s="5">
        <f>EnergyLJ($A16,$C$2,$C$3,shape_factors!P$2,$C$4,shape_factors!P$3)</f>
        <v>43.191078976837979</v>
      </c>
      <c r="Q16" s="5">
        <f>EnergyLJ($A16,$C$2,$C$3,shape_factors!Q$2,$C$4,shape_factors!Q$3)</f>
        <v>48.192379338666065</v>
      </c>
      <c r="R16" s="5">
        <f>EnergyLJ($A16,$C$2,$C$3,shape_factors!R$2,$C$4,shape_factors!R$3)</f>
        <v>495.57427389257134</v>
      </c>
      <c r="S16" s="5">
        <f>EnergyLJ($A16,$C$2,$C$3,shape_factors!S$2,$C$4,shape_factors!S$3)</f>
        <v>72.171817582923737</v>
      </c>
      <c r="T16" s="5">
        <f>EnergyLJ($A16,$C$2,$C$3,shape_factors!T$2,$C$4,shape_factors!T$3)</f>
        <v>24.703273799099271</v>
      </c>
      <c r="U16" s="5">
        <f>EnergyLJ($A16,$C$2,$C$3,shape_factors!U$2,$C$4,shape_factors!U$3)</f>
        <v>479.10875221771386</v>
      </c>
    </row>
    <row r="17" spans="1:21" x14ac:dyDescent="0.25">
      <c r="A17">
        <v>4</v>
      </c>
      <c r="B17" s="5">
        <f>EnergyLJ($A17,$C$2,$C$3,shape_factors!B$2,$C$4,shape_factors!B$3)</f>
        <v>7160.7755408685998</v>
      </c>
      <c r="C17" s="5">
        <f>EnergyLJ($A17,$C$2,$C$3,shape_factors!C$2,$C$4,shape_factors!C$3)</f>
        <v>333.87019035098689</v>
      </c>
      <c r="D17" s="5">
        <f>EnergyLJ($A17,$C$2,$C$3,shape_factors!D$2,$C$4,shape_factors!D$3)</f>
        <v>14588.031082805255</v>
      </c>
      <c r="E17" s="5">
        <f>EnergyLJ($A17,$C$2,$C$3,shape_factors!E$2,$C$4,shape_factors!E$3)</f>
        <v>1234.4585035713815</v>
      </c>
      <c r="F17" s="5">
        <f>EnergyLJ($A17,$C$2,$C$3,shape_factors!F$2,$C$4,shape_factors!F$3)</f>
        <v>241.91859791972507</v>
      </c>
      <c r="G17" s="5">
        <f>EnergyLJ($A17,$C$2,$C$3,shape_factors!G$2,$C$4,shape_factors!G$3)</f>
        <v>460.99849172436251</v>
      </c>
      <c r="H17" s="5">
        <f>EnergyLJ($A17,$C$2,$C$3,shape_factors!H$2,$C$4,shape_factors!H$3)</f>
        <v>449064.00158739008</v>
      </c>
      <c r="I17" s="5">
        <f>EnergyLJ($A17,$C$2,$C$3,shape_factors!I$2,$C$4,shape_factors!I$3)</f>
        <v>2067.0635815412188</v>
      </c>
      <c r="J17" s="5">
        <f>EnergyLJ($A17,$C$2,$C$3,shape_factors!J$2,$C$4,shape_factors!J$3)</f>
        <v>52.409146448999593</v>
      </c>
      <c r="K17" s="5">
        <f>EnergyLJ($A17,$C$2,$C$3,shape_factors!K$2,$C$4,shape_factors!K$3)</f>
        <v>83.113916143445707</v>
      </c>
      <c r="L17" s="5">
        <f>EnergyLJ($A17,$C$2,$C$3,shape_factors!L$2,$C$4,shape_factors!L$3)</f>
        <v>174.07946699068259</v>
      </c>
      <c r="M17" s="5">
        <f>EnergyLJ($A17,$C$2,$C$3,shape_factors!M$2,$C$4,shape_factors!M$3)</f>
        <v>58.325199292480342</v>
      </c>
      <c r="N17" s="5">
        <f>EnergyLJ($A17,$C$2,$C$3,shape_factors!N$2,$C$4,shape_factors!N$3)</f>
        <v>18.124133079820687</v>
      </c>
      <c r="O17" s="5">
        <f>EnergyLJ($A17,$C$2,$C$3,shape_factors!O$2,$C$4,shape_factors!O$3)</f>
        <v>13.156686123290896</v>
      </c>
      <c r="P17" s="5">
        <f>EnergyLJ($A17,$C$2,$C$3,shape_factors!P$2,$C$4,shape_factors!P$3)</f>
        <v>19.870500929990087</v>
      </c>
      <c r="Q17" s="5">
        <f>EnergyLJ($A17,$C$2,$C$3,shape_factors!Q$2,$C$4,shape_factors!Q$3)</f>
        <v>22.410959388811779</v>
      </c>
      <c r="R17" s="5">
        <f>EnergyLJ($A17,$C$2,$C$3,shape_factors!R$2,$C$4,shape_factors!R$3)</f>
        <v>257.38392804651426</v>
      </c>
      <c r="S17" s="5">
        <f>EnergyLJ($A17,$C$2,$C$3,shape_factors!S$2,$C$4,shape_factors!S$3)</f>
        <v>34.686202627138158</v>
      </c>
      <c r="T17" s="5">
        <f>EnergyLJ($A17,$C$2,$C$3,shape_factors!T$2,$C$4,shape_factors!T$3)</f>
        <v>10.577963506438678</v>
      </c>
      <c r="U17" s="5">
        <f>EnergyLJ($A17,$C$2,$C$3,shape_factors!U$2,$C$4,shape_factors!U$3)</f>
        <v>248.65200542215723</v>
      </c>
    </row>
    <row r="18" spans="1:21" x14ac:dyDescent="0.25">
      <c r="A18">
        <v>4.2</v>
      </c>
      <c r="B18" s="5">
        <f>EnergyLJ($A18,$C$2,$C$3,shape_factors!B$2,$C$4,shape_factors!B$3)</f>
        <v>3950.3484772153238</v>
      </c>
      <c r="C18" s="5">
        <f>EnergyLJ($A18,$C$2,$C$3,shape_factors!C$2,$C$4,shape_factors!C$3)</f>
        <v>177.51290406011537</v>
      </c>
      <c r="D18" s="5">
        <f>EnergyLJ($A18,$C$2,$C$3,shape_factors!D$2,$C$4,shape_factors!D$3)</f>
        <v>8070.5078298730296</v>
      </c>
      <c r="E18" s="5">
        <f>EnergyLJ($A18,$C$2,$C$3,shape_factors!E$2,$C$4,shape_factors!E$3)</f>
        <v>671.71938811527059</v>
      </c>
      <c r="F18" s="5">
        <f>EnergyLJ($A18,$C$2,$C$3,shape_factors!F$2,$C$4,shape_factors!F$3)</f>
        <v>127.48206974895004</v>
      </c>
      <c r="G18" s="5">
        <f>EnergyLJ($A18,$C$2,$C$3,shape_factors!G$2,$C$4,shape_factors!G$3)</f>
        <v>246.92360314775524</v>
      </c>
      <c r="H18" s="5">
        <f>EnergyLJ($A18,$C$2,$C$3,shape_factors!H$2,$C$4,shape_factors!H$3)</f>
        <v>249765.75527312284</v>
      </c>
      <c r="I18" s="5">
        <f>EnergyLJ($A18,$C$2,$C$3,shape_factors!I$2,$C$4,shape_factors!I$3)</f>
        <v>1130.8858247540884</v>
      </c>
      <c r="J18" s="5">
        <f>EnergyLJ($A18,$C$2,$C$3,shape_factors!J$2,$C$4,shape_factors!J$3)</f>
        <v>25.526125442411427</v>
      </c>
      <c r="K18" s="5">
        <f>EnergyLJ($A18,$C$2,$C$3,shape_factors!K$2,$C$4,shape_factors!K$3)</f>
        <v>41.820861720523041</v>
      </c>
      <c r="L18" s="5">
        <f>EnergyLJ($A18,$C$2,$C$3,shape_factors!L$2,$C$4,shape_factors!L$3)</f>
        <v>90.722572622817722</v>
      </c>
      <c r="M18" s="5">
        <f>EnergyLJ($A18,$C$2,$C$3,shape_factors!M$2,$C$4,shape_factors!M$3)</f>
        <v>28.650652799692605</v>
      </c>
      <c r="N18" s="5">
        <f>EnergyLJ($A18,$C$2,$C$3,shape_factors!N$2,$C$4,shape_factors!N$3)</f>
        <v>7.6965358534378465</v>
      </c>
      <c r="O18" s="5">
        <f>EnergyLJ($A18,$C$2,$C$3,shape_factors!O$2,$C$4,shape_factors!O$3)</f>
        <v>5.1917812313374112</v>
      </c>
      <c r="P18" s="5">
        <f>EnergyLJ($A18,$C$2,$C$3,shape_factors!P$2,$C$4,shape_factors!P$3)</f>
        <v>8.5852609617098068</v>
      </c>
      <c r="Q18" s="5">
        <f>EnergyLJ($A18,$C$2,$C$3,shape_factors!Q$2,$C$4,shape_factors!Q$3)</f>
        <v>9.8840405294036486</v>
      </c>
      <c r="R18" s="5">
        <f>EnergyLJ($A18,$C$2,$C$3,shape_factors!R$2,$C$4,shape_factors!R$3)</f>
        <v>135.88292162305007</v>
      </c>
      <c r="S18" s="5">
        <f>EnergyLJ($A18,$C$2,$C$3,shape_factors!S$2,$C$4,shape_factors!S$3)</f>
        <v>16.231599946667753</v>
      </c>
      <c r="T18" s="5">
        <f>EnergyLJ($A18,$C$2,$C$3,shape_factors!T$2,$C$4,shape_factors!T$3)</f>
        <v>3.9094831869763276</v>
      </c>
      <c r="U18" s="5">
        <f>EnergyLJ($A18,$C$2,$C$3,shape_factors!U$2,$C$4,shape_factors!U$3)</f>
        <v>131.13889331911895</v>
      </c>
    </row>
    <row r="19" spans="1:21" x14ac:dyDescent="0.25">
      <c r="A19">
        <v>4.4000000000000004</v>
      </c>
      <c r="B19" s="5">
        <f>EnergyLJ($A19,$C$2,$C$3,shape_factors!B$2,$C$4,shape_factors!B$3)</f>
        <v>2233.5608067707026</v>
      </c>
      <c r="C19" s="5">
        <f>EnergyLJ($A19,$C$2,$C$3,shape_factors!C$2,$C$4,shape_factors!C$3)</f>
        <v>95.478712372108433</v>
      </c>
      <c r="D19" s="5">
        <f>EnergyLJ($A19,$C$2,$C$3,shape_factors!D$2,$C$4,shape_factors!D$3)</f>
        <v>4579.8432461818493</v>
      </c>
      <c r="E19" s="5">
        <f>EnergyLJ($A19,$C$2,$C$3,shape_factors!E$2,$C$4,shape_factors!E$3)</f>
        <v>372.990057864508</v>
      </c>
      <c r="F19" s="5">
        <f>EnergyLJ($A19,$C$2,$C$3,shape_factors!F$2,$C$4,shape_factors!F$3)</f>
        <v>67.700576311801754</v>
      </c>
      <c r="G19" s="5">
        <f>EnergyLJ($A19,$C$2,$C$3,shape_factors!G$2,$C$4,shape_factors!G$3)</f>
        <v>134.19541826913317</v>
      </c>
      <c r="H19" s="5">
        <f>EnergyLJ($A19,$C$2,$C$3,shape_factors!H$2,$C$4,shape_factors!H$3)</f>
        <v>142709.31395935142</v>
      </c>
      <c r="I19" s="5">
        <f>EnergyLJ($A19,$C$2,$C$3,shape_factors!I$2,$C$4,shape_factors!I$3)</f>
        <v>632.49490211011801</v>
      </c>
      <c r="J19" s="5">
        <f>EnergyLJ($A19,$C$2,$C$3,shape_factors!J$2,$C$4,shape_factors!J$3)</f>
        <v>11.95147188204805</v>
      </c>
      <c r="K19" s="5">
        <f>EnergyLJ($A19,$C$2,$C$3,shape_factors!K$2,$C$4,shape_factors!K$3)</f>
        <v>20.69275720592934</v>
      </c>
      <c r="L19" s="5">
        <f>EnergyLJ($A19,$C$2,$C$3,shape_factors!L$2,$C$4,shape_factors!L$3)</f>
        <v>47.403700611250223</v>
      </c>
      <c r="M19" s="5">
        <f>EnergyLJ($A19,$C$2,$C$3,shape_factors!M$2,$C$4,shape_factors!M$3)</f>
        <v>13.616142901711367</v>
      </c>
      <c r="N19" s="5">
        <f>EnergyLJ($A19,$C$2,$C$3,shape_factors!N$2,$C$4,shape_factors!N$3)</f>
        <v>2.6649553773031989</v>
      </c>
      <c r="O19" s="5">
        <f>EnergyLJ($A19,$C$2,$C$3,shape_factors!O$2,$C$4,shape_factors!O$3)</f>
        <v>1.4213905902376731</v>
      </c>
      <c r="P19" s="5">
        <f>EnergyLJ($A19,$C$2,$C$3,shape_factors!P$2,$C$4,shape_factors!P$3)</f>
        <v>3.1127227341270887</v>
      </c>
      <c r="Q19" s="5">
        <f>EnergyLJ($A19,$C$2,$C$3,shape_factors!Q$2,$C$4,shape_factors!Q$3)</f>
        <v>3.7718085311592744</v>
      </c>
      <c r="R19" s="5">
        <f>EnergyLJ($A19,$C$2,$C$3,shape_factors!R$2,$C$4,shape_factors!R$3)</f>
        <v>72.354625379434921</v>
      </c>
      <c r="S19" s="5">
        <f>EnergyLJ($A19,$C$2,$C$3,shape_factors!S$2,$C$4,shape_factors!S$3)</f>
        <v>7.0498943516448191</v>
      </c>
      <c r="T19" s="5">
        <f>EnergyLJ($A19,$C$2,$C$3,shape_factors!T$2,$C$4,shape_factors!T$3)</f>
        <v>0.79916813138101039</v>
      </c>
      <c r="U19" s="5">
        <f>EnergyLJ($A19,$C$2,$C$3,shape_factors!U$2,$C$4,shape_factors!U$3)</f>
        <v>69.725851136815905</v>
      </c>
    </row>
    <row r="20" spans="1:21" x14ac:dyDescent="0.25">
      <c r="A20">
        <v>4.5999999999999996</v>
      </c>
      <c r="B20" s="5">
        <f>EnergyLJ($A20,$C$2,$C$3,shape_factors!B$2,$C$4,shape_factors!B$3)</f>
        <v>1290.3998570070382</v>
      </c>
      <c r="C20" s="5">
        <f>EnergyLJ($A20,$C$2,$C$3,shape_factors!C$2,$C$4,shape_factors!C$3)</f>
        <v>51.518850788218252</v>
      </c>
      <c r="D20" s="5">
        <f>EnergyLJ($A20,$C$2,$C$3,shape_factors!D$2,$C$4,shape_factors!D$3)</f>
        <v>2658.3718061816589</v>
      </c>
      <c r="E20" s="5">
        <f>EnergyLJ($A20,$C$2,$C$3,shape_factors!E$2,$C$4,shape_factors!E$3)</f>
        <v>210.41763709762191</v>
      </c>
      <c r="F20" s="5">
        <f>EnergyLJ($A20,$C$2,$C$3,shape_factors!F$2,$C$4,shape_factors!F$3)</f>
        <v>35.850301635670476</v>
      </c>
      <c r="G20" s="5">
        <f>EnergyLJ($A20,$C$2,$C$3,shape_factors!G$2,$C$4,shape_factors!G$3)</f>
        <v>73.492828542345876</v>
      </c>
      <c r="H20" s="5">
        <f>EnergyLJ($A20,$C$2,$C$3,shape_factors!H$2,$C$4,shape_factors!H$3)</f>
        <v>83557.603700098072</v>
      </c>
      <c r="I20" s="5">
        <f>EnergyLJ($A20,$C$2,$C$3,shape_factors!I$2,$C$4,shape_factors!I$3)</f>
        <v>360.25863927579513</v>
      </c>
      <c r="J20" s="5">
        <f>EnergyLJ($A20,$C$2,$C$3,shape_factors!J$2,$C$4,shape_factors!J$3)</f>
        <v>5.0561093949632392</v>
      </c>
      <c r="K20" s="5">
        <f>EnergyLJ($A20,$C$2,$C$3,shape_factors!K$2,$C$4,shape_factors!K$3)</f>
        <v>9.7546416511133227</v>
      </c>
      <c r="L20" s="5">
        <f>EnergyLJ($A20,$C$2,$C$3,shape_factors!L$2,$C$4,shape_factors!L$3)</f>
        <v>24.487177776493475</v>
      </c>
      <c r="M20" s="5">
        <f>EnergyLJ($A20,$C$2,$C$3,shape_factors!M$2,$C$4,shape_factors!M$3)</f>
        <v>5.9418751013698223</v>
      </c>
      <c r="N20" s="5">
        <f>EnergyLJ($A20,$C$2,$C$3,shape_factors!N$2,$C$4,shape_factors!N$3)</f>
        <v>0.28292489298238305</v>
      </c>
      <c r="O20" s="5">
        <f>EnergyLJ($A20,$C$2,$C$3,shape_factors!O$2,$C$4,shape_factors!O$3)</f>
        <v>-0.30689276256218284</v>
      </c>
      <c r="P20" s="5">
        <f>EnergyLJ($A20,$C$2,$C$3,shape_factors!P$2,$C$4,shape_factors!P$3)</f>
        <v>0.50084111892775829</v>
      </c>
      <c r="Q20" s="5">
        <f>EnergyLJ($A20,$C$2,$C$3,shape_factors!Q$2,$C$4,shape_factors!Q$3)</f>
        <v>0.82554695630552899</v>
      </c>
      <c r="R20" s="5">
        <f>EnergyLJ($A20,$C$2,$C$3,shape_factors!R$2,$C$4,shape_factors!R$3)</f>
        <v>38.467671227773614</v>
      </c>
      <c r="S20" s="5">
        <f>EnergyLJ($A20,$C$2,$C$3,shape_factors!S$2,$C$4,shape_factors!S$3)</f>
        <v>2.4877813231363883</v>
      </c>
      <c r="T20" s="5">
        <f>EnergyLJ($A20,$C$2,$C$3,shape_factors!T$2,$C$4,shape_factors!T$3)</f>
        <v>-0.58977930533387368</v>
      </c>
      <c r="U20" s="5">
        <f>EnergyLJ($A20,$C$2,$C$3,shape_factors!U$2,$C$4,shape_factors!U$3)</f>
        <v>36.988833977459045</v>
      </c>
    </row>
    <row r="21" spans="1:21" x14ac:dyDescent="0.25">
      <c r="A21">
        <v>4.8</v>
      </c>
      <c r="B21" s="5">
        <f>EnergyLJ($A21,$C$2,$C$3,shape_factors!B$2,$C$4,shape_factors!B$3)</f>
        <v>759.5640097716248</v>
      </c>
      <c r="C21" s="5">
        <f>EnergyLJ($A21,$C$2,$C$3,shape_factors!C$2,$C$4,shape_factors!C$3)</f>
        <v>27.567659587221858</v>
      </c>
      <c r="D21" s="5">
        <f>EnergyLJ($A21,$C$2,$C$3,shape_factors!D$2,$C$4,shape_factors!D$3)</f>
        <v>1574.2148493878876</v>
      </c>
      <c r="E21" s="5">
        <f>EnergyLJ($A21,$C$2,$C$3,shape_factors!E$2,$C$4,shape_factors!E$3)</f>
        <v>120.01822176221911</v>
      </c>
      <c r="F21" s="5">
        <f>EnergyLJ($A21,$C$2,$C$3,shape_factors!F$2,$C$4,shape_factors!F$3)</f>
        <v>18.632273102625415</v>
      </c>
      <c r="G21" s="5">
        <f>EnergyLJ($A21,$C$2,$C$3,shape_factors!G$2,$C$4,shape_factors!G$3)</f>
        <v>40.203888673135069</v>
      </c>
      <c r="H21" s="5">
        <f>EnergyLJ($A21,$C$2,$C$3,shape_factors!H$2,$C$4,shape_factors!H$3)</f>
        <v>50024.562419781461</v>
      </c>
      <c r="I21" s="5">
        <f>EnergyLJ($A21,$C$2,$C$3,shape_factors!I$2,$C$4,shape_factors!I$3)</f>
        <v>208.15560028050666</v>
      </c>
      <c r="J21" s="5">
        <f>EnergyLJ($A21,$C$2,$C$3,shape_factors!J$2,$C$4,shape_factors!J$3)</f>
        <v>1.5764766785851765</v>
      </c>
      <c r="K21" s="5">
        <f>EnergyLJ($A21,$C$2,$C$3,shape_factors!K$2,$C$4,shape_factors!K$3)</f>
        <v>4.0759555997473917</v>
      </c>
      <c r="L21" s="5">
        <f>EnergyLJ($A21,$C$2,$C$3,shape_factors!L$2,$C$4,shape_factors!L$3)</f>
        <v>12.218501569186966</v>
      </c>
      <c r="M21" s="5">
        <f>EnergyLJ($A21,$C$2,$C$3,shape_factors!M$2,$C$4,shape_factors!M$3)</f>
        <v>2.0403433299067677</v>
      </c>
      <c r="N21" s="5">
        <f>EnergyLJ($A21,$C$2,$C$3,shape_factors!N$2,$C$4,shape_factors!N$3)</f>
        <v>-0.78496874111918813</v>
      </c>
      <c r="O21" s="5">
        <f>EnergyLJ($A21,$C$2,$C$3,shape_factors!O$2,$C$4,shape_factors!O$3)</f>
        <v>-1.0347601681270031</v>
      </c>
      <c r="P21" s="5">
        <f>EnergyLJ($A21,$C$2,$C$3,shape_factors!P$2,$C$4,shape_factors!P$3)</f>
        <v>-0.68756867270313438</v>
      </c>
      <c r="Q21" s="5">
        <f>EnergyLJ($A21,$C$2,$C$3,shape_factors!Q$2,$C$4,shape_factors!Q$3)</f>
        <v>-0.53889051343624006</v>
      </c>
      <c r="R21" s="5">
        <f>EnergyLJ($A21,$C$2,$C$3,shape_factors!R$2,$C$4,shape_factors!R$3)</f>
        <v>20.118848852239296</v>
      </c>
      <c r="S21" s="5">
        <f>EnergyLJ($A21,$C$2,$C$3,shape_factors!S$2,$C$4,shape_factors!S$3)</f>
        <v>0.2641749027410093</v>
      </c>
      <c r="T21" s="5">
        <f>EnergyLJ($A21,$C$2,$C$3,shape_factors!T$2,$C$4,shape_factors!T$3)</f>
        <v>-1.1432841551756805</v>
      </c>
      <c r="U21" s="5">
        <f>EnergyLJ($A21,$C$2,$C$3,shape_factors!U$2,$C$4,shape_factors!U$3)</f>
        <v>19.278568055065868</v>
      </c>
    </row>
    <row r="22" spans="1:21" x14ac:dyDescent="0.25">
      <c r="A22">
        <v>5</v>
      </c>
      <c r="B22" s="5">
        <f>EnergyLJ($A22,$C$2,$C$3,shape_factors!B$2,$C$4,shape_factors!B$3)</f>
        <v>454.25402199200425</v>
      </c>
      <c r="C22" s="5">
        <f>EnergyLJ($A22,$C$2,$C$3,shape_factors!C$2,$C$4,shape_factors!C$3)</f>
        <v>14.365418377839964</v>
      </c>
      <c r="D22" s="5">
        <f>EnergyLJ($A22,$C$2,$C$3,shape_factors!D$2,$C$4,shape_factors!D$3)</f>
        <v>948.70304635847629</v>
      </c>
      <c r="E22" s="5">
        <f>EnergyLJ($A22,$C$2,$C$3,shape_factors!E$2,$C$4,shape_factors!E$3)</f>
        <v>68.823144466955156</v>
      </c>
      <c r="F22" s="5">
        <f>EnergyLJ($A22,$C$2,$C$3,shape_factors!F$2,$C$4,shape_factors!F$3)</f>
        <v>9.2428328924114194</v>
      </c>
      <c r="G22" s="5">
        <f>EnergyLJ($A22,$C$2,$C$3,shape_factors!G$2,$C$4,shape_factors!G$3)</f>
        <v>21.693044786787617</v>
      </c>
      <c r="H22" s="5">
        <f>EnergyLJ($A22,$C$2,$C$3,shape_factors!H$2,$C$4,shape_factors!H$3)</f>
        <v>30563.365130497343</v>
      </c>
      <c r="I22" s="5">
        <f>EnergyLJ($A22,$C$2,$C$3,shape_factors!I$2,$C$4,shape_factors!I$3)</f>
        <v>121.48482166042092</v>
      </c>
      <c r="J22" s="5">
        <f>EnergyLJ($A22,$C$2,$C$3,shape_factors!J$2,$C$4,shape_factors!J$3)</f>
        <v>-0.13386569875000451</v>
      </c>
      <c r="K22" s="5">
        <f>EnergyLJ($A22,$C$2,$C$3,shape_factors!K$2,$C$4,shape_factors!K$3)</f>
        <v>1.1561671217457332</v>
      </c>
      <c r="L22" s="5">
        <f>EnergyLJ($A22,$C$2,$C$3,shape_factors!L$2,$C$4,shape_factors!L$3)</f>
        <v>5.6185393519803055</v>
      </c>
      <c r="M22" s="5">
        <f>EnergyLJ($A22,$C$2,$C$3,shape_factors!M$2,$C$4,shape_factors!M$3)</f>
        <v>9.9302932528553003E-2</v>
      </c>
      <c r="N22" s="5">
        <f>EnergyLJ($A22,$C$2,$C$3,shape_factors!N$2,$C$4,shape_factors!N$3)</f>
        <v>-1.2013680700294087</v>
      </c>
      <c r="O22" s="5">
        <f>EnergyLJ($A22,$C$2,$C$3,shape_factors!O$2,$C$4,shape_factors!O$3)</f>
        <v>-1.2758392446282119</v>
      </c>
      <c r="P22" s="5">
        <f>EnergyLJ($A22,$C$2,$C$3,shape_factors!P$2,$C$4,shape_factors!P$3)</f>
        <v>-1.1668652878793797</v>
      </c>
      <c r="Q22" s="5">
        <f>EnergyLJ($A22,$C$2,$C$3,shape_factors!Q$2,$C$4,shape_factors!Q$3)</f>
        <v>-1.1106043502668939</v>
      </c>
      <c r="R22" s="5">
        <f>EnergyLJ($A22,$C$2,$C$3,shape_factors!R$2,$C$4,shape_factors!R$3)</f>
        <v>10.090274896791241</v>
      </c>
      <c r="S22" s="5">
        <f>EnergyLJ($A22,$C$2,$C$3,shape_factors!S$2,$C$4,shape_factors!S$3)</f>
        <v>-0.76523353325654608</v>
      </c>
      <c r="T22" s="5">
        <f>EnergyLJ($A22,$C$2,$C$3,shape_factors!T$2,$C$4,shape_factors!T$3)</f>
        <v>-1.2961337902386771</v>
      </c>
      <c r="U22" s="5">
        <f>EnergyLJ($A22,$C$2,$C$3,shape_factors!U$2,$C$4,shape_factors!U$3)</f>
        <v>9.6109810383347192</v>
      </c>
    </row>
    <row r="23" spans="1:21" x14ac:dyDescent="0.25">
      <c r="A23">
        <v>5.2</v>
      </c>
      <c r="B23" s="5">
        <f>EnergyLJ($A23,$C$2,$C$3,shape_factors!B$2,$C$4,shape_factors!B$3)</f>
        <v>275.22919619613646</v>
      </c>
      <c r="C23" s="5">
        <f>EnergyLJ($A23,$C$2,$C$3,shape_factors!C$2,$C$4,shape_factors!C$3)</f>
        <v>7.0460445931469939</v>
      </c>
      <c r="D23" s="5">
        <f>EnergyLJ($A23,$C$2,$C$3,shape_factors!D$2,$C$4,shape_factors!D$3)</f>
        <v>580.4787646252413</v>
      </c>
      <c r="E23" s="5">
        <f>EnergyLJ($A23,$C$2,$C$3,shape_factors!E$2,$C$4,shape_factors!E$3)</f>
        <v>39.391399792476285</v>
      </c>
      <c r="F23" s="5">
        <f>EnergyLJ($A23,$C$2,$C$3,shape_factors!F$2,$C$4,shape_factors!F$3)</f>
        <v>4.1151691864956872</v>
      </c>
      <c r="G23" s="5">
        <f>EnergyLJ($A23,$C$2,$C$3,shape_factors!G$2,$C$4,shape_factors!G$3)</f>
        <v>11.306504477295485</v>
      </c>
      <c r="H23" s="5">
        <f>EnergyLJ($A23,$C$2,$C$3,shape_factors!H$2,$C$4,shape_factors!H$3)</f>
        <v>19023.290547974135</v>
      </c>
      <c r="I23" s="5">
        <f>EnergyLJ($A23,$C$2,$C$3,shape_factors!I$2,$C$4,shape_factors!I$3)</f>
        <v>71.260816224529464</v>
      </c>
      <c r="J23" s="5">
        <f>EnergyLJ($A23,$C$2,$C$3,shape_factors!J$2,$C$4,shape_factors!J$3)</f>
        <v>-0.9225565782231917</v>
      </c>
      <c r="K23" s="5">
        <f>EnergyLJ($A23,$C$2,$C$3,shape_factors!K$2,$C$4,shape_factors!K$3)</f>
        <v>-0.3009685050129533</v>
      </c>
      <c r="L23" s="5">
        <f>EnergyLJ($A23,$C$2,$C$3,shape_factors!L$2,$C$4,shape_factors!L$3)</f>
        <v>2.0844787078084299</v>
      </c>
      <c r="M23" s="5">
        <f>EnergyLJ($A23,$C$2,$C$3,shape_factors!M$2,$C$4,shape_factors!M$3)</f>
        <v>-0.81585998727974318</v>
      </c>
      <c r="N23" s="5">
        <f>EnergyLJ($A23,$C$2,$C$3,shape_factors!N$2,$C$4,shape_factors!N$3)</f>
        <v>-1.2999167207102482</v>
      </c>
      <c r="O23" s="5">
        <f>EnergyLJ($A23,$C$2,$C$3,shape_factors!O$2,$C$4,shape_factors!O$3)</f>
        <v>-1.2864896884335015</v>
      </c>
      <c r="P23" s="5">
        <f>EnergyLJ($A23,$C$2,$C$3,shape_factors!P$2,$C$4,shape_factors!P$3)</f>
        <v>-1.2975706129268667</v>
      </c>
      <c r="Q23" s="5">
        <f>EnergyLJ($A23,$C$2,$C$3,shape_factors!Q$2,$C$4,shape_factors!Q$3)</f>
        <v>-1.2890036299057086</v>
      </c>
      <c r="R23" s="5">
        <f>EnergyLJ($A23,$C$2,$C$3,shape_factors!R$2,$C$4,shape_factors!R$3)</f>
        <v>4.5961178841726547</v>
      </c>
      <c r="S23" s="5">
        <f>EnergyLJ($A23,$C$2,$C$3,shape_factors!S$2,$C$4,shape_factors!S$3)</f>
        <v>-1.1851733341848034</v>
      </c>
      <c r="T23" s="5">
        <f>EnergyLJ($A23,$C$2,$C$3,shape_factors!T$2,$C$4,shape_factors!T$3)</f>
        <v>-1.2639237939436583</v>
      </c>
      <c r="U23" s="5">
        <f>EnergyLJ($A23,$C$2,$C$3,shape_factors!U$2,$C$4,shape_factors!U$3)</f>
        <v>4.323874076722098</v>
      </c>
    </row>
    <row r="24" spans="1:21" x14ac:dyDescent="0.25">
      <c r="A24">
        <v>5.4</v>
      </c>
      <c r="B24" s="5">
        <f>EnergyLJ($A24,$C$2,$C$3,shape_factors!B$2,$C$4,shape_factors!B$3)</f>
        <v>168.44147950207073</v>
      </c>
      <c r="C24" s="5">
        <f>EnergyLJ($A24,$C$2,$C$3,shape_factors!C$2,$C$4,shape_factors!C$3)</f>
        <v>2.9953075080448794</v>
      </c>
      <c r="D24" s="5">
        <f>EnergyLJ($A24,$C$2,$C$3,shape_factors!D$2,$C$4,shape_factors!D$3)</f>
        <v>359.75669823078448</v>
      </c>
      <c r="E24" s="5">
        <f>EnergyLJ($A24,$C$2,$C$3,shape_factors!E$2,$C$4,shape_factors!E$3)</f>
        <v>22.274340377521991</v>
      </c>
      <c r="F24" s="5">
        <f>EnergyLJ($A24,$C$2,$C$3,shape_factors!F$2,$C$4,shape_factors!F$3)</f>
        <v>1.3389098839814308</v>
      </c>
      <c r="G24" s="5">
        <f>EnergyLJ($A24,$C$2,$C$3,shape_factors!G$2,$C$4,shape_factors!G$3)</f>
        <v>5.4603061202313574</v>
      </c>
      <c r="H24" s="5">
        <f>EnergyLJ($A24,$C$2,$C$3,shape_factors!H$2,$C$4,shape_factors!H$3)</f>
        <v>12043.614917020348</v>
      </c>
      <c r="I24" s="5">
        <f>EnergyLJ($A24,$C$2,$C$3,shape_factors!I$2,$C$4,shape_factors!I$3)</f>
        <v>41.748450560387511</v>
      </c>
      <c r="J24" s="5">
        <f>EnergyLJ($A24,$C$2,$C$3,shape_factors!J$2,$C$4,shape_factors!J$3)</f>
        <v>-1.2330048706796375</v>
      </c>
      <c r="K24" s="5">
        <f>EnergyLJ($A24,$C$2,$C$3,shape_factors!K$2,$C$4,shape_factors!K$3)</f>
        <v>-0.9797111846563592</v>
      </c>
      <c r="L24" s="5">
        <f>EnergyLJ($A24,$C$2,$C$3,shape_factors!L$2,$C$4,shape_factors!L$3)</f>
        <v>0.2273771417196695</v>
      </c>
      <c r="M24" s="5">
        <f>EnergyLJ($A24,$C$2,$C$3,shape_factors!M$2,$C$4,shape_factors!M$3)</f>
        <v>-1.1951732421403234</v>
      </c>
      <c r="N24" s="5">
        <f>EnergyLJ($A24,$C$2,$C$3,shape_factors!N$2,$C$4,shape_factors!N$3)</f>
        <v>-1.2499304826737982</v>
      </c>
      <c r="O24" s="5">
        <f>EnergyLJ($A24,$C$2,$C$3,shape_factors!O$2,$C$4,shape_factors!O$3)</f>
        <v>-1.1952055977688065</v>
      </c>
      <c r="P24" s="5">
        <f>EnergyLJ($A24,$C$2,$C$3,shape_factors!P$2,$C$4,shape_factors!P$3)</f>
        <v>-1.2632367146284516</v>
      </c>
      <c r="Q24" s="5">
        <f>EnergyLJ($A24,$C$2,$C$3,shape_factors!Q$2,$C$4,shape_factors!Q$3)</f>
        <v>-1.2782661241753903</v>
      </c>
      <c r="R24" s="5">
        <f>EnergyLJ($A24,$C$2,$C$3,shape_factors!R$2,$C$4,shape_factors!R$3)</f>
        <v>1.6074284255158604</v>
      </c>
      <c r="S24" s="5">
        <f>EnergyLJ($A24,$C$2,$C$3,shape_factors!S$2,$C$4,shape_factors!S$3)</f>
        <v>-1.2984667112915123</v>
      </c>
      <c r="T24" s="5">
        <f>EnergyLJ($A24,$C$2,$C$3,shape_factors!T$2,$C$4,shape_factors!T$3)</f>
        <v>-1.1537027169758001</v>
      </c>
      <c r="U24" s="5">
        <f>EnergyLJ($A24,$C$2,$C$3,shape_factors!U$2,$C$4,shape_factors!U$3)</f>
        <v>1.4552367262106116</v>
      </c>
    </row>
    <row r="25" spans="1:21" x14ac:dyDescent="0.25">
      <c r="A25">
        <v>5.6</v>
      </c>
      <c r="B25" s="5">
        <f>EnergyLJ($A25,$C$2,$C$3,shape_factors!B$2,$C$4,shape_factors!B$3)</f>
        <v>103.78016011375693</v>
      </c>
      <c r="C25" s="5">
        <f>EnergyLJ($A25,$C$2,$C$3,shape_factors!C$2,$C$4,shape_factors!C$3)</f>
        <v>0.78137401698780085</v>
      </c>
      <c r="D25" s="5">
        <f>EnergyLJ($A25,$C$2,$C$3,shape_factors!D$2,$C$4,shape_factors!D$3)</f>
        <v>225.29033593113996</v>
      </c>
      <c r="E25" s="5">
        <f>EnergyLJ($A25,$C$2,$C$3,shape_factors!E$2,$C$4,shape_factors!E$3)</f>
        <v>12.242251390851616</v>
      </c>
      <c r="F25" s="5">
        <f>EnergyLJ($A25,$C$2,$C$3,shape_factors!F$2,$C$4,shape_factors!F$3)</f>
        <v>-0.12821444691214059</v>
      </c>
      <c r="G25" s="5">
        <f>EnergyLJ($A25,$C$2,$C$3,shape_factors!G$2,$C$4,shape_factors!G$3)</f>
        <v>2.1850282205939604</v>
      </c>
      <c r="H25" s="5">
        <f>EnergyLJ($A25,$C$2,$C$3,shape_factors!H$2,$C$4,shape_factors!H$3)</f>
        <v>7744.5552035821247</v>
      </c>
      <c r="I25" s="5">
        <f>EnergyLJ($A25,$C$2,$C$3,shape_factors!I$2,$C$4,shape_factors!I$3)</f>
        <v>24.216307551886107</v>
      </c>
      <c r="J25" s="5">
        <f>EnergyLJ($A25,$C$2,$C$3,shape_factors!J$2,$C$4,shape_factors!J$3)</f>
        <v>-1.2997619834856009</v>
      </c>
      <c r="K25" s="5">
        <f>EnergyLJ($A25,$C$2,$C$3,shape_factors!K$2,$C$4,shape_factors!K$3)</f>
        <v>-1.2464200137574779</v>
      </c>
      <c r="L25" s="5">
        <f>EnergyLJ($A25,$C$2,$C$3,shape_factors!L$2,$C$4,shape_factors!L$3)</f>
        <v>-0.70699116810712703</v>
      </c>
      <c r="M25" s="5">
        <f>EnergyLJ($A25,$C$2,$C$3,shape_factors!M$2,$C$4,shape_factors!M$3)</f>
        <v>-1.2986474006874953</v>
      </c>
      <c r="N25" s="5">
        <f>EnergyLJ($A25,$C$2,$C$3,shape_factors!N$2,$C$4,shape_factors!N$3)</f>
        <v>-1.137255598976133</v>
      </c>
      <c r="O25" s="5">
        <f>EnergyLJ($A25,$C$2,$C$3,shape_factors!O$2,$C$4,shape_factors!O$3)</f>
        <v>-1.0659591411316922</v>
      </c>
      <c r="P25" s="5">
        <f>EnergyLJ($A25,$C$2,$C$3,shape_factors!P$2,$C$4,shape_factors!P$3)</f>
        <v>-1.1573658366182988</v>
      </c>
      <c r="Q25" s="5">
        <f>EnergyLJ($A25,$C$2,$C$3,shape_factors!Q$2,$C$4,shape_factors!Q$3)</f>
        <v>-1.183006462620571</v>
      </c>
      <c r="R25" s="5">
        <f>EnergyLJ($A25,$C$2,$C$3,shape_factors!R$2,$C$4,shape_factors!R$3)</f>
        <v>1.6358522390470753E-2</v>
      </c>
      <c r="S25" s="5">
        <f>EnergyLJ($A25,$C$2,$C$3,shape_factors!S$2,$C$4,shape_factors!S$3)</f>
        <v>-1.2631209300570703</v>
      </c>
      <c r="T25" s="5">
        <f>EnergyLJ($A25,$C$2,$C$3,shape_factors!T$2,$C$4,shape_factors!T$3)</f>
        <v>-1.0180120998227522</v>
      </c>
      <c r="U25" s="5">
        <f>EnergyLJ($A25,$C$2,$C$3,shape_factors!U$2,$C$4,shape_factors!U$3)</f>
        <v>-6.5755865948997988E-2</v>
      </c>
    </row>
    <row r="26" spans="1:21" x14ac:dyDescent="0.25">
      <c r="A26">
        <v>5.8</v>
      </c>
      <c r="B26" s="5">
        <f>EnergyLJ($A26,$C$2,$C$3,shape_factors!B$2,$C$4,shape_factors!B$3)</f>
        <v>64.118361813436593</v>
      </c>
      <c r="C26" s="5">
        <f>EnergyLJ($A26,$C$2,$C$3,shape_factors!C$2,$C$4,shape_factors!C$3)</f>
        <v>-0.39309943470936809</v>
      </c>
      <c r="D26" s="5">
        <f>EnergyLJ($A26,$C$2,$C$3,shape_factors!D$2,$C$4,shape_factors!D$3)</f>
        <v>142.18448479144763</v>
      </c>
      <c r="E26" s="5">
        <f>EnergyLJ($A26,$C$2,$C$3,shape_factors!E$2,$C$4,shape_factors!E$3)</f>
        <v>6.3442642479615294</v>
      </c>
      <c r="F26" s="5">
        <f>EnergyLJ($A26,$C$2,$C$3,shape_factors!F$2,$C$4,shape_factors!F$3)</f>
        <v>-0.863745539432205</v>
      </c>
      <c r="G26" s="5">
        <f>EnergyLJ($A26,$C$2,$C$3,shape_factors!G$2,$C$4,shape_factors!G$3)</f>
        <v>0.37939569650229926</v>
      </c>
      <c r="H26" s="5">
        <f>EnergyLJ($A26,$C$2,$C$3,shape_factors!H$2,$C$4,shape_factors!H$3)</f>
        <v>5051.6928051995283</v>
      </c>
      <c r="I26" s="5">
        <f>EnergyLJ($A26,$C$2,$C$3,shape_factors!I$2,$C$4,shape_factors!I$3)</f>
        <v>13.722152120782003</v>
      </c>
      <c r="J26" s="5">
        <f>EnergyLJ($A26,$C$2,$C$3,shape_factors!J$2,$C$4,shape_factors!J$3)</f>
        <v>-1.2475717734374798</v>
      </c>
      <c r="K26" s="5">
        <f>EnergyLJ($A26,$C$2,$C$3,shape_factors!K$2,$C$4,shape_factors!K$3)</f>
        <v>-1.2991620459373179</v>
      </c>
      <c r="L26" s="5">
        <f>EnergyLJ($A26,$C$2,$C$3,shape_factors!L$2,$C$4,shape_factors!L$3)</f>
        <v>-1.1340319299986923</v>
      </c>
      <c r="M26" s="5">
        <f>EnergyLJ($A26,$C$2,$C$3,shape_factors!M$2,$C$4,shape_factors!M$3)</f>
        <v>-1.2651511955853851</v>
      </c>
      <c r="N26" s="5">
        <f>EnergyLJ($A26,$C$2,$C$3,shape_factors!N$2,$C$4,shape_factors!N$3)</f>
        <v>-1.0048284737663593</v>
      </c>
      <c r="O26" s="5">
        <f>EnergyLJ($A26,$C$2,$C$3,shape_factors!O$2,$C$4,shape_factors!O$3)</f>
        <v>-0.92984796094420641</v>
      </c>
      <c r="P26" s="5">
        <f>EnergyLJ($A26,$C$2,$C$3,shape_factors!P$2,$C$4,shape_factors!P$3)</f>
        <v>-1.0270579062154799</v>
      </c>
      <c r="Q26" s="5">
        <f>EnergyLJ($A26,$C$2,$C$3,shape_factors!Q$2,$C$4,shape_factors!Q$3)</f>
        <v>-1.0563823547553719</v>
      </c>
      <c r="R26" s="5">
        <f>EnergyLJ($A26,$C$2,$C$3,shape_factors!R$2,$C$4,shape_factors!R$3)</f>
        <v>-0.79159953059184285</v>
      </c>
      <c r="S26" s="5">
        <f>EnergyLJ($A26,$C$2,$C$3,shape_factors!S$2,$C$4,shape_factors!S$3)</f>
        <v>-1.1615771935945729</v>
      </c>
      <c r="T26" s="5">
        <f>EnergyLJ($A26,$C$2,$C$3,shape_factors!T$2,$C$4,shape_factors!T$3)</f>
        <v>-0.88180701556549312</v>
      </c>
      <c r="U26" s="5">
        <f>EnergyLJ($A26,$C$2,$C$3,shape_factors!U$2,$C$4,shape_factors!U$3)</f>
        <v>-0.83273980253637547</v>
      </c>
    </row>
    <row r="27" spans="1:21" x14ac:dyDescent="0.25">
      <c r="A27">
        <v>6</v>
      </c>
      <c r="B27" s="5">
        <f>EnergyLJ($A27,$C$2,$C$3,shape_factors!B$2,$C$4,shape_factors!B$3)</f>
        <v>39.527407638129326</v>
      </c>
      <c r="C27" s="5">
        <f>EnergyLJ($A27,$C$2,$C$3,shape_factors!C$2,$C$4,shape_factors!C$3)</f>
        <v>-0.97830844999974442</v>
      </c>
      <c r="D27" s="5">
        <f>EnergyLJ($A27,$C$2,$C$3,shape_factors!D$2,$C$4,shape_factors!D$3)</f>
        <v>90.168803966101081</v>
      </c>
      <c r="E27" s="5">
        <f>EnergyLJ($A27,$C$2,$C$3,shape_factors!E$2,$C$4,shape_factors!E$3)</f>
        <v>2.8864762942710382</v>
      </c>
      <c r="F27" s="5">
        <f>EnergyLJ($A27,$C$2,$C$3,shape_factors!F$2,$C$4,shape_factors!F$3)</f>
        <v>-1.1917118385456844</v>
      </c>
      <c r="G27" s="5">
        <f>EnergyLJ($A27,$C$2,$C$3,shape_factors!G$2,$C$4,shape_factors!G$3)</f>
        <v>-0.58167861275256283</v>
      </c>
      <c r="H27" s="5">
        <f>EnergyLJ($A27,$C$2,$C$3,shape_factors!H$2,$C$4,shape_factors!H$3)</f>
        <v>3338.5058036498917</v>
      </c>
      <c r="I27" s="5">
        <f>EnergyLJ($A27,$C$2,$C$3,shape_factors!I$2,$C$4,shape_factors!I$3)</f>
        <v>7.4179352820254199</v>
      </c>
      <c r="J27" s="5">
        <f>EnergyLJ($A27,$C$2,$C$3,shape_factors!J$2,$C$4,shape_factors!J$3)</f>
        <v>-1.1426415145150108</v>
      </c>
      <c r="K27" s="5">
        <f>EnergyLJ($A27,$C$2,$C$3,shape_factors!K$2,$C$4,shape_factors!K$3)</f>
        <v>-1.2454892404430089</v>
      </c>
      <c r="L27" s="5">
        <f>EnergyLJ($A27,$C$2,$C$3,shape_factors!L$2,$C$4,shape_factors!L$3)</f>
        <v>-1.2849807460350851</v>
      </c>
      <c r="M27" s="5">
        <f>EnergyLJ($A27,$C$2,$C$3,shape_factors!M$2,$C$4,shape_factors!M$3)</f>
        <v>-1.1688292594132419</v>
      </c>
      <c r="N27" s="5">
        <f>EnergyLJ($A27,$C$2,$C$3,shape_factors!N$2,$C$4,shape_factors!N$3)</f>
        <v>-0.87338742436045336</v>
      </c>
      <c r="O27" s="5">
        <f>EnergyLJ($A27,$C$2,$C$3,shape_factors!O$2,$C$4,shape_factors!O$3)</f>
        <v>-0.80117231381358156</v>
      </c>
      <c r="P27" s="5">
        <f>EnergyLJ($A27,$C$2,$C$3,shape_factors!P$2,$C$4,shape_factors!P$3)</f>
        <v>-0.89533016435242441</v>
      </c>
      <c r="Q27" s="5">
        <f>EnergyLJ($A27,$C$2,$C$3,shape_factors!Q$2,$C$4,shape_factors!Q$3)</f>
        <v>-0.92473755069283037</v>
      </c>
      <c r="R27" s="5">
        <f>EnergyLJ($A27,$C$2,$C$3,shape_factors!R$2,$C$4,shape_factors!R$3)</f>
        <v>-1.1616678379653964</v>
      </c>
      <c r="S27" s="5">
        <f>EnergyLJ($A27,$C$2,$C$3,shape_factors!S$2,$C$4,shape_factors!S$3)</f>
        <v>-1.036389943958659</v>
      </c>
      <c r="T27" s="5">
        <f>EnergyLJ($A27,$C$2,$C$3,shape_factors!T$2,$C$4,shape_factors!T$3)</f>
        <v>-0.75607987000180277</v>
      </c>
      <c r="U27" s="5">
        <f>EnergyLJ($A27,$C$2,$C$3,shape_factors!U$2,$C$4,shape_factors!U$3)</f>
        <v>-1.1789694510344704</v>
      </c>
    </row>
    <row r="28" spans="1:21" x14ac:dyDescent="0.25">
      <c r="A28">
        <v>6.2</v>
      </c>
      <c r="B28" s="5">
        <f>EnergyLJ($A28,$C$2,$C$3,shape_factors!B$2,$C$4,shape_factors!B$3)</f>
        <v>24.150481764638943</v>
      </c>
      <c r="C28" s="5">
        <f>EnergyLJ($A28,$C$2,$C$3,shape_factors!C$2,$C$4,shape_factors!C$3)</f>
        <v>-1.2312229588699928</v>
      </c>
      <c r="D28" s="5">
        <f>EnergyLJ($A28,$C$2,$C$3,shape_factors!D$2,$C$4,shape_factors!D$3)</f>
        <v>57.256666455076555</v>
      </c>
      <c r="E28" s="5">
        <f>EnergyLJ($A28,$C$2,$C$3,shape_factors!E$2,$C$4,shape_factors!E$3)</f>
        <v>0.88163966274528205</v>
      </c>
      <c r="F28" s="5">
        <f>EnergyLJ($A28,$C$2,$C$3,shape_factors!F$2,$C$4,shape_factors!F$3)</f>
        <v>-1.2955549049153408</v>
      </c>
      <c r="G28" s="5">
        <f>EnergyLJ($A28,$C$2,$C$3,shape_factors!G$2,$C$4,shape_factors!G$3)</f>
        <v>-1.0574016298692925</v>
      </c>
      <c r="H28" s="5">
        <f>EnergyLJ($A28,$C$2,$C$3,shape_factors!H$2,$C$4,shape_factors!H$3)</f>
        <v>2232.796765016471</v>
      </c>
      <c r="I28" s="5">
        <f>EnergyLJ($A28,$C$2,$C$3,shape_factors!I$2,$C$4,shape_factors!I$3)</f>
        <v>3.635787665895355</v>
      </c>
      <c r="J28" s="5">
        <f>EnergyLJ($A28,$C$2,$C$3,shape_factors!J$2,$C$4,shape_factors!J$3)</f>
        <v>-1.0196635116667774</v>
      </c>
      <c r="K28" s="5">
        <f>EnergyLJ($A28,$C$2,$C$3,shape_factors!K$2,$C$4,shape_factors!K$3)</f>
        <v>-1.1436529514716798</v>
      </c>
      <c r="L28" s="5">
        <f>EnergyLJ($A28,$C$2,$C$3,shape_factors!L$2,$C$4,shape_factors!L$3)</f>
        <v>-1.2893984407373096</v>
      </c>
      <c r="M28" s="5">
        <f>EnergyLJ($A28,$C$2,$C$3,shape_factors!M$2,$C$4,shape_factors!M$3)</f>
        <v>-1.0488767780892427</v>
      </c>
      <c r="N28" s="5">
        <f>EnergyLJ($A28,$C$2,$C$3,shape_factors!N$2,$C$4,shape_factors!N$3)</f>
        <v>-0.75220003857656415</v>
      </c>
      <c r="O28" s="5">
        <f>EnergyLJ($A28,$C$2,$C$3,shape_factors!O$2,$C$4,shape_factors!O$3)</f>
        <v>-0.68570560207615183</v>
      </c>
      <c r="P28" s="5">
        <f>EnergyLJ($A28,$C$2,$C$3,shape_factors!P$2,$C$4,shape_factors!P$3)</f>
        <v>-0.77269828892097847</v>
      </c>
      <c r="Q28" s="5">
        <f>EnergyLJ($A28,$C$2,$C$3,shape_factors!Q$2,$C$4,shape_factors!Q$3)</f>
        <v>-0.80041768059872664</v>
      </c>
      <c r="R28" s="5">
        <f>EnergyLJ($A28,$C$2,$C$3,shape_factors!R$2,$C$4,shape_factors!R$3)</f>
        <v>-1.2896213092001581</v>
      </c>
      <c r="S28" s="5">
        <f>EnergyLJ($A28,$C$2,$C$3,shape_factors!S$2,$C$4,shape_factors!S$3)</f>
        <v>-0.90892071217395687</v>
      </c>
      <c r="T28" s="5">
        <f>EnergyLJ($A28,$C$2,$C$3,shape_factors!T$2,$C$4,shape_factors!T$3)</f>
        <v>-0.6448335500493696</v>
      </c>
      <c r="U28" s="5">
        <f>EnergyLJ($A28,$C$2,$C$3,shape_factors!U$2,$C$4,shape_factors!U$3)</f>
        <v>-1.2932542234293911</v>
      </c>
    </row>
    <row r="29" spans="1:21" x14ac:dyDescent="0.25">
      <c r="A29">
        <v>6.4</v>
      </c>
      <c r="B29" s="5">
        <f>EnergyLJ($A29,$C$2,$C$3,shape_factors!B$2,$C$4,shape_factors!B$3)</f>
        <v>14.47732888962712</v>
      </c>
      <c r="C29" s="5">
        <f>EnergyLJ($A29,$C$2,$C$3,shape_factors!C$2,$C$4,shape_factors!C$3)</f>
        <v>-1.2996387897573942</v>
      </c>
      <c r="D29" s="5">
        <f>EnergyLJ($A29,$C$2,$C$3,shape_factors!D$2,$C$4,shape_factors!D$3)</f>
        <v>36.242690527306451</v>
      </c>
      <c r="E29" s="5">
        <f>EnergyLJ($A29,$C$2,$C$3,shape_factors!E$2,$C$4,shape_factors!E$3)</f>
        <v>-0.25329160174276766</v>
      </c>
      <c r="F29" s="5">
        <f>EnergyLJ($A29,$C$2,$C$3,shape_factors!F$2,$C$4,shape_factors!F$3)</f>
        <v>-1.2796500103384478</v>
      </c>
      <c r="G29" s="5">
        <f>EnergyLJ($A29,$C$2,$C$3,shape_factors!G$2,$C$4,shape_factors!G$3)</f>
        <v>-1.256171989631897</v>
      </c>
      <c r="H29" s="5">
        <f>EnergyLJ($A29,$C$2,$C$3,shape_factors!H$2,$C$4,shape_factors!H$3)</f>
        <v>1509.5962139173789</v>
      </c>
      <c r="I29" s="5">
        <f>EnergyLJ($A29,$C$2,$C$3,shape_factors!I$2,$C$4,shape_factors!I$3)</f>
        <v>1.3848781691857812</v>
      </c>
      <c r="J29" s="5">
        <f>EnergyLJ($A29,$C$2,$C$3,shape_factors!J$2,$C$4,shape_factors!J$3)</f>
        <v>-0.89627452945424069</v>
      </c>
      <c r="K29" s="5">
        <f>EnergyLJ($A29,$C$2,$C$3,shape_factors!K$2,$C$4,shape_factors!K$3)</f>
        <v>-1.0248097343876095</v>
      </c>
      <c r="L29" s="5">
        <f>EnergyLJ($A29,$C$2,$C$3,shape_factors!L$2,$C$4,shape_factors!L$3)</f>
        <v>-1.2199868703599004</v>
      </c>
      <c r="M29" s="5">
        <f>EnergyLJ($A29,$C$2,$C$3,shape_factors!M$2,$C$4,shape_factors!M$3)</f>
        <v>-0.92549960769893735</v>
      </c>
      <c r="N29" s="5">
        <f>EnergyLJ($A29,$C$2,$C$3,shape_factors!N$2,$C$4,shape_factors!N$3)</f>
        <v>-0.64467541649365157</v>
      </c>
      <c r="O29" s="5">
        <f>EnergyLJ($A29,$C$2,$C$3,shape_factors!O$2,$C$4,shape_factors!O$3)</f>
        <v>-0.58498229225587506</v>
      </c>
      <c r="P29" s="5">
        <f>EnergyLJ($A29,$C$2,$C$3,shape_factors!P$2,$C$4,shape_factors!P$3)</f>
        <v>-0.66324981069924371</v>
      </c>
      <c r="Q29" s="5">
        <f>EnergyLJ($A29,$C$2,$C$3,shape_factors!Q$2,$C$4,shape_factors!Q$3)</f>
        <v>-0.68851133004447462</v>
      </c>
      <c r="R29" s="5">
        <f>EnergyLJ($A29,$C$2,$C$3,shape_factors!R$2,$C$4,shape_factors!R$3)</f>
        <v>-1.2871052195651862</v>
      </c>
      <c r="S29" s="5">
        <f>EnergyLJ($A29,$C$2,$C$3,shape_factors!S$2,$C$4,shape_factors!S$3)</f>
        <v>-0.78926630982022483</v>
      </c>
      <c r="T29" s="5">
        <f>EnergyLJ($A29,$C$2,$C$3,shape_factors!T$2,$C$4,shape_factors!T$3)</f>
        <v>-0.54867212505902785</v>
      </c>
      <c r="U29" s="5">
        <f>EnergyLJ($A29,$C$2,$C$3,shape_factors!U$2,$C$4,shape_factors!U$3)</f>
        <v>-1.283132754919454</v>
      </c>
    </row>
    <row r="30" spans="1:21" x14ac:dyDescent="0.25">
      <c r="A30">
        <v>6.6</v>
      </c>
      <c r="B30" s="5">
        <f>EnergyLJ($A30,$C$2,$C$3,shape_factors!B$2,$C$4,shape_factors!B$3)</f>
        <v>8.373375330984695</v>
      </c>
      <c r="C30" s="5">
        <f>EnergyLJ($A30,$C$2,$C$3,shape_factors!C$2,$C$4,shape_factors!C$3)</f>
        <v>-1.2688764791007479</v>
      </c>
      <c r="D30" s="5">
        <f>EnergyLJ($A30,$C$2,$C$3,shape_factors!D$2,$C$4,shape_factors!D$3)</f>
        <v>22.729745340431169</v>
      </c>
      <c r="E30" s="5">
        <f>EnergyLJ($A30,$C$2,$C$3,shape_factors!E$2,$C$4,shape_factors!E$3)</f>
        <v>-0.8665262436082809</v>
      </c>
      <c r="F30" s="5">
        <f>EnergyLJ($A30,$C$2,$C$3,shape_factors!F$2,$C$4,shape_factors!F$3)</f>
        <v>-1.2033885993645941</v>
      </c>
      <c r="G30" s="5">
        <f>EnergyLJ($A30,$C$2,$C$3,shape_factors!G$2,$C$4,shape_factors!G$3)</f>
        <v>-1.2996701136219371</v>
      </c>
      <c r="H30" s="5">
        <f>EnergyLJ($A30,$C$2,$C$3,shape_factors!H$2,$C$4,shape_factors!H$3)</f>
        <v>1030.7134836315408</v>
      </c>
      <c r="I30" s="5">
        <f>EnergyLJ($A30,$C$2,$C$3,shape_factors!I$2,$C$4,shape_factors!I$3)</f>
        <v>6.912948328699775E-2</v>
      </c>
      <c r="J30" s="5">
        <f>EnergyLJ($A30,$C$2,$C$3,shape_factors!J$2,$C$4,shape_factors!J$3)</f>
        <v>-0.78088824540902624</v>
      </c>
      <c r="K30" s="5">
        <f>EnergyLJ($A30,$C$2,$C$3,shape_factors!K$2,$C$4,shape_factors!K$3)</f>
        <v>-0.90515504513163203</v>
      </c>
      <c r="L30" s="5">
        <f>EnergyLJ($A30,$C$2,$C$3,shape_factors!L$2,$C$4,shape_factors!L$3)</f>
        <v>-1.1173308545545624</v>
      </c>
      <c r="M30" s="5">
        <f>EnergyLJ($A30,$C$2,$C$3,shape_factors!M$2,$C$4,shape_factors!M$3)</f>
        <v>-0.80857870538768839</v>
      </c>
      <c r="N30" s="5">
        <f>EnergyLJ($A30,$C$2,$C$3,shape_factors!N$2,$C$4,shape_factors!N$3)</f>
        <v>-0.55131548231237859</v>
      </c>
      <c r="O30" s="5">
        <f>EnergyLJ($A30,$C$2,$C$3,shape_factors!O$2,$C$4,shape_factors!O$3)</f>
        <v>-0.49852516386064027</v>
      </c>
      <c r="P30" s="5">
        <f>EnergyLJ($A30,$C$2,$C$3,shape_factors!P$2,$C$4,shape_factors!P$3)</f>
        <v>-0.56784823016976493</v>
      </c>
      <c r="Q30" s="5">
        <f>EnergyLJ($A30,$C$2,$C$3,shape_factors!Q$2,$C$4,shape_factors!Q$3)</f>
        <v>-0.59042063943796752</v>
      </c>
      <c r="R30" s="5">
        <f>EnergyLJ($A30,$C$2,$C$3,shape_factors!R$2,$C$4,shape_factors!R$3)</f>
        <v>-1.2178425820211878</v>
      </c>
      <c r="S30" s="5">
        <f>EnergyLJ($A30,$C$2,$C$3,shape_factors!S$2,$C$4,shape_factors!S$3)</f>
        <v>-0.68158478806928091</v>
      </c>
      <c r="T30" s="5">
        <f>EnergyLJ($A30,$C$2,$C$3,shape_factors!T$2,$C$4,shape_factors!T$3)</f>
        <v>-0.46664835813108718</v>
      </c>
      <c r="U30" s="5">
        <f>EnergyLJ($A30,$C$2,$C$3,shape_factors!U$2,$C$4,shape_factors!U$3)</f>
        <v>-1.2098806960886148</v>
      </c>
    </row>
    <row r="31" spans="1:21" x14ac:dyDescent="0.25">
      <c r="A31">
        <v>6.8</v>
      </c>
      <c r="B31" s="5">
        <f>EnergyLJ($A31,$C$2,$C$3,shape_factors!B$2,$C$4,shape_factors!B$3)</f>
        <v>4.5234097878617971</v>
      </c>
      <c r="C31" s="5">
        <f>EnergyLJ($A31,$C$2,$C$3,shape_factors!C$2,$C$4,shape_factors!C$3)</f>
        <v>-1.1881314543811123</v>
      </c>
      <c r="D31" s="5">
        <f>EnergyLJ($A31,$C$2,$C$3,shape_factors!D$2,$C$4,shape_factors!D$3)</f>
        <v>13.997017455903656</v>
      </c>
      <c r="E31" s="5">
        <f>EnergyLJ($A31,$C$2,$C$3,shape_factors!E$2,$C$4,shape_factors!E$3)</f>
        <v>-1.1679140379829052</v>
      </c>
      <c r="F31" s="5">
        <f>EnergyLJ($A31,$C$2,$C$3,shape_factors!F$2,$C$4,shape_factors!F$3)</f>
        <v>-1.1003418259304396</v>
      </c>
      <c r="G31" s="5">
        <f>EnergyLJ($A31,$C$2,$C$3,shape_factors!G$2,$C$4,shape_factors!G$3)</f>
        <v>-1.2591295096248363</v>
      </c>
      <c r="H31" s="5">
        <f>EnergyLJ($A31,$C$2,$C$3,shape_factors!H$2,$C$4,shape_factors!H$3)</f>
        <v>709.97452563607396</v>
      </c>
      <c r="I31" s="5">
        <f>EnergyLJ($A31,$C$2,$C$3,shape_factors!I$2,$C$4,shape_factors!I$3)</f>
        <v>-0.67395448970454397</v>
      </c>
      <c r="J31" s="5">
        <f>EnergyLJ($A31,$C$2,$C$3,shape_factors!J$2,$C$4,shape_factors!J$3)</f>
        <v>-0.67697595350203921</v>
      </c>
      <c r="K31" s="5">
        <f>EnergyLJ($A31,$C$2,$C$3,shape_factors!K$2,$C$4,shape_factors!K$3)</f>
        <v>-0.79262914947113616</v>
      </c>
      <c r="L31" s="5">
        <f>EnergyLJ($A31,$C$2,$C$3,shape_factors!L$2,$C$4,shape_factors!L$3)</f>
        <v>-1.0037502518793753</v>
      </c>
      <c r="M31" s="5">
        <f>EnergyLJ($A31,$C$2,$C$3,shape_factors!M$2,$C$4,shape_factors!M$3)</f>
        <v>-0.70241904042065995</v>
      </c>
      <c r="N31" s="5">
        <f>EnergyLJ($A31,$C$2,$C$3,shape_factors!N$2,$C$4,shape_factors!N$3)</f>
        <v>-0.47126515497770805</v>
      </c>
      <c r="O31" s="5">
        <f>EnergyLJ($A31,$C$2,$C$3,shape_factors!O$2,$C$4,shape_factors!O$3)</f>
        <v>-0.42499501437627291</v>
      </c>
      <c r="P31" s="5">
        <f>EnergyLJ($A31,$C$2,$C$3,shape_factors!P$2,$C$4,shape_factors!P$3)</f>
        <v>-0.4858234738345607</v>
      </c>
      <c r="Q31" s="5">
        <f>EnergyLJ($A31,$C$2,$C$3,shape_factors!Q$2,$C$4,shape_factors!Q$3)</f>
        <v>-0.50575546845260133</v>
      </c>
      <c r="R31" s="5">
        <f>EnergyLJ($A31,$C$2,$C$3,shape_factors!R$2,$C$4,shape_factors!R$3)</f>
        <v>-1.1180072590592021</v>
      </c>
      <c r="S31" s="5">
        <f>EnergyLJ($A31,$C$2,$C$3,shape_factors!S$2,$C$4,shape_factors!S$3)</f>
        <v>-0.58696945543801271</v>
      </c>
      <c r="T31" s="5">
        <f>EnergyLJ($A31,$C$2,$C$3,shape_factors!T$2,$C$4,shape_factors!T$3)</f>
        <v>-0.3972044095813102</v>
      </c>
      <c r="U31" s="5">
        <f>EnergyLJ($A31,$C$2,$C$3,shape_factors!U$2,$C$4,shape_factors!U$3)</f>
        <v>-1.1082009325596391</v>
      </c>
    </row>
    <row r="32" spans="1:21" x14ac:dyDescent="0.25">
      <c r="A32">
        <v>7</v>
      </c>
      <c r="B32" s="5">
        <f>EnergyLJ($A32,$C$2,$C$3,shape_factors!B$2,$C$4,shape_factors!B$3)</f>
        <v>2.1074078762225876</v>
      </c>
      <c r="C32" s="5">
        <f>EnergyLJ($A32,$C$2,$C$3,shape_factors!C$2,$C$4,shape_factors!C$3)</f>
        <v>-1.0855467515285118</v>
      </c>
      <c r="D32" s="5">
        <f>EnergyLJ($A32,$C$2,$C$3,shape_factors!D$2,$C$4,shape_factors!D$3)</f>
        <v>8.3394528135701975</v>
      </c>
      <c r="E32" s="5">
        <f>EnergyLJ($A32,$C$2,$C$3,shape_factors!E$2,$C$4,shape_factors!E$3)</f>
        <v>-1.2847726008012914</v>
      </c>
      <c r="F32" s="5">
        <f>EnergyLJ($A32,$C$2,$C$3,shape_factors!F$2,$C$4,shape_factors!F$3)</f>
        <v>-0.98917490118493645</v>
      </c>
      <c r="G32" s="5">
        <f>EnergyLJ($A32,$C$2,$C$3,shape_factors!G$2,$C$4,shape_factors!G$3)</f>
        <v>-1.1761601807038546</v>
      </c>
      <c r="H32" s="5">
        <f>EnergyLJ($A32,$C$2,$C$3,shape_factors!H$2,$C$4,shape_factors!H$3)</f>
        <v>492.87956001799688</v>
      </c>
      <c r="I32" s="5">
        <f>EnergyLJ($A32,$C$2,$C$3,shape_factors!I$2,$C$4,shape_factors!I$3)</f>
        <v>-1.0668073524109922</v>
      </c>
      <c r="J32" s="5">
        <f>EnergyLJ($A32,$C$2,$C$3,shape_factors!J$2,$C$4,shape_factors!J$3)</f>
        <v>-0.58541790213989309</v>
      </c>
      <c r="K32" s="5">
        <f>EnergyLJ($A32,$C$2,$C$3,shape_factors!K$2,$C$4,shape_factors!K$3)</f>
        <v>-0.69065445008036863</v>
      </c>
      <c r="L32" s="5">
        <f>EnergyLJ($A32,$C$2,$C$3,shape_factors!L$2,$C$4,shape_factors!L$3)</f>
        <v>-0.89114734061428114</v>
      </c>
      <c r="M32" s="5">
        <f>EnergyLJ($A32,$C$2,$C$3,shape_factors!M$2,$C$4,shape_factors!M$3)</f>
        <v>-0.60836788346689452</v>
      </c>
      <c r="N32" s="5">
        <f>EnergyLJ($A32,$C$2,$C$3,shape_factors!N$2,$C$4,shape_factors!N$3)</f>
        <v>-0.40311838207389833</v>
      </c>
      <c r="O32" s="5">
        <f>EnergyLJ($A32,$C$2,$C$3,shape_factors!O$2,$C$4,shape_factors!O$3)</f>
        <v>-0.36277329230338656</v>
      </c>
      <c r="P32" s="5">
        <f>EnergyLJ($A32,$C$2,$C$3,shape_factors!P$2,$C$4,shape_factors!P$3)</f>
        <v>-0.4158565186575075</v>
      </c>
      <c r="Q32" s="5">
        <f>EnergyLJ($A32,$C$2,$C$3,shape_factors!Q$2,$C$4,shape_factors!Q$3)</f>
        <v>-0.43333238424895543</v>
      </c>
      <c r="R32" s="5">
        <f>EnergyLJ($A32,$C$2,$C$3,shape_factors!R$2,$C$4,shape_factors!R$3)</f>
        <v>-1.0078376194379521</v>
      </c>
      <c r="S32" s="5">
        <f>EnergyLJ($A32,$C$2,$C$3,shape_factors!S$2,$C$4,shape_factors!S$3)</f>
        <v>-0.50500091275526449</v>
      </c>
      <c r="T32" s="5">
        <f>EnergyLJ($A32,$C$2,$C$3,shape_factors!T$2,$C$4,shape_factors!T$3)</f>
        <v>-0.33863861013618923</v>
      </c>
      <c r="U32" s="5">
        <f>EnergyLJ($A32,$C$2,$C$3,shape_factors!U$2,$C$4,shape_factors!U$3)</f>
        <v>-0.99744239797321665</v>
      </c>
    </row>
    <row r="33" spans="1:21" x14ac:dyDescent="0.25">
      <c r="A33">
        <v>7.2</v>
      </c>
      <c r="B33" s="5">
        <f>EnergyLJ($A33,$C$2,$C$3,shape_factors!B$2,$C$4,shape_factors!B$3)</f>
        <v>0.60865863664354658</v>
      </c>
      <c r="C33" s="5">
        <f>EnergyLJ($A33,$C$2,$C$3,shape_factors!C$2,$C$4,shape_factors!C$3)</f>
        <v>-0.9769373313165588</v>
      </c>
      <c r="D33" s="5">
        <f>EnergyLJ($A33,$C$2,$C$3,shape_factors!D$2,$C$4,shape_factors!D$3)</f>
        <v>4.6761114294310344</v>
      </c>
      <c r="E33" s="5">
        <f>EnergyLJ($A33,$C$2,$C$3,shape_factors!E$2,$C$4,shape_factors!E$3)</f>
        <v>-1.2946560631984916</v>
      </c>
      <c r="F33" s="5">
        <f>EnergyLJ($A33,$C$2,$C$3,shape_factors!F$2,$C$4,shape_factors!F$3)</f>
        <v>-0.87993068281905329</v>
      </c>
      <c r="G33" s="5">
        <f>EnergyLJ($A33,$C$2,$C$3,shape_factors!G$2,$C$4,shape_factors!G$3)</f>
        <v>-1.0748553704978261</v>
      </c>
      <c r="H33" s="5">
        <f>EnergyLJ($A33,$C$2,$C$3,shape_factors!H$2,$C$4,shape_factors!H$3)</f>
        <v>344.50280056109688</v>
      </c>
      <c r="I33" s="5">
        <f>EnergyLJ($A33,$C$2,$C$3,shape_factors!I$2,$C$4,shape_factors!I$3)</f>
        <v>-1.2468735282629113</v>
      </c>
      <c r="J33" s="5">
        <f>EnergyLJ($A33,$C$2,$C$3,shape_factors!J$2,$C$4,shape_factors!J$3)</f>
        <v>-0.50579504673665099</v>
      </c>
      <c r="K33" s="5">
        <f>EnergyLJ($A33,$C$2,$C$3,shape_factors!K$2,$C$4,shape_factors!K$3)</f>
        <v>-0.60022856913885647</v>
      </c>
      <c r="L33" s="5">
        <f>EnergyLJ($A33,$C$2,$C$3,shape_factors!L$2,$C$4,shape_factors!L$3)</f>
        <v>-0.78549475698775184</v>
      </c>
      <c r="M33" s="5">
        <f>EnergyLJ($A33,$C$2,$C$3,shape_factors!M$2,$C$4,shape_factors!M$3)</f>
        <v>-0.52626045491143725</v>
      </c>
      <c r="N33" s="5">
        <f>EnergyLJ($A33,$C$2,$C$3,shape_factors!N$2,$C$4,shape_factors!N$3)</f>
        <v>-0.34532726288463483</v>
      </c>
      <c r="O33" s="5">
        <f>EnergyLJ($A33,$C$2,$C$3,shape_factors!O$2,$C$4,shape_factors!O$3)</f>
        <v>-0.31024594872633654</v>
      </c>
      <c r="P33" s="5">
        <f>EnergyLJ($A33,$C$2,$C$3,shape_factors!P$2,$C$4,shape_factors!P$3)</f>
        <v>-0.3564328266936892</v>
      </c>
      <c r="Q33" s="5">
        <f>EnergyLJ($A33,$C$2,$C$3,shape_factors!Q$2,$C$4,shape_factors!Q$3)</f>
        <v>-0.37169275410218444</v>
      </c>
      <c r="R33" s="5">
        <f>EnergyLJ($A33,$C$2,$C$3,shape_factors!R$2,$C$4,shape_factors!R$3)</f>
        <v>-0.89833017348919675</v>
      </c>
      <c r="S33" s="5">
        <f>EnergyLJ($A33,$C$2,$C$3,shape_factors!S$2,$C$4,shape_factors!S$3)</f>
        <v>-0.434579959578901</v>
      </c>
      <c r="T33" s="5">
        <f>EnergyLJ($A33,$C$2,$C$3,shape_factors!T$2,$C$4,shape_factors!T$3)</f>
        <v>-0.2893248787025316</v>
      </c>
      <c r="U33" s="5">
        <f>EnergyLJ($A33,$C$2,$C$3,shape_factors!U$2,$C$4,shape_factors!U$3)</f>
        <v>-0.88806216550788131</v>
      </c>
    </row>
    <row r="34" spans="1:21" x14ac:dyDescent="0.25">
      <c r="A34">
        <v>7.4</v>
      </c>
      <c r="B34" s="5">
        <f>EnergyLJ($A34,$C$2,$C$3,shape_factors!B$2,$C$4,shape_factors!B$3)</f>
        <v>-0.30146056811164146</v>
      </c>
      <c r="C34" s="5">
        <f>EnergyLJ($A34,$C$2,$C$3,shape_factors!C$2,$C$4,shape_factors!C$3)</f>
        <v>-0.87089007359171067</v>
      </c>
      <c r="D34" s="5">
        <f>EnergyLJ($A34,$C$2,$C$3,shape_factors!D$2,$C$4,shape_factors!D$3)</f>
        <v>2.3144983002114072</v>
      </c>
      <c r="E34" s="5">
        <f>EnergyLJ($A34,$C$2,$C$3,shape_factors!E$2,$C$4,shape_factors!E$3)</f>
        <v>-1.2448397508163802</v>
      </c>
      <c r="F34" s="5">
        <f>EnergyLJ($A34,$C$2,$C$3,shape_factors!F$2,$C$4,shape_factors!F$3)</f>
        <v>-0.77767846110341243</v>
      </c>
      <c r="G34" s="5">
        <f>EnergyLJ($A34,$C$2,$C$3,shape_factors!G$2,$C$4,shape_factors!G$3)</f>
        <v>-0.96890774232647481</v>
      </c>
      <c r="H34" s="5">
        <f>EnergyLJ($A34,$C$2,$C$3,shape_factors!H$2,$C$4,shape_factors!H$3)</f>
        <v>242.18350742019783</v>
      </c>
      <c r="I34" s="5">
        <f>EnergyLJ($A34,$C$2,$C$3,shape_factors!I$2,$C$4,shape_factors!I$3)</f>
        <v>-1.2994842848054198</v>
      </c>
      <c r="J34" s="5">
        <f>EnergyLJ($A34,$C$2,$C$3,shape_factors!J$2,$C$4,shape_factors!J$3)</f>
        <v>-0.43709413601213354</v>
      </c>
      <c r="K34" s="5">
        <f>EnergyLJ($A34,$C$2,$C$3,shape_factors!K$2,$C$4,shape_factors!K$3)</f>
        <v>-0.52109721860448277</v>
      </c>
      <c r="L34" s="5">
        <f>EnergyLJ($A34,$C$2,$C$3,shape_factors!L$2,$C$4,shape_factors!L$3)</f>
        <v>-0.68941981849908252</v>
      </c>
      <c r="M34" s="5">
        <f>EnergyLJ($A34,$C$2,$C$3,shape_factors!M$2,$C$4,shape_factors!M$3)</f>
        <v>-0.45521452650769617</v>
      </c>
      <c r="N34" s="5">
        <f>EnergyLJ($A34,$C$2,$C$3,shape_factors!N$2,$C$4,shape_factors!N$3)</f>
        <v>-0.29639971295651363</v>
      </c>
      <c r="O34" s="5">
        <f>EnergyLJ($A34,$C$2,$C$3,shape_factors!O$2,$C$4,shape_factors!O$3)</f>
        <v>-0.26593078858307839</v>
      </c>
      <c r="P34" s="5">
        <f>EnergyLJ($A34,$C$2,$C$3,shape_factors!P$2,$C$4,shape_factors!P$3)</f>
        <v>-0.30606506177846865</v>
      </c>
      <c r="Q34" s="5">
        <f>EnergyLJ($A34,$C$2,$C$3,shape_factors!Q$2,$C$4,shape_factors!Q$3)</f>
        <v>-0.31936214825854264</v>
      </c>
      <c r="R34" s="5">
        <f>EnergyLJ($A34,$C$2,$C$3,shape_factors!R$2,$C$4,shape_factors!R$3)</f>
        <v>-0.79513187314681877</v>
      </c>
      <c r="S34" s="5">
        <f>EnergyLJ($A34,$C$2,$C$3,shape_factors!S$2,$C$4,shape_factors!S$3)</f>
        <v>-0.37436719971486909</v>
      </c>
      <c r="T34" s="5">
        <f>EnergyLJ($A34,$C$2,$C$3,shape_factors!T$2,$C$4,shape_factors!T$3)</f>
        <v>-0.24780430635563808</v>
      </c>
      <c r="U34" s="5">
        <f>EnergyLJ($A34,$C$2,$C$3,shape_factors!U$2,$C$4,shape_factors!U$3)</f>
        <v>-0.7853802241365706</v>
      </c>
    </row>
    <row r="35" spans="1:21" x14ac:dyDescent="0.25">
      <c r="A35">
        <v>7.6</v>
      </c>
      <c r="B35" s="5">
        <f>EnergyLJ($A35,$C$2,$C$3,shape_factors!B$2,$C$4,shape_factors!B$3)</f>
        <v>-0.83361761199973172</v>
      </c>
      <c r="C35" s="5">
        <f>EnergyLJ($A35,$C$2,$C$3,shape_factors!C$2,$C$4,shape_factors!C$3)</f>
        <v>-0.77176850308039779</v>
      </c>
      <c r="D35" s="5">
        <f>EnergyLJ($A35,$C$2,$C$3,shape_factors!D$2,$C$4,shape_factors!D$3)</f>
        <v>0.80677975624150433</v>
      </c>
      <c r="E35" s="5">
        <f>EnergyLJ($A35,$C$2,$C$3,shape_factors!E$2,$C$4,shape_factors!E$3)</f>
        <v>-1.1640413643097751</v>
      </c>
      <c r="F35" s="5">
        <f>EnergyLJ($A35,$C$2,$C$3,shape_factors!F$2,$C$4,shape_factors!F$3)</f>
        <v>-0.68464575522547888</v>
      </c>
      <c r="G35" s="5">
        <f>EnergyLJ($A35,$C$2,$C$3,shape_factors!G$2,$C$4,shape_factors!G$3)</f>
        <v>-0.86583053035410584</v>
      </c>
      <c r="H35" s="5">
        <f>EnergyLJ($A35,$C$2,$C$3,shape_factors!H$2,$C$4,shape_factors!H$3)</f>
        <v>171.0469737466145</v>
      </c>
      <c r="I35" s="5">
        <f>EnergyLJ($A35,$C$2,$C$3,shape_factors!I$2,$C$4,shape_factors!I$3)</f>
        <v>-1.2777274905367026</v>
      </c>
      <c r="J35" s="5">
        <f>EnergyLJ($A35,$C$2,$C$3,shape_factors!J$2,$C$4,shape_factors!J$3)</f>
        <v>-0.37808638997421484</v>
      </c>
      <c r="K35" s="5">
        <f>EnergyLJ($A35,$C$2,$C$3,shape_factors!K$2,$C$4,shape_factors!K$3)</f>
        <v>-0.45240800080474469</v>
      </c>
      <c r="L35" s="5">
        <f>EnergyLJ($A35,$C$2,$C$3,shape_factors!L$2,$C$4,shape_factors!L$3)</f>
        <v>-0.6036983323369064</v>
      </c>
      <c r="M35" s="5">
        <f>EnergyLJ($A35,$C$2,$C$3,shape_factors!M$2,$C$4,shape_factors!M$3)</f>
        <v>-0.39406150969073678</v>
      </c>
      <c r="N35" s="5">
        <f>EnergyLJ($A35,$C$2,$C$3,shape_factors!N$2,$C$4,shape_factors!N$3)</f>
        <v>-0.25498545683001372</v>
      </c>
      <c r="O35" s="5">
        <f>EnergyLJ($A35,$C$2,$C$3,shape_factors!O$2,$C$4,shape_factors!O$3)</f>
        <v>-0.22852417881077436</v>
      </c>
      <c r="P35" s="5">
        <f>EnergyLJ($A35,$C$2,$C$3,shape_factors!P$2,$C$4,shape_factors!P$3)</f>
        <v>-0.2633932171617116</v>
      </c>
      <c r="Q35" s="5">
        <f>EnergyLJ($A35,$C$2,$C$3,shape_factors!Q$2,$C$4,shape_factors!Q$3)</f>
        <v>-0.27497126600584049</v>
      </c>
      <c r="R35" s="5">
        <f>EnergyLJ($A35,$C$2,$C$3,shape_factors!R$2,$C$4,shape_factors!R$3)</f>
        <v>-0.70081817638542032</v>
      </c>
      <c r="S35" s="5">
        <f>EnergyLJ($A35,$C$2,$C$3,shape_factors!S$2,$C$4,shape_factors!S$3)</f>
        <v>-0.32300732519923397</v>
      </c>
      <c r="T35" s="5">
        <f>EnergyLJ($A35,$C$2,$C$3,shape_factors!T$2,$C$4,shape_factors!T$3)</f>
        <v>-0.21281218577474156</v>
      </c>
      <c r="U35" s="5">
        <f>EnergyLJ($A35,$C$2,$C$3,shape_factors!U$2,$C$4,shape_factors!U$3)</f>
        <v>-0.69177492641624683</v>
      </c>
    </row>
    <row r="36" spans="1:21" x14ac:dyDescent="0.25">
      <c r="A36">
        <v>7.8000000000000096</v>
      </c>
      <c r="B36" s="5">
        <f>EnergyLJ($A36,$C$2,$C$3,shape_factors!B$2,$C$4,shape_factors!B$3)</f>
        <v>-1.1237497251304667</v>
      </c>
      <c r="C36" s="5">
        <f>EnergyLJ($A36,$C$2,$C$3,shape_factors!C$2,$C$4,shape_factors!C$3)</f>
        <v>-0.6814927957134822</v>
      </c>
      <c r="D36" s="5">
        <f>EnergyLJ($A36,$C$2,$C$3,shape_factors!D$2,$C$4,shape_factors!D$3)</f>
        <v>-0.13907760475102812</v>
      </c>
      <c r="E36" s="5">
        <f>EnergyLJ($A36,$C$2,$C$3,shape_factors!E$2,$C$4,shape_factors!E$3)</f>
        <v>-1.0695448622809518</v>
      </c>
      <c r="F36" s="5">
        <f>EnergyLJ($A36,$C$2,$C$3,shape_factors!F$2,$C$4,shape_factors!F$3)</f>
        <v>-0.60146781384061787</v>
      </c>
      <c r="G36" s="5">
        <f>EnergyLJ($A36,$C$2,$C$3,shape_factors!G$2,$C$4,shape_factors!G$3)</f>
        <v>-0.76947947335953193</v>
      </c>
      <c r="H36" s="5">
        <f>EnergyLJ($A36,$C$2,$C$3,shape_factors!H$2,$C$4,shape_factors!H$3)</f>
        <v>121.22216738794398</v>
      </c>
      <c r="I36" s="5">
        <f>EnergyLJ($A36,$C$2,$C$3,shape_factors!I$2,$C$4,shape_factors!I$3)</f>
        <v>-1.2145919164613823</v>
      </c>
      <c r="J36" s="5">
        <f>EnergyLJ($A36,$C$2,$C$3,shape_factors!J$2,$C$4,shape_factors!J$3)</f>
        <v>-0.32752442061684939</v>
      </c>
      <c r="K36" s="5">
        <f>EnergyLJ($A36,$C$2,$C$3,shape_factors!K$2,$C$4,shape_factors!K$3)</f>
        <v>-0.3930699555577174</v>
      </c>
      <c r="L36" s="5">
        <f>EnergyLJ($A36,$C$2,$C$3,shape_factors!L$2,$C$4,shape_factors!L$3)</f>
        <v>-0.52811805717085014</v>
      </c>
      <c r="M36" s="5">
        <f>EnergyLJ($A36,$C$2,$C$3,shape_factors!M$2,$C$4,shape_factors!M$3)</f>
        <v>-0.3415741789545344</v>
      </c>
      <c r="N36" s="5">
        <f>EnergyLJ($A36,$C$2,$C$3,shape_factors!N$2,$C$4,shape_factors!N$3)</f>
        <v>-0.21990423886952101</v>
      </c>
      <c r="O36" s="5">
        <f>EnergyLJ($A36,$C$2,$C$3,shape_factors!O$2,$C$4,shape_factors!O$3)</f>
        <v>-0.19690758474831738</v>
      </c>
      <c r="P36" s="5">
        <f>EnergyLJ($A36,$C$2,$C$3,shape_factors!P$2,$C$4,shape_factors!P$3)</f>
        <v>-0.2272207336203089</v>
      </c>
      <c r="Q36" s="5">
        <f>EnergyLJ($A36,$C$2,$C$3,shape_factors!Q$2,$C$4,shape_factors!Q$3)</f>
        <v>-0.23730376618263721</v>
      </c>
      <c r="R36" s="5">
        <f>EnergyLJ($A36,$C$2,$C$3,shape_factors!R$2,$C$4,shape_factors!R$3)</f>
        <v>-0.6162312857036053</v>
      </c>
      <c r="S36" s="5">
        <f>EnergyLJ($A36,$C$2,$C$3,shape_factors!S$2,$C$4,shape_factors!S$3)</f>
        <v>-0.27923607894124952</v>
      </c>
      <c r="T36" s="5">
        <f>EnergyLJ($A36,$C$2,$C$3,shape_factors!T$2,$C$4,shape_factors!T$3)</f>
        <v>-0.18327393013160245</v>
      </c>
      <c r="U36" s="5">
        <f>EnergyLJ($A36,$C$2,$C$3,shape_factors!U$2,$C$4,shape_factors!U$3)</f>
        <v>-0.60797109617922085</v>
      </c>
    </row>
    <row r="37" spans="1:21" x14ac:dyDescent="0.25">
      <c r="A37">
        <v>8.0000000000000107</v>
      </c>
      <c r="B37" s="5">
        <f>EnergyLJ($A37,$C$2,$C$3,shape_factors!B$2,$C$4,shape_factors!B$3)</f>
        <v>-1.2600125309417414</v>
      </c>
      <c r="C37" s="5">
        <f>EnergyLJ($A37,$C$2,$C$3,shape_factors!C$2,$C$4,shape_factors!C$3)</f>
        <v>-0.60059713779455515</v>
      </c>
      <c r="D37" s="5">
        <f>EnergyLJ($A37,$C$2,$C$3,shape_factors!D$2,$C$4,shape_factors!D$3)</f>
        <v>-0.71488851110113483</v>
      </c>
      <c r="E37" s="5">
        <f>EnergyLJ($A37,$C$2,$C$3,shape_factors!E$2,$C$4,shape_factors!E$3)</f>
        <v>-0.9715690186835052</v>
      </c>
      <c r="F37" s="5">
        <f>EnergyLJ($A37,$C$2,$C$3,shape_factors!F$2,$C$4,shape_factors!F$3)</f>
        <v>-0.52791968492438635</v>
      </c>
      <c r="G37" s="5">
        <f>EnergyLJ($A37,$C$2,$C$3,shape_factors!G$2,$C$4,shape_factors!G$3)</f>
        <v>-0.68156707530779281</v>
      </c>
      <c r="H37" s="5">
        <f>EnergyLJ($A37,$C$2,$C$3,shape_factors!H$2,$C$4,shape_factors!H$3)</f>
        <v>86.091033144951041</v>
      </c>
      <c r="I37" s="5">
        <f>EnergyLJ($A37,$C$2,$C$3,shape_factors!I$2,$C$4,shape_factors!I$3)</f>
        <v>-1.130464686192199</v>
      </c>
      <c r="J37" s="5">
        <f>EnergyLJ($A37,$C$2,$C$3,shape_factors!J$2,$C$4,shape_factors!J$3)</f>
        <v>-0.28423839795260369</v>
      </c>
      <c r="K37" s="5">
        <f>EnergyLJ($A37,$C$2,$C$3,shape_factors!K$2,$C$4,shape_factors!K$3)</f>
        <v>-0.3419460586319864</v>
      </c>
      <c r="L37" s="5">
        <f>EnergyLJ($A37,$C$2,$C$3,shape_factors!L$2,$C$4,shape_factors!L$3)</f>
        <v>-0.4619753139184159</v>
      </c>
      <c r="M37" s="5">
        <f>EnergyLJ($A37,$C$2,$C$3,shape_factors!M$2,$C$4,shape_factors!M$3)</f>
        <v>-0.29658094904392251</v>
      </c>
      <c r="N37" s="5">
        <f>EnergyLJ($A37,$C$2,$C$3,shape_factors!N$2,$C$4,shape_factors!N$3)</f>
        <v>-0.19014532343955021</v>
      </c>
      <c r="O37" s="5">
        <f>EnergyLJ($A37,$C$2,$C$3,shape_factors!O$2,$C$4,shape_factors!O$3)</f>
        <v>-0.17013540835121499</v>
      </c>
      <c r="P37" s="5">
        <f>EnergyLJ($A37,$C$2,$C$3,shape_factors!P$2,$C$4,shape_factors!P$3)</f>
        <v>-0.19651834273052535</v>
      </c>
      <c r="Q37" s="5">
        <f>EnergyLJ($A37,$C$2,$C$3,shape_factors!Q$2,$C$4,shape_factors!Q$3)</f>
        <v>-0.20530660576769683</v>
      </c>
      <c r="R37" s="5">
        <f>EnergyLJ($A37,$C$2,$C$3,shape_factors!R$2,$C$4,shape_factors!R$3)</f>
        <v>-0.54126651556192962</v>
      </c>
      <c r="S37" s="5">
        <f>EnergyLJ($A37,$C$2,$C$3,shape_factors!S$2,$C$4,shape_factors!S$3)</f>
        <v>-0.24192412669692906</v>
      </c>
      <c r="T37" s="5">
        <f>EnergyLJ($A37,$C$2,$C$3,shape_factors!T$2,$C$4,shape_factors!T$3)</f>
        <v>-0.1582873940046142</v>
      </c>
      <c r="U37" s="5">
        <f>EnergyLJ($A37,$C$2,$C$3,shape_factors!U$2,$C$4,shape_factors!U$3)</f>
        <v>-0.53379571497708311</v>
      </c>
    </row>
    <row r="38" spans="1:21" x14ac:dyDescent="0.25">
      <c r="A38">
        <v>8.2000000000000099</v>
      </c>
      <c r="B38" s="5">
        <f>EnergyLJ($A38,$C$2,$C$3,shape_factors!B$2,$C$4,shape_factors!B$3)</f>
        <v>-1.2997620191422039</v>
      </c>
      <c r="C38" s="5">
        <f>EnergyLJ($A38,$C$2,$C$3,shape_factors!C$2,$C$4,shape_factors!C$3)</f>
        <v>-0.52885738118023318</v>
      </c>
      <c r="D38" s="5">
        <f>EnergyLJ($A38,$C$2,$C$3,shape_factors!D$2,$C$4,shape_factors!D$3)</f>
        <v>-1.0474059094464374</v>
      </c>
      <c r="E38" s="5">
        <f>EnergyLJ($A38,$C$2,$C$3,shape_factors!E$2,$C$4,shape_factors!E$3)</f>
        <v>-0.87596647973242781</v>
      </c>
      <c r="F38" s="5">
        <f>EnergyLJ($A38,$C$2,$C$3,shape_factors!F$2,$C$4,shape_factors!F$3)</f>
        <v>-0.46334291848396886</v>
      </c>
      <c r="G38" s="5">
        <f>EnergyLJ($A38,$C$2,$C$3,shape_factors!G$2,$C$4,shape_factors!G$3)</f>
        <v>-0.6025739985812143</v>
      </c>
      <c r="H38" s="5">
        <f>EnergyLJ($A38,$C$2,$C$3,shape_factors!H$2,$C$4,shape_factors!H$3)</f>
        <v>61.173513712073088</v>
      </c>
      <c r="I38" s="5">
        <f>EnergyLJ($A38,$C$2,$C$3,shape_factors!I$2,$C$4,shape_factors!I$3)</f>
        <v>-1.0378011253210755</v>
      </c>
      <c r="J38" s="5">
        <f>EnergyLJ($A38,$C$2,$C$3,shape_factors!J$2,$C$4,shape_factors!J$3)</f>
        <v>-0.24717703678734462</v>
      </c>
      <c r="K38" s="5">
        <f>EnergyLJ($A38,$C$2,$C$3,shape_factors!K$2,$C$4,shape_factors!K$3)</f>
        <v>-0.29795118249285013</v>
      </c>
      <c r="L38" s="5">
        <f>EnergyLJ($A38,$C$2,$C$3,shape_factors!L$2,$C$4,shape_factors!L$3)</f>
        <v>-0.40435716504321784</v>
      </c>
      <c r="M38" s="5">
        <f>EnergyLJ($A38,$C$2,$C$3,shape_factors!M$2,$C$4,shape_factors!M$3)</f>
        <v>-0.25801746854767815</v>
      </c>
      <c r="N38" s="5">
        <f>EnergyLJ($A38,$C$2,$C$3,shape_factors!N$2,$C$4,shape_factors!N$3)</f>
        <v>-0.16485384744184789</v>
      </c>
      <c r="O38" s="5">
        <f>EnergyLJ($A38,$C$2,$C$3,shape_factors!O$2,$C$4,shape_factors!O$3)</f>
        <v>-0.1474153565712594</v>
      </c>
      <c r="P38" s="5">
        <f>EnergyLJ($A38,$C$2,$C$3,shape_factors!P$2,$C$4,shape_factors!P$3)</f>
        <v>-0.17041272364491158</v>
      </c>
      <c r="Q38" s="5">
        <f>EnergyLJ($A38,$C$2,$C$3,shape_factors!Q$2,$C$4,shape_factors!Q$3)</f>
        <v>-0.17808219484680049</v>
      </c>
      <c r="R38" s="5">
        <f>EnergyLJ($A38,$C$2,$C$3,shape_factors!R$2,$C$4,shape_factors!R$3)</f>
        <v>-0.47533245304809946</v>
      </c>
      <c r="S38" s="5">
        <f>EnergyLJ($A38,$C$2,$C$3,shape_factors!S$2,$C$4,shape_factors!S$3)</f>
        <v>-0.21008788585498123</v>
      </c>
      <c r="T38" s="5">
        <f>EnergyLJ($A38,$C$2,$C$3,shape_factors!T$2,$C$4,shape_factors!T$3)</f>
        <v>-0.13710057758829772</v>
      </c>
      <c r="U38" s="5">
        <f>EnergyLJ($A38,$C$2,$C$3,shape_factors!U$2,$C$4,shape_factors!U$3)</f>
        <v>-0.46861917227287042</v>
      </c>
    </row>
    <row r="39" spans="1:21" x14ac:dyDescent="0.25">
      <c r="A39">
        <v>8.4000000000000092</v>
      </c>
      <c r="B39" s="5">
        <f>EnergyLJ($A39,$C$2,$C$3,shape_factors!B$2,$C$4,shape_factors!B$3)</f>
        <v>-1.2803609857097742</v>
      </c>
      <c r="C39" s="5">
        <f>EnergyLJ($A39,$C$2,$C$3,shape_factors!C$2,$C$4,shape_factors!C$3)</f>
        <v>-0.46566168990839074</v>
      </c>
      <c r="D39" s="5">
        <f>EnergyLJ($A39,$C$2,$C$3,shape_factors!D$2,$C$4,shape_factors!D$3)</f>
        <v>-1.2207912754662793</v>
      </c>
      <c r="E39" s="5">
        <f>EnergyLJ($A39,$C$2,$C$3,shape_factors!E$2,$C$4,shape_factors!E$3)</f>
        <v>-0.78590126301926722</v>
      </c>
      <c r="F39" s="5">
        <f>EnergyLJ($A39,$C$2,$C$3,shape_factors!F$2,$C$4,shape_factors!F$3)</f>
        <v>-0.4068913363241049</v>
      </c>
      <c r="G39" s="5">
        <f>EnergyLJ($A39,$C$2,$C$3,shape_factors!G$2,$C$4,shape_factors!G$3)</f>
        <v>-0.53229715627590268</v>
      </c>
      <c r="H39" s="5">
        <f>EnergyLJ($A39,$C$2,$C$3,shape_factors!H$2,$C$4,shape_factors!H$3)</f>
        <v>43.409271635878241</v>
      </c>
      <c r="I39" s="5">
        <f>EnergyLJ($A39,$C$2,$C$3,shape_factors!I$2,$C$4,shape_factors!I$3)</f>
        <v>-0.94405571220301876</v>
      </c>
      <c r="J39" s="5">
        <f>EnergyLJ($A39,$C$2,$C$3,shape_factors!J$2,$C$4,shape_factors!J$3)</f>
        <v>-0.21541908121190179</v>
      </c>
      <c r="K39" s="5">
        <f>EnergyLJ($A39,$C$2,$C$3,shape_factors!K$2,$C$4,shape_factors!K$3)</f>
        <v>-0.2600970598105562</v>
      </c>
      <c r="L39" s="5">
        <f>EnergyLJ($A39,$C$2,$C$3,shape_factors!L$2,$C$4,shape_factors!L$3)</f>
        <v>-0.35429808378284222</v>
      </c>
      <c r="M39" s="5">
        <f>EnergyLJ($A39,$C$2,$C$3,shape_factors!M$2,$C$4,shape_factors!M$3)</f>
        <v>-0.22494425414976427</v>
      </c>
      <c r="N39" s="5">
        <f>EnergyLJ($A39,$C$2,$C$3,shape_factors!N$2,$C$4,shape_factors!N$3)</f>
        <v>-0.1433122125050536</v>
      </c>
      <c r="O39" s="5">
        <f>EnergyLJ($A39,$C$2,$C$3,shape_factors!O$2,$C$4,shape_factors!O$3)</f>
        <v>-0.12808704123513165</v>
      </c>
      <c r="P39" s="5">
        <f>EnergyLJ($A39,$C$2,$C$3,shape_factors!P$2,$C$4,shape_factors!P$3)</f>
        <v>-0.14816903962248379</v>
      </c>
      <c r="Q39" s="5">
        <f>EnergyLJ($A39,$C$2,$C$3,shape_factors!Q$2,$C$4,shape_factors!Q$3)</f>
        <v>-0.15487271647086409</v>
      </c>
      <c r="R39" s="5">
        <f>EnergyLJ($A39,$C$2,$C$3,shape_factors!R$2,$C$4,shape_factors!R$3)</f>
        <v>-0.41761745455224331</v>
      </c>
      <c r="S39" s="5">
        <f>EnergyLJ($A39,$C$2,$C$3,shape_factors!S$2,$C$4,shape_factors!S$3)</f>
        <v>-0.18288389939558386</v>
      </c>
      <c r="T39" s="5">
        <f>EnergyLJ($A39,$C$2,$C$3,shape_factors!T$2,$C$4,shape_factors!T$3)</f>
        <v>-0.11908913601891813</v>
      </c>
      <c r="U39" s="5">
        <f>EnergyLJ($A39,$C$2,$C$3,shape_factors!U$2,$C$4,shape_factors!U$3)</f>
        <v>-0.41161004346251279</v>
      </c>
    </row>
    <row r="40" spans="1:21" x14ac:dyDescent="0.25">
      <c r="A40">
        <v>8.6000000000000103</v>
      </c>
      <c r="B40" s="5">
        <f>EnergyLJ($A40,$C$2,$C$3,shape_factors!B$2,$C$4,shape_factors!B$3)</f>
        <v>-1.2261173548124757</v>
      </c>
      <c r="C40" s="5">
        <f>EnergyLJ($A40,$C$2,$C$3,shape_factors!C$2,$C$4,shape_factors!C$3)</f>
        <v>-0.4102269035008918</v>
      </c>
      <c r="D40" s="5">
        <f>EnergyLJ($A40,$C$2,$C$3,shape_factors!D$2,$C$4,shape_factors!D$3)</f>
        <v>-1.291115644055548</v>
      </c>
      <c r="E40" s="5">
        <f>EnergyLJ($A40,$C$2,$C$3,shape_factors!E$2,$C$4,shape_factors!E$3)</f>
        <v>-0.70289571530096595</v>
      </c>
      <c r="F40" s="5">
        <f>EnergyLJ($A40,$C$2,$C$3,shape_factors!F$2,$C$4,shape_factors!F$3)</f>
        <v>-0.35766947105726465</v>
      </c>
      <c r="G40" s="5">
        <f>EnergyLJ($A40,$C$2,$C$3,shape_factors!G$2,$C$4,shape_factors!G$3)</f>
        <v>-0.47017766795751753</v>
      </c>
      <c r="H40" s="5">
        <f>EnergyLJ($A40,$C$2,$C$3,shape_factors!H$2,$C$4,shape_factors!H$3)</f>
        <v>30.689930315487324</v>
      </c>
      <c r="I40" s="5">
        <f>EnergyLJ($A40,$C$2,$C$3,shape_factors!I$2,$C$4,shape_factors!I$3)</f>
        <v>-0.85353332566415596</v>
      </c>
      <c r="J40" s="5">
        <f>EnergyLJ($A40,$C$2,$C$3,shape_factors!J$2,$C$4,shape_factors!J$3)</f>
        <v>-0.18816970907341427</v>
      </c>
      <c r="K40" s="5">
        <f>EnergyLJ($A40,$C$2,$C$3,shape_factors!K$2,$C$4,shape_factors!K$3)</f>
        <v>-0.22750809707037184</v>
      </c>
      <c r="L40" s="5">
        <f>EnergyLJ($A40,$C$2,$C$3,shape_factors!L$2,$C$4,shape_factors!L$3)</f>
        <v>-0.31086333988654058</v>
      </c>
      <c r="M40" s="5">
        <f>EnergyLJ($A40,$C$2,$C$3,shape_factors!M$2,$C$4,shape_factors!M$3)</f>
        <v>-0.19654659281111952</v>
      </c>
      <c r="N40" s="5">
        <f>EnergyLJ($A40,$C$2,$C$3,shape_factors!N$2,$C$4,shape_factors!N$3)</f>
        <v>-0.1249206808990517</v>
      </c>
      <c r="O40" s="5">
        <f>EnergyLJ($A40,$C$2,$C$3,shape_factors!O$2,$C$4,shape_factors!O$3)</f>
        <v>-0.11160154538776945</v>
      </c>
      <c r="P40" s="5">
        <f>EnergyLJ($A40,$C$2,$C$3,shape_factors!P$2,$C$4,shape_factors!P$3)</f>
        <v>-0.12917202673670564</v>
      </c>
      <c r="Q40" s="5">
        <f>EnergyLJ($A40,$C$2,$C$3,shape_factors!Q$2,$C$4,shape_factors!Q$3)</f>
        <v>-0.13504202766192108</v>
      </c>
      <c r="R40" s="5">
        <f>EnergyLJ($A40,$C$2,$C$3,shape_factors!R$2,$C$4,shape_factors!R$3)</f>
        <v>-0.36724096877334939</v>
      </c>
      <c r="S40" s="5">
        <f>EnergyLJ($A40,$C$2,$C$3,shape_factors!S$2,$C$4,shape_factors!S$3)</f>
        <v>-0.1595958178149017</v>
      </c>
      <c r="T40" s="5">
        <f>EnergyLJ($A40,$C$2,$C$3,shape_factors!T$2,$C$4,shape_factors!T$3)</f>
        <v>-0.10373569999049682</v>
      </c>
      <c r="U40" s="5">
        <f>EnergyLJ($A40,$C$2,$C$3,shape_factors!U$2,$C$4,shape_factors!U$3)</f>
        <v>-0.36187912556273388</v>
      </c>
    </row>
    <row r="41" spans="1:21" x14ac:dyDescent="0.25">
      <c r="A41">
        <v>8.8000000000000096</v>
      </c>
      <c r="B41" s="5">
        <f>EnergyLJ($A41,$C$2,$C$3,shape_factors!B$2,$C$4,shape_factors!B$3)</f>
        <v>-1.1527750614433199</v>
      </c>
      <c r="C41" s="5">
        <f>EnergyLJ($A41,$C$2,$C$3,shape_factors!C$2,$C$4,shape_factors!C$3)</f>
        <v>-0.36172218507589871</v>
      </c>
      <c r="D41" s="5">
        <f>EnergyLJ($A41,$C$2,$C$3,shape_factors!D$2,$C$4,shape_factors!D$3)</f>
        <v>-1.2958015501839704</v>
      </c>
      <c r="E41" s="5">
        <f>EnergyLJ($A41,$C$2,$C$3,shape_factors!E$2,$C$4,shape_factors!E$3)</f>
        <v>-0.6274853396030543</v>
      </c>
      <c r="F41" s="5">
        <f>EnergyLJ($A41,$C$2,$C$3,shape_factors!F$2,$C$4,shape_factors!F$3)</f>
        <v>-0.314807486560088</v>
      </c>
      <c r="G41" s="5">
        <f>EnergyLJ($A41,$C$2,$C$3,shape_factors!G$2,$C$4,shape_factors!G$3)</f>
        <v>-0.41549496378355094</v>
      </c>
      <c r="H41" s="5">
        <f>EnergyLJ($A41,$C$2,$C$3,shape_factors!H$2,$C$4,shape_factors!H$3)</f>
        <v>21.551317683449962</v>
      </c>
      <c r="I41" s="5">
        <f>EnergyLJ($A41,$C$2,$C$3,shape_factors!I$2,$C$4,shape_factors!I$3)</f>
        <v>-0.76856428009876787</v>
      </c>
      <c r="J41" s="5">
        <f>EnergyLJ($A41,$C$2,$C$3,shape_factors!J$2,$C$4,shape_factors!J$3)</f>
        <v>-0.1647498835783589</v>
      </c>
      <c r="K41" s="5">
        <f>EnergyLJ($A41,$C$2,$C$3,shape_factors!K$2,$C$4,shape_factors!K$3)</f>
        <v>-0.19942170630547354</v>
      </c>
      <c r="L41" s="5">
        <f>EnergyLJ($A41,$C$2,$C$3,shape_factors!L$2,$C$4,shape_factors!L$3)</f>
        <v>-0.27318992051354124</v>
      </c>
      <c r="M41" s="5">
        <f>EnergyLJ($A41,$C$2,$C$3,shape_factors!M$2,$C$4,shape_factors!M$3)</f>
        <v>-0.1721258153419776</v>
      </c>
      <c r="N41" s="5">
        <f>EnergyLJ($A41,$C$2,$C$3,shape_factors!N$2,$C$4,shape_factors!N$3)</f>
        <v>-0.10917915936339684</v>
      </c>
      <c r="O41" s="5">
        <f>EnergyLJ($A41,$C$2,$C$3,shape_factors!O$2,$C$4,shape_factors!O$3)</f>
        <v>-9.7503119715448588E-2</v>
      </c>
      <c r="P41" s="5">
        <f>EnergyLJ($A41,$C$2,$C$3,shape_factors!P$2,$C$4,shape_factors!P$3)</f>
        <v>-0.11290791313790575</v>
      </c>
      <c r="Q41" s="5">
        <f>EnergyLJ($A41,$C$2,$C$3,shape_factors!Q$2,$C$4,shape_factors!Q$3)</f>
        <v>-0.11805785206102723</v>
      </c>
      <c r="R41" s="5">
        <f>EnergyLJ($A41,$C$2,$C$3,shape_factors!R$2,$C$4,shape_factors!R$3)</f>
        <v>-0.32333647494538059</v>
      </c>
      <c r="S41" s="5">
        <f>EnergyLJ($A41,$C$2,$C$3,shape_factors!S$2,$C$4,shape_factors!S$3)</f>
        <v>-0.13961883785560811</v>
      </c>
      <c r="T41" s="5">
        <f>EnergyLJ($A41,$C$2,$C$3,shape_factors!T$2,$C$4,shape_factors!T$3)</f>
        <v>-9.0611757884710445E-2</v>
      </c>
      <c r="U41" s="5">
        <f>EnergyLJ($A41,$C$2,$C$3,shape_factors!U$2,$C$4,shape_factors!U$3)</f>
        <v>-0.31855783821852673</v>
      </c>
    </row>
    <row r="42" spans="1:21" x14ac:dyDescent="0.25">
      <c r="A42">
        <v>9.0000000000000107</v>
      </c>
      <c r="B42" s="5">
        <f>EnergyLJ($A42,$C$2,$C$3,shape_factors!B$2,$C$4,shape_factors!B$3)</f>
        <v>-1.0704418213905007</v>
      </c>
      <c r="C42" s="5">
        <f>EnergyLJ($A42,$C$2,$C$3,shape_factors!C$2,$C$4,shape_factors!C$3)</f>
        <v>-0.31933707744769385</v>
      </c>
      <c r="D42" s="5">
        <f>EnergyLJ($A42,$C$2,$C$3,shape_factors!D$2,$C$4,shape_factors!D$3)</f>
        <v>-1.2598214853883667</v>
      </c>
      <c r="E42" s="5">
        <f>EnergyLJ($A42,$C$2,$C$3,shape_factors!E$2,$C$4,shape_factors!E$3)</f>
        <v>-0.55962822254789391</v>
      </c>
      <c r="F42" s="5">
        <f>EnergyLJ($A42,$C$2,$C$3,shape_factors!F$2,$C$4,shape_factors!F$3)</f>
        <v>-0.27749877578530269</v>
      </c>
      <c r="G42" s="5">
        <f>EnergyLJ($A42,$C$2,$C$3,shape_factors!G$2,$C$4,shape_factors!G$3)</f>
        <v>-0.36747941567530545</v>
      </c>
      <c r="H42" s="5">
        <f>EnergyLJ($A42,$C$2,$C$3,shape_factors!H$2,$C$4,shape_factors!H$3)</f>
        <v>14.969003099164633</v>
      </c>
      <c r="I42" s="5">
        <f>EnergyLJ($A42,$C$2,$C$3,shape_factors!I$2,$C$4,shape_factors!I$3)</f>
        <v>-0.69025260825744483</v>
      </c>
      <c r="J42" s="5">
        <f>EnergyLJ($A42,$C$2,$C$3,shape_factors!J$2,$C$4,shape_factors!J$3)</f>
        <v>-0.14458303910247641</v>
      </c>
      <c r="K42" s="5">
        <f>EnergyLJ($A42,$C$2,$C$3,shape_factors!K$2,$C$4,shape_factors!K$3)</f>
        <v>-0.17518093735403706</v>
      </c>
      <c r="L42" s="5">
        <f>EnergyLJ($A42,$C$2,$C$3,shape_factors!L$2,$C$4,shape_factors!L$3)</f>
        <v>-0.24050321384165643</v>
      </c>
      <c r="M42" s="5">
        <f>EnergyLJ($A42,$C$2,$C$3,shape_factors!M$2,$C$4,shape_factors!M$3)</f>
        <v>-0.15108697335722127</v>
      </c>
      <c r="N42" s="5">
        <f>EnergyLJ($A42,$C$2,$C$3,shape_factors!N$2,$C$4,shape_factors!N$3)</f>
        <v>-9.5670991559634752E-2</v>
      </c>
      <c r="O42" s="5">
        <f>EnergyLJ($A42,$C$2,$C$3,shape_factors!O$2,$C$4,shape_factors!O$3)</f>
        <v>-8.5413361391477399E-2</v>
      </c>
      <c r="P42" s="5">
        <f>EnergyLJ($A42,$C$2,$C$3,shape_factors!P$2,$C$4,shape_factors!P$3)</f>
        <v>-9.8948159257463086E-2</v>
      </c>
      <c r="Q42" s="5">
        <f>EnergyLJ($A42,$C$2,$C$3,shape_factors!Q$2,$C$4,shape_factors!Q$3)</f>
        <v>-0.10347550509638702</v>
      </c>
      <c r="R42" s="5">
        <f>EnergyLJ($A42,$C$2,$C$3,shape_factors!R$2,$C$4,shape_factors!R$3)</f>
        <v>-0.28509406153214245</v>
      </c>
      <c r="S42" s="5">
        <f>EnergyLJ($A42,$C$2,$C$3,shape_factors!S$2,$C$4,shape_factors!S$3)</f>
        <v>-0.12244409359872284</v>
      </c>
      <c r="T42" s="5">
        <f>EnergyLJ($A42,$C$2,$C$3,shape_factors!T$2,$C$4,shape_factors!T$3)</f>
        <v>-7.9362219689860777E-2</v>
      </c>
      <c r="U42" s="5">
        <f>EnergyLJ($A42,$C$2,$C$3,shape_factors!U$2,$C$4,shape_factors!U$3)</f>
        <v>-0.28083798191789583</v>
      </c>
    </row>
    <row r="43" spans="1:21" x14ac:dyDescent="0.25">
      <c r="A43">
        <v>9.2000000000000099</v>
      </c>
      <c r="B43" s="5">
        <f>EnergyLJ($A43,$C$2,$C$3,shape_factors!B$2,$C$4,shape_factors!B$3)</f>
        <v>-0.98550992109365587</v>
      </c>
      <c r="C43" s="5">
        <f>EnergyLJ($A43,$C$2,$C$3,shape_factors!C$2,$C$4,shape_factors!C$3)</f>
        <v>-0.2823164466630167</v>
      </c>
      <c r="D43" s="5">
        <f>EnergyLJ($A43,$C$2,$C$3,shape_factors!D$2,$C$4,shape_factors!D$3)</f>
        <v>-1.1997976233732028</v>
      </c>
      <c r="E43" s="5">
        <f>EnergyLJ($A43,$C$2,$C$3,shape_factors!E$2,$C$4,shape_factors!E$3)</f>
        <v>-0.49896013131368361</v>
      </c>
      <c r="F43" s="5">
        <f>EnergyLJ($A43,$C$2,$C$3,shape_factors!F$2,$C$4,shape_factors!F$3)</f>
        <v>-0.24501593381570977</v>
      </c>
      <c r="G43" s="5">
        <f>EnergyLJ($A43,$C$2,$C$3,shape_factors!G$2,$C$4,shape_factors!G$3)</f>
        <v>-0.32537547511630949</v>
      </c>
      <c r="H43" s="5">
        <f>EnergyLJ($A43,$C$2,$C$3,shape_factors!H$2,$C$4,shape_factors!H$3)</f>
        <v>10.221200161413323</v>
      </c>
      <c r="I43" s="5">
        <f>EnergyLJ($A43,$C$2,$C$3,shape_factors!I$2,$C$4,shape_factors!I$3)</f>
        <v>-0.61895324545655483</v>
      </c>
      <c r="J43" s="5">
        <f>EnergyLJ($A43,$C$2,$C$3,shape_factors!J$2,$C$4,shape_factors!J$3)</f>
        <v>-0.12718142036517707</v>
      </c>
      <c r="K43" s="5">
        <f>EnergyLJ($A43,$C$2,$C$3,shape_factors!K$2,$C$4,shape_factors!K$3)</f>
        <v>-0.15422378140071127</v>
      </c>
      <c r="L43" s="5">
        <f>EnergyLJ($A43,$C$2,$C$3,shape_factors!L$2,$C$4,shape_factors!L$3)</f>
        <v>-0.21212022851778101</v>
      </c>
      <c r="M43" s="5">
        <f>EnergyLJ($A43,$C$2,$C$3,shape_factors!M$2,$C$4,shape_factors!M$3)</f>
        <v>-0.1329256262738471</v>
      </c>
      <c r="N43" s="5">
        <f>EnergyLJ($A43,$C$2,$C$3,shape_factors!N$2,$C$4,shape_factors!N$3)</f>
        <v>-8.404897631557641E-2</v>
      </c>
      <c r="O43" s="5">
        <f>EnergyLJ($A43,$C$2,$C$3,shape_factors!O$2,$C$4,shape_factors!O$3)</f>
        <v>-7.5017828567128464E-2</v>
      </c>
      <c r="P43" s="5">
        <f>EnergyLJ($A43,$C$2,$C$3,shape_factors!P$2,$C$4,shape_factors!P$3)</f>
        <v>-8.6935333128515382E-2</v>
      </c>
      <c r="Q43" s="5">
        <f>EnergyLJ($A43,$C$2,$C$3,shape_factors!Q$2,$C$4,shape_factors!Q$3)</f>
        <v>-9.0923610036137067E-2</v>
      </c>
      <c r="R43" s="5">
        <f>EnergyLJ($A43,$C$2,$C$3,shape_factors!R$2,$C$4,shape_factors!R$3)</f>
        <v>-0.25177947671593143</v>
      </c>
      <c r="S43" s="5">
        <f>EnergyLJ($A43,$C$2,$C$3,shape_factors!S$2,$C$4,shape_factors!S$3)</f>
        <v>-0.10764419221824641</v>
      </c>
      <c r="T43" s="5">
        <f>EnergyLJ($A43,$C$2,$C$3,shape_factors!T$2,$C$4,shape_factors!T$3)</f>
        <v>-6.9692488209827416E-2</v>
      </c>
      <c r="U43" s="5">
        <f>EnergyLJ($A43,$C$2,$C$3,shape_factors!U$2,$C$4,shape_factors!U$3)</f>
        <v>-0.24798904437127867</v>
      </c>
    </row>
    <row r="44" spans="1:21" x14ac:dyDescent="0.25">
      <c r="A44">
        <v>9.4000000000000092</v>
      </c>
      <c r="B44" s="5">
        <f>EnergyLJ($A44,$C$2,$C$3,shape_factors!B$2,$C$4,shape_factors!B$3)</f>
        <v>-0.90192313504386579</v>
      </c>
      <c r="C44" s="5">
        <f>EnergyLJ($A44,$C$2,$C$3,shape_factors!C$2,$C$4,shape_factors!C$3)</f>
        <v>-0.24997595529140093</v>
      </c>
      <c r="D44" s="5">
        <f>EnergyLJ($A44,$C$2,$C$3,shape_factors!D$2,$C$4,shape_factors!D$3)</f>
        <v>-1.1267318135876248</v>
      </c>
      <c r="E44" s="5">
        <f>EnergyLJ($A44,$C$2,$C$3,shape_factors!E$2,$C$4,shape_factors!E$3)</f>
        <v>-0.44495222532818429</v>
      </c>
      <c r="F44" s="5">
        <f>EnergyLJ($A44,$C$2,$C$3,shape_factors!F$2,$C$4,shape_factors!F$3)</f>
        <v>-0.21671450838823281</v>
      </c>
      <c r="G44" s="5">
        <f>EnergyLJ($A44,$C$2,$C$3,shape_factors!G$2,$C$4,shape_factors!G$3)</f>
        <v>-0.28847492364720045</v>
      </c>
      <c r="H44" s="5">
        <f>EnergyLJ($A44,$C$2,$C$3,shape_factors!H$2,$C$4,shape_factors!H$3)</f>
        <v>6.7960317981287721</v>
      </c>
      <c r="I44" s="5">
        <f>EnergyLJ($A44,$C$2,$C$3,shape_factors!I$2,$C$4,shape_factors!I$3)</f>
        <v>-0.55457605269790511</v>
      </c>
      <c r="J44" s="5">
        <f>EnergyLJ($A44,$C$2,$C$3,shape_factors!J$2,$C$4,shape_factors!J$3)</f>
        <v>-0.11213322739033539</v>
      </c>
      <c r="K44" s="5">
        <f>EnergyLJ($A44,$C$2,$C$3,shape_factors!K$2,$C$4,shape_factors!K$3)</f>
        <v>-0.13607153997988633</v>
      </c>
      <c r="L44" s="5">
        <f>EnergyLJ($A44,$C$2,$C$3,shape_factors!L$2,$C$4,shape_factors!L$3)</f>
        <v>-0.18744568714121648</v>
      </c>
      <c r="M44" s="5">
        <f>EnergyLJ($A44,$C$2,$C$3,shape_factors!M$2,$C$4,shape_factors!M$3)</f>
        <v>-0.11721512365660693</v>
      </c>
      <c r="N44" s="5">
        <f>EnergyLJ($A44,$C$2,$C$3,shape_factors!N$2,$C$4,shape_factors!N$3)</f>
        <v>-7.4023531951198429E-2</v>
      </c>
      <c r="O44" s="5">
        <f>EnergyLJ($A44,$C$2,$C$3,shape_factors!O$2,$C$4,shape_factors!O$3)</f>
        <v>-6.6054865481607897E-2</v>
      </c>
      <c r="P44" s="5">
        <f>EnergyLJ($A44,$C$2,$C$3,shape_factors!P$2,$C$4,shape_factors!P$3)</f>
        <v>-7.6571095645860801E-2</v>
      </c>
      <c r="Q44" s="5">
        <f>EnergyLJ($A44,$C$2,$C$3,shape_factors!Q$2,$C$4,shape_factors!Q$3)</f>
        <v>-8.009186159109008E-2</v>
      </c>
      <c r="R44" s="5">
        <f>EnergyLJ($A44,$C$2,$C$3,shape_factors!R$2,$C$4,shape_factors!R$3)</f>
        <v>-0.22273976019991351</v>
      </c>
      <c r="S44" s="5">
        <f>EnergyLJ($A44,$C$2,$C$3,shape_factors!S$2,$C$4,shape_factors!S$3)</f>
        <v>-9.4860376960668666E-2</v>
      </c>
      <c r="T44" s="5">
        <f>EnergyLJ($A44,$C$2,$C$3,shape_factors!T$2,$C$4,shape_factors!T$3)</f>
        <v>-6.1357744703648263E-2</v>
      </c>
      <c r="U44" s="5">
        <f>EnergyLJ($A44,$C$2,$C$3,shape_factors!U$2,$C$4,shape_factors!U$3)</f>
        <v>-0.21936276489114956</v>
      </c>
    </row>
    <row r="45" spans="1:21" x14ac:dyDescent="0.25">
      <c r="A45">
        <v>9.6000000000000103</v>
      </c>
      <c r="B45" s="5">
        <f>EnergyLJ($A45,$C$2,$C$3,shape_factors!B$2,$C$4,shape_factors!B$3)</f>
        <v>-0.82201598663977571</v>
      </c>
      <c r="C45" s="5">
        <f>EnergyLJ($A45,$C$2,$C$3,shape_factors!C$2,$C$4,shape_factors!C$3)</f>
        <v>-0.22170634233024328</v>
      </c>
      <c r="D45" s="5">
        <f>EnergyLJ($A45,$C$2,$C$3,shape_factors!D$2,$C$4,shape_factors!D$3)</f>
        <v>-1.0478344532230686</v>
      </c>
      <c r="E45" s="5">
        <f>EnergyLJ($A45,$C$2,$C$3,shape_factors!E$2,$C$4,shape_factors!E$3)</f>
        <v>-0.39700721960242508</v>
      </c>
      <c r="F45" s="5">
        <f>EnergyLJ($A45,$C$2,$C$3,shape_factors!F$2,$C$4,shape_factors!F$3)</f>
        <v>-0.19203013664099264</v>
      </c>
      <c r="G45" s="5">
        <f>EnergyLJ($A45,$C$2,$C$3,shape_factors!G$2,$C$4,shape_factors!G$3)</f>
        <v>-0.2561322834813316</v>
      </c>
      <c r="H45" s="5">
        <f>EnergyLJ($A45,$C$2,$C$3,shape_factors!H$2,$C$4,shape_factors!H$3)</f>
        <v>4.3282794336562285</v>
      </c>
      <c r="I45" s="5">
        <f>EnergyLJ($A45,$C$2,$C$3,shape_factors!I$2,$C$4,shape_factors!I$3)</f>
        <v>-0.49677876649704678</v>
      </c>
      <c r="J45" s="5">
        <f>EnergyLJ($A45,$C$2,$C$3,shape_factors!J$2,$C$4,shape_factors!J$3)</f>
        <v>-9.909106955150819E-2</v>
      </c>
      <c r="K45" s="5">
        <f>EnergyLJ($A45,$C$2,$C$3,shape_factors!K$2,$C$4,shape_factors!K$3)</f>
        <v>-0.12031751356779848</v>
      </c>
      <c r="L45" s="5">
        <f>EnergyLJ($A45,$C$2,$C$3,shape_factors!L$2,$C$4,shape_factors!L$3)</f>
        <v>-0.16596468572679923</v>
      </c>
      <c r="M45" s="5">
        <f>EnergyLJ($A45,$C$2,$C$3,shape_factors!M$2,$C$4,shape_factors!M$3)</f>
        <v>-0.10359502574860968</v>
      </c>
      <c r="N45" s="5">
        <f>EnergyLJ($A45,$C$2,$C$3,shape_factors!N$2,$C$4,shape_factors!N$3)</f>
        <v>-6.5352795872153688E-2</v>
      </c>
      <c r="O45" s="5">
        <f>EnergyLJ($A45,$C$2,$C$3,shape_factors!O$2,$C$4,shape_factors!O$3)</f>
        <v>-5.830635063243772E-2</v>
      </c>
      <c r="P45" s="5">
        <f>EnergyLJ($A45,$C$2,$C$3,shape_factors!P$2,$C$4,shape_factors!P$3)</f>
        <v>-6.7606114704243894E-2</v>
      </c>
      <c r="Q45" s="5">
        <f>EnergyLJ($A45,$C$2,$C$3,shape_factors!Q$2,$C$4,shape_factors!Q$3)</f>
        <v>-7.0720701311201367E-2</v>
      </c>
      <c r="R45" s="5">
        <f>EnergyLJ($A45,$C$2,$C$3,shape_factors!R$2,$C$4,shape_factors!R$3)</f>
        <v>-0.19740150911956605</v>
      </c>
      <c r="S45" s="5">
        <f>EnergyLJ($A45,$C$2,$C$3,shape_factors!S$2,$C$4,shape_factors!S$3)</f>
        <v>-8.3791424997956207E-2</v>
      </c>
      <c r="T45" s="5">
        <f>EnergyLJ($A45,$C$2,$C$3,shape_factors!T$2,$C$4,shape_factors!T$3)</f>
        <v>-5.4154127676312586E-2</v>
      </c>
      <c r="U45" s="5">
        <f>EnergyLJ($A45,$C$2,$C$3,shape_factors!U$2,$C$4,shape_factors!U$3)</f>
        <v>-0.19439075858283536</v>
      </c>
    </row>
    <row r="46" spans="1:21" x14ac:dyDescent="0.25">
      <c r="A46">
        <v>9.8000000000000096</v>
      </c>
      <c r="B46" s="5">
        <f>EnergyLJ($A46,$C$2,$C$3,shape_factors!B$2,$C$4,shape_factors!B$3)</f>
        <v>-0.74707148855485062</v>
      </c>
      <c r="C46" s="5">
        <f>EnergyLJ($A46,$C$2,$C$3,shape_factors!C$2,$C$4,shape_factors!C$3)</f>
        <v>-0.19697151382464989</v>
      </c>
      <c r="D46" s="5">
        <f>EnergyLJ($A46,$C$2,$C$3,shape_factors!D$2,$C$4,shape_factors!D$3)</f>
        <v>-0.96775613276006156</v>
      </c>
      <c r="E46" s="5">
        <f>EnergyLJ($A46,$C$2,$C$3,shape_factors!E$2,$C$4,shape_factors!E$3)</f>
        <v>-0.35451667323356478</v>
      </c>
      <c r="F46" s="5">
        <f>EnergyLJ($A46,$C$2,$C$3,shape_factors!F$2,$C$4,shape_factors!F$3)</f>
        <v>-0.17047238431935197</v>
      </c>
      <c r="G46" s="5">
        <f>EnergyLJ($A46,$C$2,$C$3,shape_factors!G$2,$C$4,shape_factors!G$3)</f>
        <v>-0.22776979106424239</v>
      </c>
      <c r="H46" s="5">
        <f>EnergyLJ($A46,$C$2,$C$3,shape_factors!H$2,$C$4,shape_factors!H$3)</f>
        <v>2.5559004312233076</v>
      </c>
      <c r="I46" s="5">
        <f>EnergyLJ($A46,$C$2,$C$3,shape_factors!I$2,$C$4,shape_factors!I$3)</f>
        <v>-0.44508849925515742</v>
      </c>
      <c r="J46" s="5">
        <f>EnergyLJ($A46,$C$2,$C$3,shape_factors!J$2,$C$4,shape_factors!J$3)</f>
        <v>-8.7761879858352973E-2</v>
      </c>
      <c r="K46" s="5">
        <f>EnergyLJ($A46,$C$2,$C$3,shape_factors!K$2,$C$4,shape_factors!K$3)</f>
        <v>-0.10661661286973255</v>
      </c>
      <c r="L46" s="5">
        <f>EnergyLJ($A46,$C$2,$C$3,shape_factors!L$2,$C$4,shape_factors!L$3)</f>
        <v>-0.14723403128722473</v>
      </c>
      <c r="M46" s="5">
        <f>EnergyLJ($A46,$C$2,$C$3,shape_factors!M$2,$C$4,shape_factors!M$3)</f>
        <v>-9.1760896336702369E-2</v>
      </c>
      <c r="N46" s="5">
        <f>EnergyLJ($A46,$C$2,$C$3,shape_factors!N$2,$C$4,shape_factors!N$3)</f>
        <v>-5.7834404976275205E-2</v>
      </c>
      <c r="O46" s="5">
        <f>EnergyLJ($A46,$C$2,$C$3,shape_factors!O$2,$C$4,shape_factors!O$3)</f>
        <v>-5.1590076079729187E-2</v>
      </c>
      <c r="P46" s="5">
        <f>EnergyLJ($A46,$C$2,$C$3,shape_factors!P$2,$C$4,shape_factors!P$3)</f>
        <v>-5.9831669143884256E-2</v>
      </c>
      <c r="Q46" s="5">
        <f>EnergyLJ($A46,$C$2,$C$3,shape_factors!Q$2,$C$4,shape_factors!Q$3)</f>
        <v>-6.2592689694826953E-2</v>
      </c>
      <c r="R46" s="5">
        <f>EnergyLJ($A46,$C$2,$C$3,shape_factors!R$2,$C$4,shape_factors!R$3)</f>
        <v>-0.17526537442992673</v>
      </c>
      <c r="S46" s="5">
        <f>EnergyLJ($A46,$C$2,$C$3,shape_factors!S$2,$C$4,shape_factors!S$3)</f>
        <v>-7.4184200515428747E-2</v>
      </c>
      <c r="T46" s="5">
        <f>EnergyLJ($A46,$C$2,$C$3,shape_factors!T$2,$C$4,shape_factors!T$3)</f>
        <v>-4.7911498318520152E-2</v>
      </c>
      <c r="U46" s="5">
        <f>EnergyLJ($A46,$C$2,$C$3,shape_factors!U$2,$C$4,shape_factors!U$3)</f>
        <v>-0.17257863833083473</v>
      </c>
    </row>
    <row r="47" spans="1:21" x14ac:dyDescent="0.25">
      <c r="A47">
        <v>10</v>
      </c>
      <c r="B47" s="5">
        <f>EnergyLJ($A47,$C$2,$C$3,shape_factors!B$2,$C$4,shape_factors!B$3)</f>
        <v>-0.67769249868888937</v>
      </c>
      <c r="C47" s="5">
        <f>EnergyLJ($A47,$C$2,$C$3,shape_factors!C$2,$C$4,shape_factors!C$3)</f>
        <v>-0.17530344605132772</v>
      </c>
      <c r="D47" s="5">
        <f>EnergyLJ($A47,$C$2,$C$3,shape_factors!D$2,$C$4,shape_factors!D$3)</f>
        <v>-0.88942076847626339</v>
      </c>
      <c r="E47" s="5">
        <f>EnergyLJ($A47,$C$2,$C$3,shape_factors!E$2,$C$4,shape_factors!E$3)</f>
        <v>-0.31689380755771079</v>
      </c>
      <c r="F47" s="5">
        <f>EnergyLJ($A47,$C$2,$C$3,shape_factors!F$2,$C$4,shape_factors!F$3)</f>
        <v>-0.15161721715255777</v>
      </c>
      <c r="G47" s="5">
        <f>EnergyLJ($A47,$C$2,$C$3,shape_factors!G$2,$C$4,shape_factors!G$3)</f>
        <v>-0.20287646934744707</v>
      </c>
      <c r="H47" s="5">
        <f>EnergyLJ($A47,$C$2,$C$3,shape_factors!H$2,$C$4,shape_factors!H$3)</f>
        <v>1.2899107562203154</v>
      </c>
      <c r="I47" s="5">
        <f>EnergyLJ($A47,$C$2,$C$3,shape_factors!I$2,$C$4,shape_factors!I$3)</f>
        <v>-0.39897722362761828</v>
      </c>
      <c r="J47" s="5">
        <f>EnergyLJ($A47,$C$2,$C$3,shape_factors!J$2,$C$4,shape_factors!J$3)</f>
        <v>-7.7898258020982755E-2</v>
      </c>
      <c r="K47" s="5">
        <f>EnergyLJ($A47,$C$2,$C$3,shape_factors!K$2,$C$4,shape_factors!K$3)</f>
        <v>-9.4676130863497188E-2</v>
      </c>
      <c r="L47" s="5">
        <f>EnergyLJ($A47,$C$2,$C$3,shape_factors!L$2,$C$4,shape_factors!L$3)</f>
        <v>-0.13087342887025422</v>
      </c>
      <c r="M47" s="5">
        <f>EnergyLJ($A47,$C$2,$C$3,shape_factors!M$2,$C$4,shape_factors!M$3)</f>
        <v>-8.1455485180877515E-2</v>
      </c>
      <c r="N47" s="5">
        <f>EnergyLJ($A47,$C$2,$C$3,shape_factors!N$2,$C$4,shape_factors!N$3)</f>
        <v>-5.1298702936318372E-2</v>
      </c>
      <c r="O47" s="5">
        <f>EnergyLJ($A47,$C$2,$C$3,shape_factors!O$2,$C$4,shape_factors!O$3)</f>
        <v>-4.5753488589294934E-2</v>
      </c>
      <c r="P47" s="5">
        <f>EnergyLJ($A47,$C$2,$C$3,shape_factors!P$2,$C$4,shape_factors!P$3)</f>
        <v>-5.3072695716944271E-2</v>
      </c>
      <c r="Q47" s="5">
        <f>EnergyLJ($A47,$C$2,$C$3,shape_factors!Q$2,$C$4,shape_factors!Q$3)</f>
        <v>-5.5525339903453388E-2</v>
      </c>
      <c r="R47" s="5">
        <f>EnergyLJ($A47,$C$2,$C$3,shape_factors!R$2,$C$4,shape_factors!R$3)</f>
        <v>-0.15589889483071998</v>
      </c>
      <c r="S47" s="5">
        <f>EnergyLJ($A47,$C$2,$C$3,shape_factors!S$2,$C$4,shape_factors!S$3)</f>
        <v>-6.582569983005733E-2</v>
      </c>
      <c r="T47" s="5">
        <f>EnergyLJ($A47,$C$2,$C$3,shape_factors!T$2,$C$4,shape_factors!T$3)</f>
        <v>-4.2487519191990467E-2</v>
      </c>
      <c r="U47" s="5">
        <f>EnergyLJ($A47,$C$2,$C$3,shape_factors!U$2,$C$4,shape_factors!U$3)</f>
        <v>-0.15349864133640928</v>
      </c>
    </row>
    <row r="48" spans="1:21" x14ac:dyDescent="0.25">
      <c r="A48">
        <v>10.199999999999999</v>
      </c>
      <c r="B48" s="5">
        <f>EnergyLJ($A48,$C$2,$C$3,shape_factors!B$2,$C$4,shape_factors!B$3)</f>
        <v>-0.61404906858045583</v>
      </c>
      <c r="C48" s="5">
        <f>EnergyLJ($A48,$C$2,$C$3,shape_factors!C$2,$C$4,shape_factors!C$3)</f>
        <v>-0.15629567689649998</v>
      </c>
      <c r="D48" s="5">
        <f>EnergyLJ($A48,$C$2,$C$3,shape_factors!D$2,$C$4,shape_factors!D$3)</f>
        <v>-0.81459116843496282</v>
      </c>
      <c r="E48" s="5">
        <f>EnergyLJ($A48,$C$2,$C$3,shape_factors!E$2,$C$4,shape_factors!E$3)</f>
        <v>-0.28359103030790178</v>
      </c>
      <c r="F48" s="5">
        <f>EnergyLJ($A48,$C$2,$C$3,shape_factors!F$2,$C$4,shape_factors!F$3)</f>
        <v>-0.13509919715165689</v>
      </c>
      <c r="G48" s="5">
        <f>EnergyLJ($A48,$C$2,$C$3,shape_factors!G$2,$C$4,shape_factors!G$3)</f>
        <v>-0.18100405931133517</v>
      </c>
      <c r="H48" s="5">
        <f>EnergyLJ($A48,$C$2,$C$3,shape_factors!H$2,$C$4,shape_factors!H$3)</f>
        <v>0.39337596050450685</v>
      </c>
      <c r="I48" s="5">
        <f>EnergyLJ($A48,$C$2,$C$3,shape_factors!I$2,$C$4,shape_factors!I$3)</f>
        <v>-0.35790764409252213</v>
      </c>
      <c r="J48" s="5">
        <f>EnergyLJ($A48,$C$2,$C$3,shape_factors!J$2,$C$4,shape_factors!J$3)</f>
        <v>-6.9291123928299947E-2</v>
      </c>
      <c r="K48" s="5">
        <f>EnergyLJ($A48,$C$2,$C$3,shape_factors!K$2,$C$4,shape_factors!K$3)</f>
        <v>-8.4247715363511999E-2</v>
      </c>
      <c r="L48" s="5">
        <f>EnergyLJ($A48,$C$2,$C$3,shape_factors!L$2,$C$4,shape_factors!L$3)</f>
        <v>-0.11655713275806157</v>
      </c>
      <c r="M48" s="5">
        <f>EnergyLJ($A48,$C$2,$C$3,shape_factors!M$2,$C$4,shape_factors!M$3)</f>
        <v>-7.2461209553139241E-2</v>
      </c>
      <c r="N48" s="5">
        <f>EnergyLJ($A48,$C$2,$C$3,shape_factors!N$2,$C$4,shape_factors!N$3)</f>
        <v>-4.5603141422783294E-2</v>
      </c>
      <c r="O48" s="5">
        <f>EnergyLJ($A48,$C$2,$C$3,shape_factors!O$2,$C$4,shape_factors!O$3)</f>
        <v>-4.066855640908295E-2</v>
      </c>
      <c r="P48" s="5">
        <f>EnergyLJ($A48,$C$2,$C$3,shape_factors!P$2,$C$4,shape_factors!P$3)</f>
        <v>-4.7182048671414484E-2</v>
      </c>
      <c r="Q48" s="5">
        <f>EnergyLJ($A48,$C$2,$C$3,shape_factors!Q$2,$C$4,shape_factors!Q$3)</f>
        <v>-4.9365187371521187E-2</v>
      </c>
      <c r="R48" s="5">
        <f>EnergyLJ($A48,$C$2,$C$3,shape_factors!R$2,$C$4,shape_factors!R$3)</f>
        <v>-0.13892887348547361</v>
      </c>
      <c r="S48" s="5">
        <f>EnergyLJ($A48,$C$2,$C$3,shape_factors!S$2,$C$4,shape_factors!S$3)</f>
        <v>-5.8536397727144827E-2</v>
      </c>
      <c r="T48" s="5">
        <f>EnergyLJ($A48,$C$2,$C$3,shape_factors!T$2,$C$4,shape_factors!T$3)</f>
        <v>-3.7762811310385259E-2</v>
      </c>
      <c r="U48" s="5">
        <f>EnergyLJ($A48,$C$2,$C$3,shape_factors!U$2,$C$4,shape_factors!U$3)</f>
        <v>-0.1367819018046989</v>
      </c>
    </row>
    <row r="49" spans="1:21" x14ac:dyDescent="0.25">
      <c r="A49">
        <v>10.4</v>
      </c>
      <c r="B49" s="5">
        <f>EnergyLJ($A49,$C$2,$C$3,shape_factors!B$2,$C$4,shape_factors!B$3)</f>
        <v>-0.55604294926530384</v>
      </c>
      <c r="C49" s="5">
        <f>EnergyLJ($A49,$C$2,$C$3,shape_factors!C$2,$C$4,shape_factors!C$3)</f>
        <v>-0.13959641114792565</v>
      </c>
      <c r="D49" s="5">
        <f>EnergyLJ($A49,$C$2,$C$3,shape_factors!D$2,$C$4,shape_factors!D$3)</f>
        <v>-0.74425394810492584</v>
      </c>
      <c r="E49" s="5">
        <f>EnergyLJ($A49,$C$2,$C$3,shape_factors!E$2,$C$4,shape_factors!E$3)</f>
        <v>-0.25410801823709084</v>
      </c>
      <c r="F49" s="5">
        <f>EnergyLJ($A49,$C$2,$C$3,shape_factors!F$2,$C$4,shape_factors!F$3)</f>
        <v>-0.1206039941219349</v>
      </c>
      <c r="G49" s="5">
        <f>EnergyLJ($A49,$C$2,$C$3,shape_factors!G$2,$C$4,shape_factors!G$3)</f>
        <v>-0.1617614706358278</v>
      </c>
      <c r="H49" s="5">
        <f>EnergyLJ($A49,$C$2,$C$3,shape_factors!H$2,$C$4,shape_factors!H$3)</f>
        <v>-0.23334332514227341</v>
      </c>
      <c r="I49" s="5">
        <f>EnergyLJ($A49,$C$2,$C$3,shape_factors!I$2,$C$4,shape_factors!I$3)</f>
        <v>-0.32136007412323453</v>
      </c>
      <c r="J49" s="5">
        <f>EnergyLJ($A49,$C$2,$C$3,shape_factors!J$2,$C$4,shape_factors!J$3)</f>
        <v>-6.1763529279581939E-2</v>
      </c>
      <c r="K49" s="5">
        <f>EnergyLJ($A49,$C$2,$C$3,shape_factors!K$2,$C$4,shape_factors!K$3)</f>
        <v>-7.5120480097946724E-2</v>
      </c>
      <c r="L49" s="5">
        <f>EnergyLJ($A49,$C$2,$C$3,shape_factors!L$2,$C$4,shape_factors!L$3)</f>
        <v>-0.10400635120309908</v>
      </c>
      <c r="M49" s="5">
        <f>EnergyLJ($A49,$C$2,$C$3,shape_factors!M$2,$C$4,shape_factors!M$3)</f>
        <v>-6.4593797996584504E-2</v>
      </c>
      <c r="N49" s="5">
        <f>EnergyLJ($A49,$C$2,$C$3,shape_factors!N$2,$C$4,shape_factors!N$3)</f>
        <v>-4.0627671137405279E-2</v>
      </c>
      <c r="O49" s="5">
        <f>EnergyLJ($A49,$C$2,$C$3,shape_factors!O$2,$C$4,shape_factors!O$3)</f>
        <v>-3.6227560551185374E-2</v>
      </c>
      <c r="P49" s="5">
        <f>EnergyLJ($A49,$C$2,$C$3,shape_factors!P$2,$C$4,shape_factors!P$3)</f>
        <v>-4.2035767859001656E-2</v>
      </c>
      <c r="Q49" s="5">
        <f>EnergyLJ($A49,$C$2,$C$3,shape_factors!Q$2,$C$4,shape_factors!Q$3)</f>
        <v>-4.3982892066224438E-2</v>
      </c>
      <c r="R49" s="5">
        <f>EnergyLJ($A49,$C$2,$C$3,shape_factors!R$2,$C$4,shape_factors!R$3)</f>
        <v>-0.12403395920991903</v>
      </c>
      <c r="S49" s="5">
        <f>EnergyLJ($A49,$C$2,$C$3,shape_factors!S$2,$C$4,shape_factors!S$3)</f>
        <v>-5.2164705510912984E-2</v>
      </c>
      <c r="T49" s="5">
        <f>EnergyLJ($A49,$C$2,$C$3,shape_factors!T$2,$C$4,shape_factors!T$3)</f>
        <v>-3.3636992454724166E-2</v>
      </c>
      <c r="U49" s="5">
        <f>EnergyLJ($A49,$C$2,$C$3,shape_factors!U$2,$C$4,shape_factors!U$3)</f>
        <v>-0.12211099104626555</v>
      </c>
    </row>
    <row r="50" spans="1:21" x14ac:dyDescent="0.25">
      <c r="A50">
        <v>10.6</v>
      </c>
      <c r="B50" s="5">
        <f>EnergyLJ($A50,$C$2,$C$3,shape_factors!B$2,$C$4,shape_factors!B$3)</f>
        <v>-0.50341658136060374</v>
      </c>
      <c r="C50" s="5">
        <f>EnergyLJ($A50,$C$2,$C$3,shape_factors!C$2,$C$4,shape_factors!C$3)</f>
        <v>-0.1249018088842318</v>
      </c>
      <c r="D50" s="5">
        <f>EnergyLJ($A50,$C$2,$C$3,shape_factors!D$2,$C$4,shape_factors!D$3)</f>
        <v>-0.67888187551824963</v>
      </c>
      <c r="E50" s="5">
        <f>EnergyLJ($A50,$C$2,$C$3,shape_factors!E$2,$C$4,shape_factors!E$3)</f>
        <v>-0.22799408773356392</v>
      </c>
      <c r="F50" s="5">
        <f>EnergyLJ($A50,$C$2,$C$3,shape_factors!F$2,$C$4,shape_factors!F$3)</f>
        <v>-0.10786150417077209</v>
      </c>
      <c r="G50" s="5">
        <f>EnergyLJ($A50,$C$2,$C$3,shape_factors!G$2,$C$4,shape_factors!G$3)</f>
        <v>-0.14480872960919736</v>
      </c>
      <c r="H50" s="5">
        <f>EnergyLJ($A50,$C$2,$C$3,shape_factors!H$2,$C$4,shape_factors!H$3)</f>
        <v>-0.66301989722181531</v>
      </c>
      <c r="I50" s="5">
        <f>EnergyLJ($A50,$C$2,$C$3,shape_factors!I$2,$C$4,shape_factors!I$3)</f>
        <v>-0.28884720974081934</v>
      </c>
      <c r="J50" s="5">
        <f>EnergyLJ($A50,$C$2,$C$3,shape_factors!J$2,$C$4,shape_factors!J$3)</f>
        <v>-5.5165469586405641E-2</v>
      </c>
      <c r="K50" s="5">
        <f>EnergyLJ($A50,$C$2,$C$3,shape_factors!K$2,$C$4,shape_factors!K$3)</f>
        <v>-6.7115145644297394E-2</v>
      </c>
      <c r="L50" s="5">
        <f>EnergyLJ($A50,$C$2,$C$3,shape_factors!L$2,$C$4,shape_factors!L$3)</f>
        <v>-9.2982507856747915E-2</v>
      </c>
      <c r="M50" s="5">
        <f>EnergyLJ($A50,$C$2,$C$3,shape_factors!M$2,$C$4,shape_factors!M$3)</f>
        <v>-5.76969463956074E-2</v>
      </c>
      <c r="N50" s="5">
        <f>EnergyLJ($A50,$C$2,$C$3,shape_factors!N$2,$C$4,shape_factors!N$3)</f>
        <v>-3.6270948599652339E-2</v>
      </c>
      <c r="O50" s="5">
        <f>EnergyLJ($A50,$C$2,$C$3,shape_factors!O$2,$C$4,shape_factors!O$3)</f>
        <v>-3.2339642460074328E-2</v>
      </c>
      <c r="P50" s="5">
        <f>EnergyLJ($A50,$C$2,$C$3,shape_factors!P$2,$C$4,shape_factors!P$3)</f>
        <v>-3.7529180082535425E-2</v>
      </c>
      <c r="Q50" s="5">
        <f>EnergyLJ($A50,$C$2,$C$3,shape_factors!Q$2,$C$4,shape_factors!Q$3)</f>
        <v>-3.9269196956013899E-2</v>
      </c>
      <c r="R50" s="5">
        <f>EnergyLJ($A50,$C$2,$C$3,shape_factors!R$2,$C$4,shape_factors!R$3)</f>
        <v>-0.11093776910558029</v>
      </c>
      <c r="S50" s="5">
        <f>EnergyLJ($A50,$C$2,$C$3,shape_factors!S$2,$C$4,shape_factors!S$3)</f>
        <v>-4.6582366344297112E-2</v>
      </c>
      <c r="T50" s="5">
        <f>EnergyLJ($A50,$C$2,$C$3,shape_factors!T$2,$C$4,shape_factors!T$3)</f>
        <v>-3.0025433586565099E-2</v>
      </c>
      <c r="U50" s="5">
        <f>EnergyLJ($A50,$C$2,$C$3,shape_factors!U$2,$C$4,shape_factors!U$3)</f>
        <v>-0.10921303636673958</v>
      </c>
    </row>
    <row r="51" spans="1:21" x14ac:dyDescent="0.25">
      <c r="A51">
        <v>10.8</v>
      </c>
      <c r="B51" s="5">
        <f>EnergyLJ($A51,$C$2,$C$3,shape_factors!B$2,$C$4,shape_factors!B$3)</f>
        <v>-0.45582480522355234</v>
      </c>
      <c r="C51" s="5">
        <f>EnergyLJ($A51,$C$2,$C$3,shape_factors!C$2,$C$4,shape_factors!C$3)</f>
        <v>-0.11194975065412098</v>
      </c>
      <c r="D51" s="5">
        <f>EnergyLJ($A51,$C$2,$C$3,shape_factors!D$2,$C$4,shape_factors!D$3)</f>
        <v>-0.61861269856760548</v>
      </c>
      <c r="E51" s="5">
        <f>EnergyLJ($A51,$C$2,$C$3,shape_factors!E$2,$C$4,shape_factors!E$3)</f>
        <v>-0.20484722231692318</v>
      </c>
      <c r="F51" s="5">
        <f>EnergyLJ($A51,$C$2,$C$3,shape_factors!F$2,$C$4,shape_factors!F$3)</f>
        <v>-9.6639692767348642E-2</v>
      </c>
      <c r="G51" s="5">
        <f>EnergyLJ($A51,$C$2,$C$3,shape_factors!G$2,$C$4,shape_factors!G$3)</f>
        <v>-0.12985098152598207</v>
      </c>
      <c r="H51" s="5">
        <f>EnergyLJ($A51,$C$2,$C$3,shape_factors!H$2,$C$4,shape_factors!H$3)</f>
        <v>-0.94897567286173334</v>
      </c>
      <c r="I51" s="5">
        <f>EnergyLJ($A51,$C$2,$C$3,shape_factors!I$2,$C$4,shape_factors!I$3)</f>
        <v>-0.25992127594547054</v>
      </c>
      <c r="J51" s="5">
        <f>EnergyLJ($A51,$C$2,$C$3,shape_factors!J$2,$C$4,shape_factors!J$3)</f>
        <v>-4.9369547533051006E-2</v>
      </c>
      <c r="K51" s="5">
        <f>EnergyLJ($A51,$C$2,$C$3,shape_factors!K$2,$C$4,shape_factors!K$3)</f>
        <v>-6.0079085681196284E-2</v>
      </c>
      <c r="L51" s="5">
        <f>EnergyLJ($A51,$C$2,$C$3,shape_factors!L$2,$C$4,shape_factors!L$3)</f>
        <v>-8.3281360158768566E-2</v>
      </c>
      <c r="M51" s="5">
        <f>EnergyLJ($A51,$C$2,$C$3,shape_factors!M$2,$C$4,shape_factors!M$3)</f>
        <v>-5.1637840803156504E-2</v>
      </c>
      <c r="N51" s="5">
        <f>EnergyLJ($A51,$C$2,$C$3,shape_factors!N$2,$C$4,shape_factors!N$3)</f>
        <v>-3.2447212812754589E-2</v>
      </c>
      <c r="O51" s="5">
        <f>EnergyLJ($A51,$C$2,$C$3,shape_factors!O$2,$C$4,shape_factors!O$3)</f>
        <v>-2.8927969198399434E-2</v>
      </c>
      <c r="P51" s="5">
        <f>EnergyLJ($A51,$C$2,$C$3,shape_factors!P$2,$C$4,shape_factors!P$3)</f>
        <v>-3.3573686026460964E-2</v>
      </c>
      <c r="Q51" s="5">
        <f>EnergyLJ($A51,$C$2,$C$3,shape_factors!Q$2,$C$4,shape_factors!Q$3)</f>
        <v>-3.5131592933411539E-2</v>
      </c>
      <c r="R51" s="5">
        <f>EnergyLJ($A51,$C$2,$C$3,shape_factors!R$2,$C$4,shape_factors!R$3)</f>
        <v>-9.9402698665611328E-2</v>
      </c>
      <c r="S51" s="5">
        <f>EnergyLJ($A51,$C$2,$C$3,shape_factors!S$2,$C$4,shape_factors!S$3)</f>
        <v>-4.1680633991548921E-2</v>
      </c>
      <c r="T51" s="5">
        <f>EnergyLJ($A51,$C$2,$C$3,shape_factors!T$2,$C$4,shape_factors!T$3)</f>
        <v>-2.6856599626656961E-2</v>
      </c>
      <c r="U51" s="5">
        <f>EnergyLJ($A51,$C$2,$C$3,shape_factors!U$2,$C$4,shape_factors!U$3)</f>
        <v>-9.7853548629995665E-2</v>
      </c>
    </row>
    <row r="52" spans="1:21" x14ac:dyDescent="0.25">
      <c r="A52">
        <v>11</v>
      </c>
      <c r="B52" s="5">
        <f>EnergyLJ($A52,$C$2,$C$3,shape_factors!B$2,$C$4,shape_factors!B$3)</f>
        <v>-0.41288151612836715</v>
      </c>
      <c r="C52" s="5">
        <f>EnergyLJ($A52,$C$2,$C$3,shape_factors!C$2,$C$4,shape_factors!C$3)</f>
        <v>-0.10051420937823341</v>
      </c>
      <c r="D52" s="5">
        <f>EnergyLJ($A52,$C$2,$C$3,shape_factors!D$2,$C$4,shape_factors!D$3)</f>
        <v>-0.56337086335969011</v>
      </c>
      <c r="E52" s="5">
        <f>EnergyLJ($A52,$C$2,$C$3,shape_factors!E$2,$C$4,shape_factors!E$3)</f>
        <v>-0.18431125185880226</v>
      </c>
      <c r="F52" s="5">
        <f>EnergyLJ($A52,$C$2,$C$3,shape_factors!F$2,$C$4,shape_factors!F$3)</f>
        <v>-8.6739181189920564E-2</v>
      </c>
      <c r="G52" s="5">
        <f>EnergyLJ($A52,$C$2,$C$3,shape_factors!G$2,$C$4,shape_factors!G$3)</f>
        <v>-0.11663284695010839</v>
      </c>
      <c r="H52" s="5">
        <f>EnergyLJ($A52,$C$2,$C$3,shape_factors!H$2,$C$4,shape_factors!H$3)</f>
        <v>-1.1303853066557634</v>
      </c>
      <c r="I52" s="5">
        <f>EnergyLJ($A52,$C$2,$C$3,shape_factors!I$2,$C$4,shape_factors!I$3)</f>
        <v>-0.23417645223993411</v>
      </c>
      <c r="J52" s="5">
        <f>EnergyLJ($A52,$C$2,$C$3,shape_factors!J$2,$C$4,shape_factors!J$3)</f>
        <v>-4.426735381885602E-2</v>
      </c>
      <c r="K52" s="5">
        <f>EnergyLJ($A52,$C$2,$C$3,shape_factors!K$2,$C$4,shape_factors!K$3)</f>
        <v>-5.3882154620920664E-2</v>
      </c>
      <c r="L52" s="5">
        <f>EnergyLJ($A52,$C$2,$C$3,shape_factors!L$2,$C$4,shape_factors!L$3)</f>
        <v>-7.4727921568830305E-2</v>
      </c>
      <c r="M52" s="5">
        <f>EnergyLJ($A52,$C$2,$C$3,shape_factors!M$2,$C$4,shape_factors!M$3)</f>
        <v>-4.6303414070090705E-2</v>
      </c>
      <c r="N52" s="5">
        <f>EnergyLJ($A52,$C$2,$C$3,shape_factors!N$2,$C$4,shape_factors!N$3)</f>
        <v>-2.9083710917681645E-2</v>
      </c>
      <c r="O52" s="5">
        <f>EnergyLJ($A52,$C$2,$C$3,shape_factors!O$2,$C$4,shape_factors!O$3)</f>
        <v>-2.5927402319136702E-2</v>
      </c>
      <c r="P52" s="5">
        <f>EnergyLJ($A52,$C$2,$C$3,shape_factors!P$2,$C$4,shape_factors!P$3)</f>
        <v>-3.0094109934072064E-2</v>
      </c>
      <c r="Q52" s="5">
        <f>EnergyLJ($A52,$C$2,$C$3,shape_factors!Q$2,$C$4,shape_factors!Q$3)</f>
        <v>-3.1491564918687383E-2</v>
      </c>
      <c r="R52" s="5">
        <f>EnergyLJ($A52,$C$2,$C$3,shape_factors!R$2,$C$4,shape_factors!R$3)</f>
        <v>-8.9224455961805976E-2</v>
      </c>
      <c r="S52" s="5">
        <f>EnergyLJ($A52,$C$2,$C$3,shape_factors!S$2,$C$4,shape_factors!S$3)</f>
        <v>-3.7367102662488869E-2</v>
      </c>
      <c r="T52" s="5">
        <f>EnergyLJ($A52,$C$2,$C$3,shape_factors!T$2,$C$4,shape_factors!T$3)</f>
        <v>-2.4069865619088863E-2</v>
      </c>
      <c r="U52" s="5">
        <f>EnergyLJ($A52,$C$2,$C$3,shape_factors!U$2,$C$4,shape_factors!U$3)</f>
        <v>-8.783098501602514E-2</v>
      </c>
    </row>
    <row r="53" spans="1:21" x14ac:dyDescent="0.25">
      <c r="A53">
        <v>11.2</v>
      </c>
      <c r="B53" s="5">
        <f>EnergyLJ($A53,$C$2,$C$3,shape_factors!B$2,$C$4,shape_factors!B$3)</f>
        <v>-0.37418949136839197</v>
      </c>
      <c r="C53" s="5">
        <f>EnergyLJ($A53,$C$2,$C$3,shape_factors!C$2,$C$4,shape_factors!C$3)</f>
        <v>-9.0400263939241637E-2</v>
      </c>
      <c r="D53" s="5">
        <f>EnergyLJ($A53,$C$2,$C$3,shape_factors!D$2,$C$4,shape_factors!D$3)</f>
        <v>-0.51295007514270419</v>
      </c>
      <c r="E53" s="5">
        <f>EnergyLJ($A53,$C$2,$C$3,shape_factors!E$2,$C$4,shape_factors!E$3)</f>
        <v>-0.16607211644616374</v>
      </c>
      <c r="F53" s="5">
        <f>EnergyLJ($A53,$C$2,$C$3,shape_factors!F$2,$C$4,shape_factors!F$3)</f>
        <v>-7.7988542033668784E-2</v>
      </c>
      <c r="G53" s="5">
        <f>EnergyLJ($A53,$C$2,$C$3,shape_factors!G$2,$C$4,shape_factors!G$3)</f>
        <v>-0.10493327516248915</v>
      </c>
      <c r="H53" s="5">
        <f>EnergyLJ($A53,$C$2,$C$3,shape_factors!H$2,$C$4,shape_factors!H$3)</f>
        <v>-1.2360898806956917</v>
      </c>
      <c r="I53" s="5">
        <f>EnergyLJ($A53,$C$2,$C$3,shape_factors!I$2,$C$4,shape_factors!I$3)</f>
        <v>-0.21124845875859488</v>
      </c>
      <c r="J53" s="5">
        <f>EnergyLJ($A53,$C$2,$C$3,shape_factors!J$2,$C$4,shape_factors!J$3)</f>
        <v>-3.9766448755581302E-2</v>
      </c>
      <c r="K53" s="5">
        <f>EnergyLJ($A53,$C$2,$C$3,shape_factors!K$2,$C$4,shape_factors!K$3)</f>
        <v>-4.8413181520222483E-2</v>
      </c>
      <c r="L53" s="5">
        <f>EnergyLJ($A53,$C$2,$C$3,shape_factors!L$2,$C$4,shape_factors!L$3)</f>
        <v>-6.7172110120823039E-2</v>
      </c>
      <c r="M53" s="5">
        <f>EnergyLJ($A53,$C$2,$C$3,shape_factors!M$2,$C$4,shape_factors!M$3)</f>
        <v>-4.1597219075401197E-2</v>
      </c>
      <c r="N53" s="5">
        <f>EnergyLJ($A53,$C$2,$C$3,shape_factors!N$2,$C$4,shape_factors!N$3)</f>
        <v>-2.6118573374465433E-2</v>
      </c>
      <c r="O53" s="5">
        <f>EnergyLJ($A53,$C$2,$C$3,shape_factors!O$2,$C$4,shape_factors!O$3)</f>
        <v>-2.3282577568004507E-2</v>
      </c>
      <c r="P53" s="5">
        <f>EnergyLJ($A53,$C$2,$C$3,shape_factors!P$2,$C$4,shape_factors!P$3)</f>
        <v>-2.7026510674713889E-2</v>
      </c>
      <c r="Q53" s="5">
        <f>EnergyLJ($A53,$C$2,$C$3,shape_factors!Q$2,$C$4,shape_factors!Q$3)</f>
        <v>-2.8282315339766079E-2</v>
      </c>
      <c r="R53" s="5">
        <f>EnergyLJ($A53,$C$2,$C$3,shape_factors!R$2,$C$4,shape_factors!R$3)</f>
        <v>-8.0227296517445201E-2</v>
      </c>
      <c r="S53" s="5">
        <f>EnergyLJ($A53,$C$2,$C$3,shape_factors!S$2,$C$4,shape_factors!S$3)</f>
        <v>-3.3563076087442731E-2</v>
      </c>
      <c r="T53" s="5">
        <f>EnergyLJ($A53,$C$2,$C$3,shape_factors!T$2,$C$4,shape_factors!T$3)</f>
        <v>-2.1613719792991606E-2</v>
      </c>
      <c r="U53" s="5">
        <f>EnergyLJ($A53,$C$2,$C$3,shape_factors!U$2,$C$4,shape_factors!U$3)</f>
        <v>-7.8972017364200411E-2</v>
      </c>
    </row>
    <row r="54" spans="1:21" x14ac:dyDescent="0.25">
      <c r="A54">
        <v>11.4</v>
      </c>
      <c r="B54" s="5">
        <f>EnergyLJ($A54,$C$2,$C$3,shape_factors!B$2,$C$4,shape_factors!B$3)</f>
        <v>-0.33935894258389121</v>
      </c>
      <c r="C54" s="5">
        <f>EnergyLJ($A54,$C$2,$C$3,shape_factors!C$2,$C$4,shape_factors!C$3)</f>
        <v>-8.1439736584191375E-2</v>
      </c>
      <c r="D54" s="5">
        <f>EnergyLJ($A54,$C$2,$C$3,shape_factors!D$2,$C$4,shape_factors!D$3)</f>
        <v>-0.46706896115659552</v>
      </c>
      <c r="E54" s="5">
        <f>EnergyLJ($A54,$C$2,$C$3,shape_factors!E$2,$C$4,shape_factors!E$3)</f>
        <v>-0.1498537868769895</v>
      </c>
      <c r="F54" s="5">
        <f>EnergyLJ($A54,$C$2,$C$3,shape_factors!F$2,$C$4,shape_factors!F$3)</f>
        <v>-7.0240243454348303E-2</v>
      </c>
      <c r="G54" s="5">
        <f>EnergyLJ($A54,$C$2,$C$3,shape_factors!G$2,$C$4,shape_factors!G$3)</f>
        <v>-9.4560945571834989E-2</v>
      </c>
      <c r="H54" s="5">
        <f>EnergyLJ($A54,$C$2,$C$3,shape_factors!H$2,$C$4,shape_factors!H$3)</f>
        <v>-1.2873532683049913</v>
      </c>
      <c r="I54" s="5">
        <f>EnergyLJ($A54,$C$2,$C$3,shape_factors!I$2,$C$4,shape_factors!I$3)</f>
        <v>-0.1908125143617404</v>
      </c>
      <c r="J54" s="5">
        <f>EnergyLJ($A54,$C$2,$C$3,shape_factors!J$2,$C$4,shape_factors!J$3)</f>
        <v>-3.5787844774731098E-2</v>
      </c>
      <c r="K54" s="5">
        <f>EnergyLJ($A54,$C$2,$C$3,shape_factors!K$2,$C$4,shape_factors!K$3)</f>
        <v>-4.3577027517118318E-2</v>
      </c>
      <c r="L54" s="5">
        <f>EnergyLJ($A54,$C$2,$C$3,shape_factors!L$2,$C$4,shape_factors!L$3)</f>
        <v>-6.0485037953892103E-2</v>
      </c>
      <c r="M54" s="5">
        <f>EnergyLJ($A54,$C$2,$C$3,shape_factors!M$2,$C$4,shape_factors!M$3)</f>
        <v>-3.7436817526963241E-2</v>
      </c>
      <c r="N54" s="5">
        <f>EnergyLJ($A54,$C$2,$C$3,shape_factors!N$2,$C$4,shape_factors!N$3)</f>
        <v>-2.3499057221864478E-2</v>
      </c>
      <c r="O54" s="5">
        <f>EnergyLJ($A54,$C$2,$C$3,shape_factors!O$2,$C$4,shape_factors!O$3)</f>
        <v>-2.0946319890144366E-2</v>
      </c>
      <c r="P54" s="5">
        <f>EnergyLJ($A54,$C$2,$C$3,shape_factors!P$2,$C$4,shape_factors!P$3)</f>
        <v>-2.4316371007676214E-2</v>
      </c>
      <c r="Q54" s="5">
        <f>EnergyLJ($A54,$C$2,$C$3,shape_factors!Q$2,$C$4,shape_factors!Q$3)</f>
        <v>-2.5446879504216979E-2</v>
      </c>
      <c r="R54" s="5">
        <f>EnergyLJ($A54,$C$2,$C$3,shape_factors!R$2,$C$4,shape_factors!R$3)</f>
        <v>-7.2259905106882585E-2</v>
      </c>
      <c r="S54" s="5">
        <f>EnergyLJ($A54,$C$2,$C$3,shape_factors!S$2,$C$4,shape_factors!S$3)</f>
        <v>-3.0201382256094114E-2</v>
      </c>
      <c r="T54" s="5">
        <f>EnergyLJ($A54,$C$2,$C$3,shape_factors!T$2,$C$4,shape_factors!T$3)</f>
        <v>-1.9444281816583361E-2</v>
      </c>
      <c r="U54" s="5">
        <f>EnergyLJ($A54,$C$2,$C$3,shape_factors!U$2,$C$4,shape_factors!U$3)</f>
        <v>-7.1127448602569088E-2</v>
      </c>
    </row>
    <row r="55" spans="1:21" x14ac:dyDescent="0.25">
      <c r="A55">
        <v>11.6</v>
      </c>
      <c r="B55" s="5">
        <f>EnergyLJ($A55,$C$2,$C$3,shape_factors!B$2,$C$4,shape_factors!B$3)</f>
        <v>-0.30801855001507017</v>
      </c>
      <c r="C55" s="5">
        <f>EnergyLJ($A55,$C$2,$C$3,shape_factors!C$2,$C$4,shape_factors!C$3)</f>
        <v>-7.3487408968330975E-2</v>
      </c>
      <c r="D55" s="5">
        <f>EnergyLJ($A55,$C$2,$C$3,shape_factors!D$2,$C$4,shape_factors!D$3)</f>
        <v>-0.42540824167611341</v>
      </c>
      <c r="E55" s="5">
        <f>EnergyLJ($A55,$C$2,$C$3,shape_factors!E$2,$C$4,shape_factors!E$3)</f>
        <v>-0.13541418267769267</v>
      </c>
      <c r="F55" s="5">
        <f>EnergyLJ($A55,$C$2,$C$3,shape_factors!F$2,$C$4,shape_factors!F$3)</f>
        <v>-6.3367171710185369E-2</v>
      </c>
      <c r="G55" s="5">
        <f>EnergyLJ($A55,$C$2,$C$3,shape_factors!G$2,$C$4,shape_factors!G$3)</f>
        <v>-8.5350214784158593E-2</v>
      </c>
      <c r="H55" s="5">
        <f>EnergyLJ($A55,$C$2,$C$3,shape_factors!H$2,$C$4,shape_factors!H$3)</f>
        <v>-1.2998638965771809</v>
      </c>
      <c r="I55" s="5">
        <f>EnergyLJ($A55,$C$2,$C$3,shape_factors!I$2,$C$4,shape_factors!I$3)</f>
        <v>-0.17258043934907508</v>
      </c>
      <c r="J55" s="5">
        <f>EnergyLJ($A55,$C$2,$C$3,shape_factors!J$2,$C$4,shape_factors!J$3)</f>
        <v>-3.2263905512806994E-2</v>
      </c>
      <c r="K55" s="5">
        <f>EnergyLJ($A55,$C$2,$C$3,shape_factors!K$2,$C$4,shape_factors!K$3)</f>
        <v>-3.9292117301851628E-2</v>
      </c>
      <c r="L55" s="5">
        <f>EnergyLJ($A55,$C$2,$C$3,shape_factors!L$2,$C$4,shape_factors!L$3)</f>
        <v>-5.4555857753194395E-2</v>
      </c>
      <c r="M55" s="5">
        <f>EnergyLJ($A55,$C$2,$C$3,shape_factors!M$2,$C$4,shape_factors!M$3)</f>
        <v>-3.3751598509051295E-2</v>
      </c>
      <c r="N55" s="5">
        <f>EnergyLJ($A55,$C$2,$C$3,shape_factors!N$2,$C$4,shape_factors!N$3)</f>
        <v>-2.1180090903685275E-2</v>
      </c>
      <c r="O55" s="5">
        <f>EnergyLJ($A55,$C$2,$C$3,shape_factors!O$2,$C$4,shape_factors!O$3)</f>
        <v>-1.8878332404353819E-2</v>
      </c>
      <c r="P55" s="5">
        <f>EnergyLJ($A55,$C$2,$C$3,shape_factors!P$2,$C$4,shape_factors!P$3)</f>
        <v>-2.1917096980833745E-2</v>
      </c>
      <c r="Q55" s="5">
        <f>EnergyLJ($A55,$C$2,$C$3,shape_factors!Q$2,$C$4,shape_factors!Q$3)</f>
        <v>-2.2936562742453794E-2</v>
      </c>
      <c r="R55" s="5">
        <f>EnergyLJ($A55,$C$2,$C$3,shape_factors!R$2,$C$4,shape_factors!R$3)</f>
        <v>-6.5191857837214581E-2</v>
      </c>
      <c r="S55" s="5">
        <f>EnergyLJ($A55,$C$2,$C$3,shape_factors!S$2,$C$4,shape_factors!S$3)</f>
        <v>-2.7224556128128005E-2</v>
      </c>
      <c r="T55" s="5">
        <f>EnergyLJ($A55,$C$2,$C$3,shape_factors!T$2,$C$4,shape_factors!T$3)</f>
        <v>-1.7524078187119384E-2</v>
      </c>
      <c r="U55" s="5">
        <f>EnergyLJ($A55,$C$2,$C$3,shape_factors!U$2,$C$4,shape_factors!U$3)</f>
        <v>-6.4168708450579981E-2</v>
      </c>
    </row>
    <row r="56" spans="1:21" x14ac:dyDescent="0.25">
      <c r="A56">
        <v>11.8</v>
      </c>
      <c r="B56" s="5">
        <f>EnergyLJ($A56,$C$2,$C$3,shape_factors!B$2,$C$4,shape_factors!B$3)</f>
        <v>-0.27982152294742468</v>
      </c>
      <c r="C56" s="5">
        <f>EnergyLJ($A56,$C$2,$C$3,shape_factors!C$2,$C$4,shape_factors!C$3)</f>
        <v>-6.6417759622976316E-2</v>
      </c>
      <c r="D56" s="5">
        <f>EnergyLJ($A56,$C$2,$C$3,shape_factors!D$2,$C$4,shape_factors!D$3)</f>
        <v>-0.38763519349155268</v>
      </c>
      <c r="E56" s="5">
        <f>EnergyLJ($A56,$C$2,$C$3,shape_factors!E$2,$C$4,shape_factors!E$3)</f>
        <v>-0.12254128144644644</v>
      </c>
      <c r="F56" s="5">
        <f>EnergyLJ($A56,$C$2,$C$3,shape_factors!F$2,$C$4,shape_factors!F$3)</f>
        <v>-5.725966044849469E-2</v>
      </c>
      <c r="G56" s="5">
        <f>EnergyLJ($A56,$C$2,$C$3,shape_factors!G$2,$C$4,shape_factors!G$3)</f>
        <v>-7.7157578265688448E-2</v>
      </c>
      <c r="H56" s="5">
        <f>EnergyLJ($A56,$C$2,$C$3,shape_factors!H$2,$C$4,shape_factors!H$3)</f>
        <v>-1.2851950447056153</v>
      </c>
      <c r="I56" s="5">
        <f>EnergyLJ($A56,$C$2,$C$3,shape_factors!I$2,$C$4,shape_factors!I$3)</f>
        <v>-0.15629738840540869</v>
      </c>
      <c r="J56" s="5">
        <f>EnergyLJ($A56,$C$2,$C$3,shape_factors!J$2,$C$4,shape_factors!J$3)</f>
        <v>-2.9136590846092467E-2</v>
      </c>
      <c r="K56" s="5">
        <f>EnergyLJ($A56,$C$2,$C$3,shape_factors!K$2,$C$4,shape_factors!K$3)</f>
        <v>-3.548836792899495E-2</v>
      </c>
      <c r="L56" s="5">
        <f>EnergyLJ($A56,$C$2,$C$3,shape_factors!L$2,$C$4,shape_factors!L$3)</f>
        <v>-4.9289087969928626E-2</v>
      </c>
      <c r="M56" s="5">
        <f>EnergyLJ($A56,$C$2,$C$3,shape_factors!M$2,$C$4,shape_factors!M$3)</f>
        <v>-3.0480954582588125E-2</v>
      </c>
      <c r="N56" s="5">
        <f>EnergyLJ($A56,$C$2,$C$3,shape_factors!N$2,$C$4,shape_factors!N$3)</f>
        <v>-1.9123066429436036E-2</v>
      </c>
      <c r="O56" s="5">
        <f>EnergyLJ($A56,$C$2,$C$3,shape_factors!O$2,$C$4,shape_factors!O$3)</f>
        <v>-1.7044109557639561E-2</v>
      </c>
      <c r="P56" s="5">
        <f>EnergyLJ($A56,$C$2,$C$3,shape_factors!P$2,$C$4,shape_factors!P$3)</f>
        <v>-1.9788771883724056E-2</v>
      </c>
      <c r="Q56" s="5">
        <f>EnergyLJ($A56,$C$2,$C$3,shape_factors!Q$2,$C$4,shape_factors!Q$3)</f>
        <v>-2.0709641937533711E-2</v>
      </c>
      <c r="R56" s="5">
        <f>EnergyLJ($A56,$C$2,$C$3,shape_factors!R$2,$C$4,shape_factors!R$3)</f>
        <v>-5.8910595005179367E-2</v>
      </c>
      <c r="S56" s="5">
        <f>EnergyLJ($A56,$C$2,$C$3,shape_factors!S$2,$C$4,shape_factors!S$3)</f>
        <v>-2.4583326110186578E-2</v>
      </c>
      <c r="T56" s="5">
        <f>EnergyLJ($A56,$C$2,$C$3,shape_factors!T$2,$C$4,shape_factors!T$3)</f>
        <v>-1.5821027750999361E-2</v>
      </c>
      <c r="U56" s="5">
        <f>EnergyLJ($A56,$C$2,$C$3,shape_factors!U$2,$C$4,shape_factors!U$3)</f>
        <v>-5.7984857711715687E-2</v>
      </c>
    </row>
    <row r="57" spans="1:21" x14ac:dyDescent="0.25">
      <c r="A57">
        <v>12</v>
      </c>
      <c r="B57" s="5">
        <f>EnergyLJ($A57,$C$2,$C$3,shape_factors!B$2,$C$4,shape_factors!B$3)</f>
        <v>-0.25444840942167968</v>
      </c>
      <c r="C57" s="5">
        <f>EnergyLJ($A57,$C$2,$C$3,shape_factors!C$2,$C$4,shape_factors!C$3)</f>
        <v>-6.0122162453827586E-2</v>
      </c>
      <c r="D57" s="5">
        <f>EnergyLJ($A57,$C$2,$C$3,shape_factors!D$2,$C$4,shape_factors!D$3)</f>
        <v>-0.35341939711074749</v>
      </c>
      <c r="E57" s="5">
        <f>EnergyLJ($A57,$C$2,$C$3,shape_factors!E$2,$C$4,shape_factors!E$3)</f>
        <v>-0.11104952064170975</v>
      </c>
      <c r="F57" s="5">
        <f>EnergyLJ($A57,$C$2,$C$3,shape_factors!F$2,$C$4,shape_factors!F$3)</f>
        <v>-5.182295889126716E-2</v>
      </c>
      <c r="G57" s="5">
        <f>EnergyLJ($A57,$C$2,$C$3,shape_factors!G$2,$C$4,shape_factors!G$3)</f>
        <v>-6.9858601576077775E-2</v>
      </c>
      <c r="H57" s="5">
        <f>EnergyLJ($A57,$C$2,$C$3,shape_factors!H$2,$C$4,shape_factors!H$3)</f>
        <v>-1.2518746175403959</v>
      </c>
      <c r="I57" s="5">
        <f>EnergyLJ($A57,$C$2,$C$3,shape_factors!I$2,$C$4,shape_factors!I$3)</f>
        <v>-0.14173851202659177</v>
      </c>
      <c r="J57" s="5">
        <f>EnergyLJ($A57,$C$2,$C$3,shape_factors!J$2,$C$4,shape_factors!J$3)</f>
        <v>-2.6355989057444823E-2</v>
      </c>
      <c r="K57" s="5">
        <f>EnergyLJ($A57,$C$2,$C$3,shape_factors!K$2,$C$4,shape_factors!K$3)</f>
        <v>-3.2105449956693531E-2</v>
      </c>
      <c r="L57" s="5">
        <f>EnergyLJ($A57,$C$2,$C$3,shape_factors!L$2,$C$4,shape_factors!L$3)</f>
        <v>-4.4602346678044268E-2</v>
      </c>
      <c r="M57" s="5">
        <f>EnergyLJ($A57,$C$2,$C$3,shape_factors!M$2,$C$4,shape_factors!M$3)</f>
        <v>-2.7572755108869178E-2</v>
      </c>
      <c r="N57" s="5">
        <f>EnergyLJ($A57,$C$2,$C$3,shape_factors!N$2,$C$4,shape_factors!N$3)</f>
        <v>-1.7294834673328829E-2</v>
      </c>
      <c r="O57" s="5">
        <f>EnergyLJ($A57,$C$2,$C$3,shape_factors!O$2,$C$4,shape_factors!O$3)</f>
        <v>-1.5414034038856862E-2</v>
      </c>
      <c r="P57" s="5">
        <f>EnergyLJ($A57,$C$2,$C$3,shape_factors!P$2,$C$4,shape_factors!P$3)</f>
        <v>-1.7897119403882774E-2</v>
      </c>
      <c r="Q57" s="5">
        <f>EnergyLJ($A57,$C$2,$C$3,shape_factors!Q$2,$C$4,shape_factors!Q$3)</f>
        <v>-1.8730284535250885E-2</v>
      </c>
      <c r="R57" s="5">
        <f>EnergyLJ($A57,$C$2,$C$3,shape_factors!R$2,$C$4,shape_factors!R$3)</f>
        <v>-5.3318837845186429E-2</v>
      </c>
      <c r="S57" s="5">
        <f>EnergyLJ($A57,$C$2,$C$3,shape_factors!S$2,$C$4,shape_factors!S$3)</f>
        <v>-2.2235351397101578E-2</v>
      </c>
      <c r="T57" s="5">
        <f>EnergyLJ($A57,$C$2,$C$3,shape_factors!T$2,$C$4,shape_factors!T$3)</f>
        <v>-1.4307599271660294E-2</v>
      </c>
      <c r="U57" s="5">
        <f>EnergyLJ($A57,$C$2,$C$3,shape_factors!U$2,$C$4,shape_factors!U$3)</f>
        <v>-5.2480033712094774E-2</v>
      </c>
    </row>
    <row r="58" spans="1:21" x14ac:dyDescent="0.25">
      <c r="A58">
        <v>12.2</v>
      </c>
      <c r="B58" s="5">
        <f>EnergyLJ($A58,$C$2,$C$3,shape_factors!B$2,$C$4,shape_factors!B$3)</f>
        <v>-0.23160782042019173</v>
      </c>
      <c r="C58" s="5">
        <f>EnergyLJ($A58,$C$2,$C$3,shape_factors!C$2,$C$4,shape_factors!C$3)</f>
        <v>-5.4506487645784953E-2</v>
      </c>
      <c r="D58" s="5">
        <f>EnergyLJ($A58,$C$2,$C$3,shape_factors!D$2,$C$4,shape_factors!D$3)</f>
        <v>-0.32244252753437863</v>
      </c>
      <c r="E58" s="5">
        <f>EnergyLJ($A58,$C$2,$C$3,shape_factors!E$2,$C$4,shape_factors!E$3)</f>
        <v>-0.10077653543927083</v>
      </c>
      <c r="F58" s="5">
        <f>EnergyLJ($A58,$C$2,$C$3,shape_factors!F$2,$C$4,shape_factors!F$3)</f>
        <v>-4.6975077110553272E-2</v>
      </c>
      <c r="G58" s="5">
        <f>EnergyLJ($A58,$C$2,$C$3,shape_factors!G$2,$C$4,shape_factors!G$3)</f>
        <v>-6.3345271018846128E-2</v>
      </c>
      <c r="H58" s="5">
        <f>EnergyLJ($A58,$C$2,$C$3,shape_factors!H$2,$C$4,shape_factors!H$3)</f>
        <v>-1.2061718846027665</v>
      </c>
      <c r="I58" s="5">
        <f>EnergyLJ($A58,$C$2,$C$3,shape_factors!I$2,$C$4,shape_factors!I$3)</f>
        <v>-0.12870572294892668</v>
      </c>
      <c r="J58" s="5">
        <f>EnergyLJ($A58,$C$2,$C$3,shape_factors!J$2,$C$4,shape_factors!J$3)</f>
        <v>-2.3879087334315364E-2</v>
      </c>
      <c r="K58" s="5">
        <f>EnergyLJ($A58,$C$2,$C$3,shape_factors!K$2,$C$4,shape_factors!K$3)</f>
        <v>-2.9091326205331829E-2</v>
      </c>
      <c r="L58" s="5">
        <f>EnergyLJ($A58,$C$2,$C$3,shape_factors!L$2,$C$4,shape_factors!L$3)</f>
        <v>-4.042443247774144E-2</v>
      </c>
      <c r="M58" s="5">
        <f>EnergyLJ($A58,$C$2,$C$3,shape_factors!M$2,$C$4,shape_factors!M$3)</f>
        <v>-2.4982066602772805E-2</v>
      </c>
      <c r="N58" s="5">
        <f>EnergyLJ($A58,$C$2,$C$3,shape_factors!N$2,$C$4,shape_factors!N$3)</f>
        <v>-1.5666867788648644E-2</v>
      </c>
      <c r="O58" s="5">
        <f>EnergyLJ($A58,$C$2,$C$3,shape_factors!O$2,$C$4,shape_factors!O$3)</f>
        <v>-1.3962624609127363E-2</v>
      </c>
      <c r="P58" s="5">
        <f>EnergyLJ($A58,$C$2,$C$3,shape_factors!P$2,$C$4,shape_factors!P$3)</f>
        <v>-1.6212638983187498E-2</v>
      </c>
      <c r="Q58" s="5">
        <f>EnergyLJ($A58,$C$2,$C$3,shape_factors!Q$2,$C$4,shape_factors!Q$3)</f>
        <v>-1.6967646705879403E-2</v>
      </c>
      <c r="R58" s="5">
        <f>EnergyLJ($A58,$C$2,$C$3,shape_factors!R$2,$C$4,shape_factors!R$3)</f>
        <v>-4.8332387660883387E-2</v>
      </c>
      <c r="S58" s="5">
        <f>EnergyLJ($A58,$C$2,$C$3,shape_factors!S$2,$C$4,shape_factors!S$3)</f>
        <v>-2.0144166663313829E-2</v>
      </c>
      <c r="T58" s="5">
        <f>EnergyLJ($A58,$C$2,$C$3,shape_factors!T$2,$C$4,shape_factors!T$3)</f>
        <v>-1.2960110158536939E-2</v>
      </c>
      <c r="U58" s="5">
        <f>EnergyLJ($A58,$C$2,$C$3,shape_factors!U$2,$C$4,shape_factors!U$3)</f>
        <v>-4.7571275193624966E-2</v>
      </c>
    </row>
    <row r="59" spans="1:21" x14ac:dyDescent="0.25">
      <c r="A59">
        <v>12.4</v>
      </c>
      <c r="B59" s="5">
        <f>EnergyLJ($A59,$C$2,$C$3,shape_factors!B$2,$C$4,shape_factors!B$3)</f>
        <v>-0.21103585392710753</v>
      </c>
      <c r="C59" s="5">
        <f>EnergyLJ($A59,$C$2,$C$3,shape_factors!C$2,$C$4,shape_factors!C$3)</f>
        <v>-4.9489050675501745E-2</v>
      </c>
      <c r="D59" s="5">
        <f>EnergyLJ($A59,$C$2,$C$3,shape_factors!D$2,$C$4,shape_factors!D$3)</f>
        <v>-0.2944040993815068</v>
      </c>
      <c r="E59" s="5">
        <f>EnergyLJ($A59,$C$2,$C$3,shape_factors!E$2,$C$4,shape_factors!E$3)</f>
        <v>-9.1580241479588848E-2</v>
      </c>
      <c r="F59" s="5">
        <f>EnergyLJ($A59,$C$2,$C$3,shape_factors!F$2,$C$4,shape_factors!F$3)</f>
        <v>-4.2644953489418276E-2</v>
      </c>
      <c r="G59" s="5">
        <f>EnergyLJ($A59,$C$2,$C$3,shape_factors!G$2,$C$4,shape_factors!G$3)</f>
        <v>-5.7523713521124863E-2</v>
      </c>
      <c r="H59" s="5">
        <f>EnergyLJ($A59,$C$2,$C$3,shape_factors!H$2,$C$4,shape_factors!H$3)</f>
        <v>-1.1526781419464529</v>
      </c>
      <c r="I59" s="5">
        <f>EnergyLJ($A59,$C$2,$C$3,shape_factors!I$2,$C$4,shape_factors!I$3)</f>
        <v>-0.11702466564538545</v>
      </c>
      <c r="J59" s="5">
        <f>EnergyLJ($A59,$C$2,$C$3,shape_factors!J$2,$C$4,shape_factors!J$3)</f>
        <v>-2.1668740200777407E-2</v>
      </c>
      <c r="K59" s="5">
        <f>EnergyLJ($A59,$C$2,$C$3,shape_factors!K$2,$C$4,shape_factors!K$3)</f>
        <v>-2.6401022329798018E-2</v>
      </c>
      <c r="L59" s="5">
        <f>EnergyLJ($A59,$C$2,$C$3,shape_factors!L$2,$C$4,shape_factors!L$3)</f>
        <v>-3.6693699162897407E-2</v>
      </c>
      <c r="M59" s="5">
        <f>EnergyLJ($A59,$C$2,$C$3,shape_factors!M$2,$C$4,shape_factors!M$3)</f>
        <v>-2.2670078470802681E-2</v>
      </c>
      <c r="N59" s="5">
        <f>EnergyLJ($A59,$C$2,$C$3,shape_factors!N$2,$C$4,shape_factors!N$3)</f>
        <v>-1.4214559355654516E-2</v>
      </c>
      <c r="O59" s="5">
        <f>EnergyLJ($A59,$C$2,$C$3,shape_factors!O$2,$C$4,shape_factors!O$3)</f>
        <v>-1.2667908133203867E-2</v>
      </c>
      <c r="P59" s="5">
        <f>EnergyLJ($A59,$C$2,$C$3,shape_factors!P$2,$C$4,shape_factors!P$3)</f>
        <v>-1.470988316613967E-2</v>
      </c>
      <c r="Q59" s="5">
        <f>EnergyLJ($A59,$C$2,$C$3,shape_factors!Q$2,$C$4,shape_factors!Q$3)</f>
        <v>-1.5395119328542485E-2</v>
      </c>
      <c r="R59" s="5">
        <f>EnergyLJ($A59,$C$2,$C$3,shape_factors!R$2,$C$4,shape_factors!R$3)</f>
        <v>-4.3878252349402125E-2</v>
      </c>
      <c r="S59" s="5">
        <f>EnergyLJ($A59,$C$2,$C$3,shape_factors!S$2,$C$4,shape_factors!S$3)</f>
        <v>-1.8278298340116607E-2</v>
      </c>
      <c r="T59" s="5">
        <f>EnergyLJ($A59,$C$2,$C$3,shape_factors!T$2,$C$4,shape_factors!T$3)</f>
        <v>-1.1758141270285563E-2</v>
      </c>
      <c r="U59" s="5">
        <f>EnergyLJ($A59,$C$2,$C$3,shape_factors!U$2,$C$4,shape_factors!U$3)</f>
        <v>-4.3186671708859557E-2</v>
      </c>
    </row>
    <row r="60" spans="1:21" x14ac:dyDescent="0.25">
      <c r="A60">
        <v>12.6</v>
      </c>
      <c r="B60" s="5">
        <f>EnergyLJ($A60,$C$2,$C$3,shape_factors!B$2,$C$4,shape_factors!B$3)</f>
        <v>-0.19249474530820693</v>
      </c>
      <c r="C60" s="5">
        <f>EnergyLJ($A60,$C$2,$C$3,shape_factors!C$2,$C$4,shape_factors!C$3)</f>
        <v>-4.4998860582129652E-2</v>
      </c>
      <c r="D60" s="5">
        <f>EnergyLJ($A60,$C$2,$C$3,shape_factors!D$2,$C$4,shape_factors!D$3)</f>
        <v>-0.2690244897105048</v>
      </c>
      <c r="E60" s="5">
        <f>EnergyLJ($A60,$C$2,$C$3,shape_factors!E$2,$C$4,shape_factors!E$3)</f>
        <v>-8.3336251081065377E-2</v>
      </c>
      <c r="F60" s="5">
        <f>EnergyLJ($A60,$C$2,$C$3,shape_factors!F$2,$C$4,shape_factors!F$3)</f>
        <v>-3.8770896411588464E-2</v>
      </c>
      <c r="G60" s="5">
        <f>EnergyLJ($A60,$C$2,$C$3,shape_factors!G$2,$C$4,shape_factors!G$3)</f>
        <v>-5.2312238301789583E-2</v>
      </c>
      <c r="H60" s="5">
        <f>EnergyLJ($A60,$C$2,$C$3,shape_factors!H$2,$C$4,shape_factors!H$3)</f>
        <v>-1.094736675568756</v>
      </c>
      <c r="I60" s="5">
        <f>EnergyLJ($A60,$C$2,$C$3,shape_factors!I$2,$C$4,shape_factors!I$3)</f>
        <v>-0.10654193699744474</v>
      </c>
      <c r="J60" s="5">
        <f>EnergyLJ($A60,$C$2,$C$3,shape_factors!J$2,$C$4,shape_factors!J$3)</f>
        <v>-1.969280248481654E-2</v>
      </c>
      <c r="K60" s="5">
        <f>EnergyLJ($A60,$C$2,$C$3,shape_factors!K$2,$C$4,shape_factors!K$3)</f>
        <v>-2.3995590979115775E-2</v>
      </c>
      <c r="L60" s="5">
        <f>EnergyLJ($A60,$C$2,$C$3,shape_factors!L$2,$C$4,shape_factors!L$3)</f>
        <v>-3.3356678523594634E-2</v>
      </c>
      <c r="M60" s="5">
        <f>EnergyLJ($A60,$C$2,$C$3,shape_factors!M$2,$C$4,shape_factors!M$3)</f>
        <v>-2.0603199639325411E-2</v>
      </c>
      <c r="N60" s="5">
        <f>EnergyLJ($A60,$C$2,$C$3,shape_factors!N$2,$C$4,shape_factors!N$3)</f>
        <v>-1.2916638271715696E-2</v>
      </c>
      <c r="O60" s="5">
        <f>EnergyLJ($A60,$C$2,$C$3,shape_factors!O$2,$C$4,shape_factors!O$3)</f>
        <v>-1.1510894047292329E-2</v>
      </c>
      <c r="P60" s="5">
        <f>EnergyLJ($A60,$C$2,$C$3,shape_factors!P$2,$C$4,shape_factors!P$3)</f>
        <v>-1.3366852255556536E-2</v>
      </c>
      <c r="Q60" s="5">
        <f>EnergyLJ($A60,$C$2,$C$3,shape_factors!Q$2,$C$4,shape_factors!Q$3)</f>
        <v>-1.3989696170604148E-2</v>
      </c>
      <c r="R60" s="5">
        <f>EnergyLJ($A60,$C$2,$C$3,shape_factors!R$2,$C$4,shape_factors!R$3)</f>
        <v>-3.9893052059123475E-2</v>
      </c>
      <c r="S60" s="5">
        <f>EnergyLJ($A60,$C$2,$C$3,shape_factors!S$2,$C$4,shape_factors!S$3)</f>
        <v>-1.6610523086196535E-2</v>
      </c>
      <c r="T60" s="5">
        <f>EnergyLJ($A60,$C$2,$C$3,shape_factors!T$2,$C$4,shape_factors!T$3)</f>
        <v>-1.0684047381583676E-2</v>
      </c>
      <c r="U60" s="5">
        <f>EnergyLJ($A60,$C$2,$C$3,shape_factors!U$2,$C$4,shape_factors!U$3)</f>
        <v>-3.9263789420264379E-2</v>
      </c>
    </row>
    <row r="61" spans="1:21" x14ac:dyDescent="0.25">
      <c r="A61">
        <v>12.8</v>
      </c>
      <c r="B61" s="5">
        <f>EnergyLJ($A61,$C$2,$C$3,shape_factors!B$2,$C$4,shape_factors!B$3)</f>
        <v>-0.17577109383596162</v>
      </c>
      <c r="C61" s="5">
        <f>EnergyLJ($A61,$C$2,$C$3,shape_factors!C$2,$C$4,shape_factors!C$3)</f>
        <v>-4.0974124385032895E-2</v>
      </c>
      <c r="D61" s="5">
        <f>EnergyLJ($A61,$C$2,$C$3,shape_factors!D$2,$C$4,shape_factors!D$3)</f>
        <v>-0.24604615430693397</v>
      </c>
      <c r="E61" s="5">
        <f>EnergyLJ($A61,$C$2,$C$3,shape_factors!E$2,$C$4,shape_factors!E$3)</f>
        <v>-7.5935600500269512E-2</v>
      </c>
      <c r="F61" s="5">
        <f>EnergyLJ($A61,$C$2,$C$3,shape_factors!F$2,$C$4,shape_factors!F$3)</f>
        <v>-3.5299258772252873E-2</v>
      </c>
      <c r="G61" s="5">
        <f>EnergyLJ($A61,$C$2,$C$3,shape_factors!G$2,$C$4,shape_factors!G$3)</f>
        <v>-4.7639657000957264E-2</v>
      </c>
      <c r="H61" s="5">
        <f>EnergyLJ($A61,$C$2,$C$3,shape_factors!H$2,$C$4,shape_factors!H$3)</f>
        <v>-1.034762071096194</v>
      </c>
      <c r="I61" s="5">
        <f>EnergyLJ($A61,$C$2,$C$3,shape_factors!I$2,$C$4,shape_factors!I$3)</f>
        <v>-9.7122575040067979E-2</v>
      </c>
      <c r="J61" s="5">
        <f>EnergyLJ($A61,$C$2,$C$3,shape_factors!J$2,$C$4,shape_factors!J$3)</f>
        <v>-1.7923399221600626E-2</v>
      </c>
      <c r="K61" s="5">
        <f>EnergyLJ($A61,$C$2,$C$3,shape_factors!K$2,$C$4,shape_factors!K$3)</f>
        <v>-2.1841237708181076E-2</v>
      </c>
      <c r="L61" s="5">
        <f>EnergyLJ($A61,$C$2,$C$3,shape_factors!L$2,$C$4,shape_factors!L$3)</f>
        <v>-3.036691248477609E-2</v>
      </c>
      <c r="M61" s="5">
        <f>EnergyLJ($A61,$C$2,$C$3,shape_factors!M$2,$C$4,shape_factors!M$3)</f>
        <v>-1.8752297523354007E-2</v>
      </c>
      <c r="N61" s="5">
        <f>EnergyLJ($A61,$C$2,$C$3,shape_factors!N$2,$C$4,shape_factors!N$3)</f>
        <v>-1.1754676766586314E-2</v>
      </c>
      <c r="O61" s="5">
        <f>EnergyLJ($A61,$C$2,$C$3,shape_factors!O$2,$C$4,shape_factors!O$3)</f>
        <v>-1.0475133502087912E-2</v>
      </c>
      <c r="P61" s="5">
        <f>EnergyLJ($A61,$C$2,$C$3,shape_factors!P$2,$C$4,shape_factors!P$3)</f>
        <v>-1.2164486078695157E-2</v>
      </c>
      <c r="Q61" s="5">
        <f>EnergyLJ($A61,$C$2,$C$3,shape_factors!Q$2,$C$4,shape_factors!Q$3)</f>
        <v>-1.2731443274473828E-2</v>
      </c>
      <c r="R61" s="5">
        <f>EnergyLJ($A61,$C$2,$C$3,shape_factors!R$2,$C$4,shape_factors!R$3)</f>
        <v>-3.6321662163704811E-2</v>
      </c>
      <c r="S61" s="5">
        <f>EnergyLJ($A61,$C$2,$C$3,shape_factors!S$2,$C$4,shape_factors!S$3)</f>
        <v>-1.5117244284762181E-2</v>
      </c>
      <c r="T61" s="5">
        <f>EnergyLJ($A61,$C$2,$C$3,shape_factors!T$2,$C$4,shape_factors!T$3)</f>
        <v>-9.7225466758338337E-3</v>
      </c>
      <c r="U61" s="5">
        <f>EnergyLJ($A61,$C$2,$C$3,shape_factors!U$2,$C$4,shape_factors!U$3)</f>
        <v>-3.5748331710845543E-2</v>
      </c>
    </row>
    <row r="62" spans="1:21" x14ac:dyDescent="0.25">
      <c r="A62">
        <v>13</v>
      </c>
      <c r="B62" s="5">
        <f>EnergyLJ($A62,$C$2,$C$3,shape_factors!B$2,$C$4,shape_factors!B$3)</f>
        <v>-0.16067389481051547</v>
      </c>
      <c r="C62" s="5">
        <f>EnergyLJ($A62,$C$2,$C$3,shape_factors!C$2,$C$4,shape_factors!C$3)</f>
        <v>-3.7360970098497592E-2</v>
      </c>
      <c r="D62" s="5">
        <f>EnergyLJ($A62,$C$2,$C$3,shape_factors!D$2,$C$4,shape_factors!D$3)</f>
        <v>-0.22523366978920129</v>
      </c>
      <c r="E62" s="5">
        <f>EnergyLJ($A62,$C$2,$C$3,shape_factors!E$2,$C$4,shape_factors!E$3)</f>
        <v>-6.9282760624362436E-2</v>
      </c>
      <c r="F62" s="5">
        <f>EnergyLJ($A62,$C$2,$C$3,shape_factors!F$2,$C$4,shape_factors!F$3)</f>
        <v>-3.2183309844406538E-2</v>
      </c>
      <c r="G62" s="5">
        <f>EnergyLJ($A62,$C$2,$C$3,shape_factors!G$2,$C$4,shape_factors!G$3)</f>
        <v>-4.3443843576433147E-2</v>
      </c>
      <c r="H62" s="5">
        <f>EnergyLJ($A62,$C$2,$C$3,shape_factors!H$2,$C$4,shape_factors!H$3)</f>
        <v>-0.97447796079214122</v>
      </c>
      <c r="I62" s="5">
        <f>EnergyLJ($A62,$C$2,$C$3,shape_factors!I$2,$C$4,shape_factors!I$3)</f>
        <v>-8.8647813740745193E-2</v>
      </c>
      <c r="J62" s="5">
        <f>EnergyLJ($A62,$C$2,$C$3,shape_factors!J$2,$C$4,shape_factors!J$3)</f>
        <v>-1.6336309683667491E-2</v>
      </c>
      <c r="K62" s="5">
        <f>EnergyLJ($A62,$C$2,$C$3,shape_factors!K$2,$C$4,shape_factors!K$3)</f>
        <v>-1.9908582159007482E-2</v>
      </c>
      <c r="L62" s="5">
        <f>EnergyLJ($A62,$C$2,$C$3,shape_factors!L$2,$C$4,shape_factors!L$3)</f>
        <v>-2.7683961750662348E-2</v>
      </c>
      <c r="M62" s="5">
        <f>EnergyLJ($A62,$C$2,$C$3,shape_factors!M$2,$C$4,shape_factors!M$3)</f>
        <v>-1.7092055710052737E-2</v>
      </c>
      <c r="N62" s="5">
        <f>EnergyLJ($A62,$C$2,$C$3,shape_factors!N$2,$C$4,shape_factors!N$3)</f>
        <v>-1.0712676476354982E-2</v>
      </c>
      <c r="O62" s="5">
        <f>EnergyLJ($A62,$C$2,$C$3,shape_factors!O$2,$C$4,shape_factors!O$3)</f>
        <v>-9.5463486593112597E-3</v>
      </c>
      <c r="P62" s="5">
        <f>EnergyLJ($A62,$C$2,$C$3,shape_factors!P$2,$C$4,shape_factors!P$3)</f>
        <v>-1.1086236313190573E-2</v>
      </c>
      <c r="Q62" s="5">
        <f>EnergyLJ($A62,$C$2,$C$3,shape_factors!Q$2,$C$4,shape_factors!Q$3)</f>
        <v>-1.160305233987668E-2</v>
      </c>
      <c r="R62" s="5">
        <f>EnergyLJ($A62,$C$2,$C$3,shape_factors!R$2,$C$4,shape_factors!R$3)</f>
        <v>-3.3116057636173056E-2</v>
      </c>
      <c r="S62" s="5">
        <f>EnergyLJ($A62,$C$2,$C$3,shape_factors!S$2,$C$4,shape_factors!S$3)</f>
        <v>-1.3777966680427984E-2</v>
      </c>
      <c r="T62" s="5">
        <f>EnergyLJ($A62,$C$2,$C$3,shape_factors!T$2,$C$4,shape_factors!T$3)</f>
        <v>-8.8603756740115707E-3</v>
      </c>
      <c r="U62" s="5">
        <f>EnergyLJ($A62,$C$2,$C$3,shape_factors!U$2,$C$4,shape_factors!U$3)</f>
        <v>-3.2592998938559006E-2</v>
      </c>
    </row>
    <row r="63" spans="1:21" x14ac:dyDescent="0.25">
      <c r="A63">
        <v>13.2</v>
      </c>
      <c r="B63" s="5">
        <f>EnergyLJ($A63,$C$2,$C$3,shape_factors!B$2,$C$4,shape_factors!B$3)</f>
        <v>-0.14703252486417742</v>
      </c>
      <c r="C63" s="5">
        <f>EnergyLJ($A63,$C$2,$C$3,shape_factors!C$2,$C$4,shape_factors!C$3)</f>
        <v>-3.4112355936808898E-2</v>
      </c>
      <c r="D63" s="5">
        <f>EnergyLJ($A63,$C$2,$C$3,shape_factors!D$2,$C$4,shape_factors!D$3)</f>
        <v>-0.20637303648441904</v>
      </c>
      <c r="E63" s="5">
        <f>EnergyLJ($A63,$C$2,$C$3,shape_factors!E$2,$C$4,shape_factors!E$3)</f>
        <v>-6.3293901842683339E-2</v>
      </c>
      <c r="F63" s="5">
        <f>EnergyLJ($A63,$C$2,$C$3,shape_factors!F$2,$C$4,shape_factors!F$3)</f>
        <v>-2.938227429540826E-2</v>
      </c>
      <c r="G63" s="5">
        <f>EnergyLJ($A63,$C$2,$C$3,shape_factors!G$2,$C$4,shape_factors!G$3)</f>
        <v>-3.9670499931724605E-2</v>
      </c>
      <c r="H63" s="5">
        <f>EnergyLJ($A63,$C$2,$C$3,shape_factors!H$2,$C$4,shape_factors!H$3)</f>
        <v>-0.91509443487329445</v>
      </c>
      <c r="I63" s="5">
        <f>EnergyLJ($A63,$C$2,$C$3,shape_factors!I$2,$C$4,shape_factors!I$3)</f>
        <v>-8.1013090821633285E-2</v>
      </c>
      <c r="J63" s="5">
        <f>EnergyLJ($A63,$C$2,$C$3,shape_factors!J$2,$C$4,shape_factors!J$3)</f>
        <v>-1.4910446677584295E-2</v>
      </c>
      <c r="K63" s="5">
        <f>EnergyLJ($A63,$C$2,$C$3,shape_factors!K$2,$C$4,shape_factors!K$3)</f>
        <v>-1.8172032491407471E-2</v>
      </c>
      <c r="L63" s="5">
        <f>EnergyLJ($A63,$C$2,$C$3,shape_factors!L$2,$C$4,shape_factors!L$3)</f>
        <v>-2.5272563267315737E-2</v>
      </c>
      <c r="M63" s="5">
        <f>EnergyLJ($A63,$C$2,$C$3,shape_factors!M$2,$C$4,shape_factors!M$3)</f>
        <v>-1.5600430799007912E-2</v>
      </c>
      <c r="N63" s="5">
        <f>EnergyLJ($A63,$C$2,$C$3,shape_factors!N$2,$C$4,shape_factors!N$3)</f>
        <v>-9.7767193939792135E-3</v>
      </c>
      <c r="O63" s="5">
        <f>EnergyLJ($A63,$C$2,$C$3,shape_factors!O$2,$C$4,shape_factors!O$3)</f>
        <v>-8.7121202447556154E-3</v>
      </c>
      <c r="P63" s="5">
        <f>EnergyLJ($A63,$C$2,$C$3,shape_factors!P$2,$C$4,shape_factors!P$3)</f>
        <v>-1.0117705786903498E-2</v>
      </c>
      <c r="Q63" s="5">
        <f>EnergyLJ($A63,$C$2,$C$3,shape_factors!Q$2,$C$4,shape_factors!Q$3)</f>
        <v>-1.0589463963246492E-2</v>
      </c>
      <c r="R63" s="5">
        <f>EnergyLJ($A63,$C$2,$C$3,shape_factors!R$2,$C$4,shape_factors!R$3)</f>
        <v>-3.0234328166078479E-2</v>
      </c>
      <c r="S63" s="5">
        <f>EnergyLJ($A63,$C$2,$C$3,shape_factors!S$2,$C$4,shape_factors!S$3)</f>
        <v>-1.2574852772094081E-2</v>
      </c>
      <c r="T63" s="5">
        <f>EnergyLJ($A63,$C$2,$C$3,shape_factors!T$2,$C$4,shape_factors!T$3)</f>
        <v>-8.0859984756836093E-3</v>
      </c>
      <c r="U63" s="5">
        <f>EnergyLJ($A63,$C$2,$C$3,shape_factors!U$2,$C$4,shape_factors!U$3)</f>
        <v>-2.9756516927807657E-2</v>
      </c>
    </row>
    <row r="64" spans="1:21" x14ac:dyDescent="0.25">
      <c r="A64">
        <v>13.4</v>
      </c>
      <c r="B64" s="5">
        <f>EnergyLJ($A64,$C$2,$C$3,shape_factors!B$2,$C$4,shape_factors!B$3)</f>
        <v>-0.13469477258395615</v>
      </c>
      <c r="C64" s="5">
        <f>EnergyLJ($A64,$C$2,$C$3,shape_factors!C$2,$C$4,shape_factors!C$3)</f>
        <v>-3.1187137923067178E-2</v>
      </c>
      <c r="D64" s="5">
        <f>EnergyLJ($A64,$C$2,$C$3,shape_factors!D$2,$C$4,shape_factors!D$3)</f>
        <v>-0.18927053942897543</v>
      </c>
      <c r="E64" s="5">
        <f>EnergyLJ($A64,$C$2,$C$3,shape_factors!E$2,$C$4,shape_factors!E$3)</f>
        <v>-5.7895384316174074E-2</v>
      </c>
      <c r="F64" s="5">
        <f>EnergyLJ($A64,$C$2,$C$3,shape_factors!F$2,$C$4,shape_factors!F$3)</f>
        <v>-2.6860512729195676E-2</v>
      </c>
      <c r="G64" s="5">
        <f>EnergyLJ($A64,$C$2,$C$3,shape_factors!G$2,$C$4,shape_factors!G$3)</f>
        <v>-3.6272097655022005E-2</v>
      </c>
      <c r="H64" s="5">
        <f>EnergyLJ($A64,$C$2,$C$3,shape_factors!H$2,$C$4,shape_factors!H$3)</f>
        <v>-0.8574406709628295</v>
      </c>
      <c r="I64" s="5">
        <f>EnergyLJ($A64,$C$2,$C$3,shape_factors!I$2,$C$4,shape_factors!I$3)</f>
        <v>-7.4126289822623564E-2</v>
      </c>
      <c r="J64" s="5">
        <f>EnergyLJ($A64,$C$2,$C$3,shape_factors!J$2,$C$4,shape_factors!J$3)</f>
        <v>-1.3627415497934893E-2</v>
      </c>
      <c r="K64" s="5">
        <f>EnergyLJ($A64,$C$2,$C$3,shape_factors!K$2,$C$4,shape_factors!K$3)</f>
        <v>-1.6609254752109937E-2</v>
      </c>
      <c r="L64" s="5">
        <f>EnergyLJ($A64,$C$2,$C$3,shape_factors!L$2,$C$4,shape_factors!L$3)</f>
        <v>-2.3101913203664354E-2</v>
      </c>
      <c r="M64" s="5">
        <f>EnergyLJ($A64,$C$2,$C$3,shape_factors!M$2,$C$4,shape_factors!M$3)</f>
        <v>-1.4258192197085167E-2</v>
      </c>
      <c r="N64" s="5">
        <f>EnergyLJ($A64,$C$2,$C$3,shape_factors!N$2,$C$4,shape_factors!N$3)</f>
        <v>-8.93467286009734E-3</v>
      </c>
      <c r="O64" s="5">
        <f>EnergyLJ($A64,$C$2,$C$3,shape_factors!O$2,$C$4,shape_factors!O$3)</f>
        <v>-7.9616235906393076E-3</v>
      </c>
      <c r="P64" s="5">
        <f>EnergyLJ($A64,$C$2,$C$3,shape_factors!P$2,$C$4,shape_factors!P$3)</f>
        <v>-9.2463435786940256E-3</v>
      </c>
      <c r="Q64" s="5">
        <f>EnergyLJ($A64,$C$2,$C$3,shape_factors!Q$2,$C$4,shape_factors!Q$3)</f>
        <v>-9.6775491000673404E-3</v>
      </c>
      <c r="R64" s="5">
        <f>EnergyLJ($A64,$C$2,$C$3,shape_factors!R$2,$C$4,shape_factors!R$3)</f>
        <v>-2.7639837965009136E-2</v>
      </c>
      <c r="S64" s="5">
        <f>EnergyLJ($A64,$C$2,$C$3,shape_factors!S$2,$C$4,shape_factors!S$3)</f>
        <v>-1.1492347445388004E-2</v>
      </c>
      <c r="T64" s="5">
        <f>EnergyLJ($A64,$C$2,$C$3,shape_factors!T$2,$C$4,shape_factors!T$3)</f>
        <v>-7.3893611864548582E-3</v>
      </c>
      <c r="U64" s="5">
        <f>EnergyLJ($A64,$C$2,$C$3,shape_factors!U$2,$C$4,shape_factors!U$3)</f>
        <v>-2.7202808382342299E-2</v>
      </c>
    </row>
    <row r="65" spans="1:21" x14ac:dyDescent="0.25">
      <c r="A65">
        <v>13.6</v>
      </c>
      <c r="B65" s="5">
        <f>EnergyLJ($A65,$C$2,$C$3,shape_factors!B$2,$C$4,shape_factors!B$3)</f>
        <v>-0.12352496925790617</v>
      </c>
      <c r="C65" s="5">
        <f>EnergyLJ($A65,$C$2,$C$3,shape_factors!C$2,$C$4,shape_factors!C$3)</f>
        <v>-2.8549272185408252E-2</v>
      </c>
      <c r="D65" s="5">
        <f>EnergyLJ($A65,$C$2,$C$3,shape_factors!D$2,$C$4,shape_factors!D$3)</f>
        <v>-0.17375136894068444</v>
      </c>
      <c r="E65" s="5">
        <f>EnergyLJ($A65,$C$2,$C$3,shape_factors!E$2,$C$4,shape_factors!E$3)</f>
        <v>-5.3022446517763194E-2</v>
      </c>
      <c r="F65" s="5">
        <f>EnergyLJ($A65,$C$2,$C$3,shape_factors!F$2,$C$4,shape_factors!F$3)</f>
        <v>-2.4586822073357061E-2</v>
      </c>
      <c r="G65" s="5">
        <f>EnergyLJ($A65,$C$2,$C$3,shape_factors!G$2,$C$4,shape_factors!G$3)</f>
        <v>-3.3206970284551773E-2</v>
      </c>
      <c r="H65" s="5">
        <f>EnergyLJ($A65,$C$2,$C$3,shape_factors!H$2,$C$4,shape_factors!H$3)</f>
        <v>-0.80206422395174604</v>
      </c>
      <c r="I65" s="5">
        <f>EnergyLJ($A65,$C$2,$C$3,shape_factors!I$2,$C$4,shape_factors!I$3)</f>
        <v>-6.790619505014929E-2</v>
      </c>
      <c r="J65" s="5">
        <f>EnergyLJ($A65,$C$2,$C$3,shape_factors!J$2,$C$4,shape_factors!J$3)</f>
        <v>-1.247113960553662E-2</v>
      </c>
      <c r="K65" s="5">
        <f>EnergyLJ($A65,$C$2,$C$3,shape_factors!K$2,$C$4,shape_factors!K$3)</f>
        <v>-1.5200721948209357E-2</v>
      </c>
      <c r="L65" s="5">
        <f>EnergyLJ($A65,$C$2,$C$3,shape_factors!L$2,$C$4,shape_factors!L$3)</f>
        <v>-2.1145055869527647E-2</v>
      </c>
      <c r="M65" s="5">
        <f>EnergyLJ($A65,$C$2,$C$3,shape_factors!M$2,$C$4,shape_factors!M$3)</f>
        <v>-1.304853143209595E-2</v>
      </c>
      <c r="N65" s="5">
        <f>EnergyLJ($A65,$C$2,$C$3,shape_factors!N$2,$C$4,shape_factors!N$3)</f>
        <v>-8.1759396682319491E-3</v>
      </c>
      <c r="O65" s="5">
        <f>EnergyLJ($A65,$C$2,$C$3,shape_factors!O$2,$C$4,shape_factors!O$3)</f>
        <v>-7.2854051311627794E-3</v>
      </c>
      <c r="P65" s="5">
        <f>EnergyLJ($A65,$C$2,$C$3,shape_factors!P$2,$C$4,shape_factors!P$3)</f>
        <v>-8.4611867135035261E-3</v>
      </c>
      <c r="Q65" s="5">
        <f>EnergyLJ($A65,$C$2,$C$3,shape_factors!Q$2,$C$4,shape_factors!Q$3)</f>
        <v>-8.8558391585634114E-3</v>
      </c>
      <c r="R65" s="5">
        <f>EnergyLJ($A65,$C$2,$C$3,shape_factors!R$2,$C$4,shape_factors!R$3)</f>
        <v>-2.530050818284944E-2</v>
      </c>
      <c r="S65" s="5">
        <f>EnergyLJ($A65,$C$2,$C$3,shape_factors!S$2,$C$4,shape_factors!S$3)</f>
        <v>-1.0516859676337005E-2</v>
      </c>
      <c r="T65" s="5">
        <f>EnergyLJ($A65,$C$2,$C$3,shape_factors!T$2,$C$4,shape_factors!T$3)</f>
        <v>-6.7616840284596899E-3</v>
      </c>
      <c r="U65" s="5">
        <f>EnergyLJ($A65,$C$2,$C$3,shape_factors!U$2,$C$4,shape_factors!U$3)</f>
        <v>-2.4900285362846105E-2</v>
      </c>
    </row>
    <row r="66" spans="1:21" x14ac:dyDescent="0.25">
      <c r="A66">
        <v>13.8</v>
      </c>
      <c r="B66" s="5">
        <f>EnergyLJ($A66,$C$2,$C$3,shape_factors!B$2,$C$4,shape_factors!B$3)</f>
        <v>-0.11340224965765611</v>
      </c>
      <c r="C66" s="5">
        <f>EnergyLJ($A66,$C$2,$C$3,shape_factors!C$2,$C$4,shape_factors!C$3)</f>
        <v>-2.6167131762756549E-2</v>
      </c>
      <c r="D66" s="5">
        <f>EnergyLJ($A66,$C$2,$C$3,shape_factors!D$2,$C$4,shape_factors!D$3)</f>
        <v>-0.15965813543476218</v>
      </c>
      <c r="E66" s="5">
        <f>EnergyLJ($A66,$C$2,$C$3,shape_factors!E$2,$C$4,shape_factors!E$3)</f>
        <v>-4.8618067167444191E-2</v>
      </c>
      <c r="F66" s="5">
        <f>EnergyLJ($A66,$C$2,$C$3,shape_factors!F$2,$C$4,shape_factors!F$3)</f>
        <v>-2.2533837498411678E-2</v>
      </c>
      <c r="G66" s="5">
        <f>EnergyLJ($A66,$C$2,$C$3,shape_factors!G$2,$C$4,shape_factors!G$3)</f>
        <v>-3.0438534120432223E-2</v>
      </c>
      <c r="H66" s="5">
        <f>EnergyLJ($A66,$C$2,$C$3,shape_factors!H$2,$C$4,shape_factors!H$3)</f>
        <v>-0.74930542555256641</v>
      </c>
      <c r="I66" s="5">
        <f>EnergyLJ($A66,$C$2,$C$3,shape_factors!I$2,$C$4,shape_factors!I$3)</f>
        <v>-6.2281137520181877E-2</v>
      </c>
      <c r="J66" s="5">
        <f>EnergyLJ($A66,$C$2,$C$3,shape_factors!J$2,$C$4,shape_factors!J$3)</f>
        <v>-1.1427542299638865E-2</v>
      </c>
      <c r="K66" s="5">
        <f>EnergyLJ($A66,$C$2,$C$3,shape_factors!K$2,$C$4,shape_factors!K$3)</f>
        <v>-1.3929330140558461E-2</v>
      </c>
      <c r="L66" s="5">
        <f>EnergyLJ($A66,$C$2,$C$3,shape_factors!L$2,$C$4,shape_factors!L$3)</f>
        <v>-1.9378362124798602E-2</v>
      </c>
      <c r="M66" s="5">
        <f>EnergyLJ($A66,$C$2,$C$3,shape_factors!M$2,$C$4,shape_factors!M$3)</f>
        <v>-1.1956729829791693E-2</v>
      </c>
      <c r="N66" s="5">
        <f>EnergyLJ($A66,$C$2,$C$3,shape_factors!N$2,$C$4,shape_factors!N$3)</f>
        <v>-7.4912459168453814E-3</v>
      </c>
      <c r="O66" s="5">
        <f>EnergyLJ($A66,$C$2,$C$3,shape_factors!O$2,$C$4,shape_factors!O$3)</f>
        <v>-6.6751927248318845E-3</v>
      </c>
      <c r="P66" s="5">
        <f>EnergyLJ($A66,$C$2,$C$3,shape_factors!P$2,$C$4,shape_factors!P$3)</f>
        <v>-7.7526408500067315E-3</v>
      </c>
      <c r="Q66" s="5">
        <f>EnergyLJ($A66,$C$2,$C$3,shape_factors!Q$2,$C$4,shape_factors!Q$3)</f>
        <v>-8.1142968015228741E-3</v>
      </c>
      <c r="R66" s="5">
        <f>EnergyLJ($A66,$C$2,$C$3,shape_factors!R$2,$C$4,shape_factors!R$3)</f>
        <v>-2.3188203263704712E-2</v>
      </c>
      <c r="S66" s="5">
        <f>EnergyLJ($A66,$C$2,$C$3,shape_factors!S$2,$C$4,shape_factors!S$3)</f>
        <v>-9.6364920624816327E-3</v>
      </c>
      <c r="T66" s="5">
        <f>EnergyLJ($A66,$C$2,$C$3,shape_factors!T$2,$C$4,shape_factors!T$3)</f>
        <v>-6.1952849503244907E-3</v>
      </c>
      <c r="U66" s="5">
        <f>EnergyLJ($A66,$C$2,$C$3,shape_factors!U$2,$C$4,shape_factors!U$3)</f>
        <v>-2.282124435791117E-2</v>
      </c>
    </row>
    <row r="67" spans="1:21" x14ac:dyDescent="0.25">
      <c r="A67">
        <v>14</v>
      </c>
      <c r="B67" s="5">
        <f>EnergyLJ($A67,$C$2,$C$3,shape_factors!B$2,$C$4,shape_factors!B$3)</f>
        <v>-0.10421895639652524</v>
      </c>
      <c r="C67" s="5">
        <f>EnergyLJ($A67,$C$2,$C$3,shape_factors!C$2,$C$4,shape_factors!C$3)</f>
        <v>-2.4012920789560646E-2</v>
      </c>
      <c r="D67" s="5">
        <f>EnergyLJ($A67,$C$2,$C$3,shape_factors!D$2,$C$4,shape_factors!D$3)</f>
        <v>-0.14684936677573893</v>
      </c>
      <c r="E67" s="5">
        <f>EnergyLJ($A67,$C$2,$C$3,shape_factors!E$2,$C$4,shape_factors!E$3)</f>
        <v>-4.4631978168420121E-2</v>
      </c>
      <c r="F67" s="5">
        <f>EnergyLJ($A67,$C$2,$C$3,shape_factors!F$2,$C$4,shape_factors!F$3)</f>
        <v>-2.0677520416881298E-2</v>
      </c>
      <c r="G67" s="5">
        <f>EnergyLJ($A67,$C$2,$C$3,shape_factors!G$2,$C$4,shape_factors!G$3)</f>
        <v>-2.7934618771930719E-2</v>
      </c>
      <c r="H67" s="5">
        <f>EnergyLJ($A67,$C$2,$C$3,shape_factors!H$2,$C$4,shape_factors!H$3)</f>
        <v>-0.69935315488182848</v>
      </c>
      <c r="I67" s="5">
        <f>EnergyLJ($A67,$C$2,$C$3,shape_factors!I$2,$C$4,shape_factors!I$3)</f>
        <v>-5.7187810669906011E-2</v>
      </c>
      <c r="J67" s="5">
        <f>EnergyLJ($A67,$C$2,$C$3,shape_factors!J$2,$C$4,shape_factors!J$3)</f>
        <v>-1.0484275468154646E-2</v>
      </c>
      <c r="K67" s="5">
        <f>EnergyLJ($A67,$C$2,$C$3,shape_factors!K$2,$C$4,shape_factors!K$3)</f>
        <v>-1.2780070984658373E-2</v>
      </c>
      <c r="L67" s="5">
        <f>EnergyLJ($A67,$C$2,$C$3,shape_factors!L$2,$C$4,shape_factors!L$3)</f>
        <v>-1.7781083469458833E-2</v>
      </c>
      <c r="M67" s="5">
        <f>EnergyLJ($A67,$C$2,$C$3,shape_factors!M$2,$C$4,shape_factors!M$3)</f>
        <v>-1.0969875278957507E-2</v>
      </c>
      <c r="N67" s="5">
        <f>EnergyLJ($A67,$C$2,$C$3,shape_factors!N$2,$C$4,shape_factors!N$3)</f>
        <v>-6.8724605140899021E-3</v>
      </c>
      <c r="O67" s="5">
        <f>EnergyLJ($A67,$C$2,$C$3,shape_factors!O$2,$C$4,shape_factors!O$3)</f>
        <v>-6.1237343272707986E-3</v>
      </c>
      <c r="P67" s="5">
        <f>EnergyLJ($A67,$C$2,$C$3,shape_factors!P$2,$C$4,shape_factors!P$3)</f>
        <v>-7.1122936711439932E-3</v>
      </c>
      <c r="Q67" s="5">
        <f>EnergyLJ($A67,$C$2,$C$3,shape_factors!Q$2,$C$4,shape_factors!Q$3)</f>
        <v>-7.4441208979431983E-3</v>
      </c>
      <c r="R67" s="5">
        <f>EnergyLJ($A67,$C$2,$C$3,shape_factors!R$2,$C$4,shape_factors!R$3)</f>
        <v>-2.127820547001024E-2</v>
      </c>
      <c r="S67" s="5">
        <f>EnergyLJ($A67,$C$2,$C$3,shape_factors!S$2,$C$4,shape_factors!S$3)</f>
        <v>-8.8408105168085692E-3</v>
      </c>
      <c r="T67" s="5">
        <f>EnergyLJ($A67,$C$2,$C$3,shape_factors!T$2,$C$4,shape_factors!T$3)</f>
        <v>-5.6834296289531138E-3</v>
      </c>
      <c r="U67" s="5">
        <f>EnergyLJ($A67,$C$2,$C$3,shape_factors!U$2,$C$4,shape_factors!U$3)</f>
        <v>-2.0941348354942883E-2</v>
      </c>
    </row>
    <row r="68" spans="1:21" x14ac:dyDescent="0.25">
      <c r="A68">
        <v>14.2</v>
      </c>
      <c r="B68" s="5">
        <f>EnergyLJ($A68,$C$2,$C$3,shape_factors!B$2,$C$4,shape_factors!B$3)</f>
        <v>-9.5879190851543228E-2</v>
      </c>
      <c r="C68" s="5">
        <f>EnergyLJ($A68,$C$2,$C$3,shape_factors!C$2,$C$4,shape_factors!C$3)</f>
        <v>-2.2062171535768359E-2</v>
      </c>
      <c r="D68" s="5">
        <f>EnergyLJ($A68,$C$2,$C$3,shape_factors!D$2,$C$4,shape_factors!D$3)</f>
        <v>-0.13519804437114738</v>
      </c>
      <c r="E68" s="5">
        <f>EnergyLJ($A68,$C$2,$C$3,shape_factors!E$2,$C$4,shape_factors!E$3)</f>
        <v>-4.1019808645796206E-2</v>
      </c>
      <c r="F68" s="5">
        <f>EnergyLJ($A68,$C$2,$C$3,shape_factors!F$2,$C$4,shape_factors!F$3)</f>
        <v>-1.8996719528928271E-2</v>
      </c>
      <c r="G68" s="5">
        <f>EnergyLJ($A68,$C$2,$C$3,shape_factors!G$2,$C$4,shape_factors!G$3)</f>
        <v>-2.5666891383636935E-2</v>
      </c>
      <c r="H68" s="5">
        <f>EnergyLJ($A68,$C$2,$C$3,shape_factors!H$2,$C$4,shape_factors!H$3)</f>
        <v>-0.65228663550216182</v>
      </c>
      <c r="I68" s="5">
        <f>EnergyLJ($A68,$C$2,$C$3,shape_factors!I$2,$C$4,shape_factors!I$3)</f>
        <v>-5.2570235951721549E-2</v>
      </c>
      <c r="J68" s="5">
        <f>EnergyLJ($A68,$C$2,$C$3,shape_factors!J$2,$C$4,shape_factors!J$3)</f>
        <v>-9.6304879955295374E-3</v>
      </c>
      <c r="K68" s="5">
        <f>EnergyLJ($A68,$C$2,$C$3,shape_factors!K$2,$C$4,shape_factors!K$3)</f>
        <v>-1.1739751896034243E-2</v>
      </c>
      <c r="L68" s="5">
        <f>EnergyLJ($A68,$C$2,$C$3,shape_factors!L$2,$C$4,shape_factors!L$3)</f>
        <v>-1.633497021439443E-2</v>
      </c>
      <c r="M68" s="5">
        <f>EnergyLJ($A68,$C$2,$C$3,shape_factors!M$2,$C$4,shape_factors!M$3)</f>
        <v>-1.0076620360845232E-2</v>
      </c>
      <c r="N68" s="5">
        <f>EnergyLJ($A68,$C$2,$C$3,shape_factors!N$2,$C$4,shape_factors!N$3)</f>
        <v>-6.3124412835631151E-3</v>
      </c>
      <c r="O68" s="5">
        <f>EnergyLJ($A68,$C$2,$C$3,shape_factors!O$2,$C$4,shape_factors!O$3)</f>
        <v>-5.6246604786002984E-3</v>
      </c>
      <c r="P68" s="5">
        <f>EnergyLJ($A68,$C$2,$C$3,shape_factors!P$2,$C$4,shape_factors!P$3)</f>
        <v>-6.5327557624273863E-3</v>
      </c>
      <c r="Q68" s="5">
        <f>EnergyLJ($A68,$C$2,$C$3,shape_factors!Q$2,$C$4,shape_factors!Q$3)</f>
        <v>-6.8375801847280074E-3</v>
      </c>
      <c r="R68" s="5">
        <f>EnergyLJ($A68,$C$2,$C$3,shape_factors!R$2,$C$4,shape_factors!R$3)</f>
        <v>-1.9548764260514523E-2</v>
      </c>
      <c r="S68" s="5">
        <f>EnergyLJ($A68,$C$2,$C$3,shape_factors!S$2,$C$4,shape_factors!S$3)</f>
        <v>-8.1206477573932886E-3</v>
      </c>
      <c r="T68" s="5">
        <f>EnergyLJ($A68,$C$2,$C$3,shape_factors!T$2,$C$4,shape_factors!T$3)</f>
        <v>-5.2202036344768405E-3</v>
      </c>
      <c r="U68" s="5">
        <f>EnergyLJ($A68,$C$2,$C$3,shape_factors!U$2,$C$4,shape_factors!U$3)</f>
        <v>-1.9239182753627737E-2</v>
      </c>
    </row>
    <row r="69" spans="1:21" x14ac:dyDescent="0.25">
      <c r="A69">
        <v>14.4</v>
      </c>
      <c r="B69" s="5">
        <f>EnergyLJ($A69,$C$2,$C$3,shape_factors!B$2,$C$4,shape_factors!B$3)</f>
        <v>-8.8297507046578017E-2</v>
      </c>
      <c r="C69" s="5">
        <f>EnergyLJ($A69,$C$2,$C$3,shape_factors!C$2,$C$4,shape_factors!C$3)</f>
        <v>-2.0293311997630133E-2</v>
      </c>
      <c r="D69" s="5">
        <f>EnergyLJ($A69,$C$2,$C$3,shape_factors!D$2,$C$4,shape_factors!D$3)</f>
        <v>-0.12459021214932116</v>
      </c>
      <c r="E69" s="5">
        <f>EnergyLJ($A69,$C$2,$C$3,shape_factors!E$2,$C$4,shape_factors!E$3)</f>
        <v>-3.7742342570593959E-2</v>
      </c>
      <c r="F69" s="5">
        <f>EnergyLJ($A69,$C$2,$C$3,shape_factors!F$2,$C$4,shape_factors!F$3)</f>
        <v>-1.7472793921856179E-2</v>
      </c>
      <c r="G69" s="5">
        <f>EnergyLJ($A69,$C$2,$C$3,shape_factors!G$2,$C$4,shape_factors!G$3)</f>
        <v>-2.3610360859637608E-2</v>
      </c>
      <c r="H69" s="5">
        <f>EnergyLJ($A69,$C$2,$C$3,shape_factors!H$2,$C$4,shape_factors!H$3)</f>
        <v>-0.6081067311146231</v>
      </c>
      <c r="I69" s="5">
        <f>EnergyLJ($A69,$C$2,$C$3,shape_factors!I$2,$C$4,shape_factors!I$3)</f>
        <v>-4.8378860095921003E-2</v>
      </c>
      <c r="J69" s="5">
        <f>EnergyLJ($A69,$C$2,$C$3,shape_factors!J$2,$C$4,shape_factors!J$3)</f>
        <v>-8.8566276420138871E-3</v>
      </c>
      <c r="K69" s="5">
        <f>EnergyLJ($A69,$C$2,$C$3,shape_factors!K$2,$C$4,shape_factors!K$3)</f>
        <v>-1.0796756466881011E-2</v>
      </c>
      <c r="L69" s="5">
        <f>EnergyLJ($A69,$C$2,$C$3,shape_factors!L$2,$C$4,shape_factors!L$3)</f>
        <v>-1.5023943984106532E-2</v>
      </c>
      <c r="M69" s="5">
        <f>EnergyLJ($A69,$C$2,$C$3,shape_factors!M$2,$C$4,shape_factors!M$3)</f>
        <v>-9.2669754006009988E-3</v>
      </c>
      <c r="N69" s="5">
        <f>EnergyLJ($A69,$C$2,$C$3,shape_factors!N$2,$C$4,shape_factors!N$3)</f>
        <v>-5.8049034744731484E-3</v>
      </c>
      <c r="O69" s="5">
        <f>EnergyLJ($A69,$C$2,$C$3,shape_factors!O$2,$C$4,shape_factors!O$3)</f>
        <v>-5.1723668398930521E-3</v>
      </c>
      <c r="P69" s="5">
        <f>EnergyLJ($A69,$C$2,$C$3,shape_factors!P$2,$C$4,shape_factors!P$3)</f>
        <v>-6.0075246446853426E-3</v>
      </c>
      <c r="Q69" s="5">
        <f>EnergyLJ($A69,$C$2,$C$3,shape_factors!Q$2,$C$4,shape_factors!Q$3)</f>
        <v>-6.2878711169933451E-3</v>
      </c>
      <c r="R69" s="5">
        <f>EnergyLJ($A69,$C$2,$C$3,shape_factors!R$2,$C$4,shape_factors!R$3)</f>
        <v>-1.7980709283658844E-2</v>
      </c>
      <c r="S69" s="5">
        <f>EnergyLJ($A69,$C$2,$C$3,shape_factors!S$2,$C$4,shape_factors!S$3)</f>
        <v>-7.467935293348129E-3</v>
      </c>
      <c r="T69" s="5">
        <f>EnergyLJ($A69,$C$2,$C$3,shape_factors!T$2,$C$4,shape_factors!T$3)</f>
        <v>-4.8004032493885688E-3</v>
      </c>
      <c r="U69" s="5">
        <f>EnergyLJ($A69,$C$2,$C$3,shape_factors!U$2,$C$4,shape_factors!U$3)</f>
        <v>-1.7695874020798016E-2</v>
      </c>
    </row>
    <row r="70" spans="1:21" x14ac:dyDescent="0.25">
      <c r="A70">
        <v>14.6</v>
      </c>
      <c r="B70" s="5">
        <f>EnergyLJ($A70,$C$2,$C$3,shape_factors!B$2,$C$4,shape_factors!B$3)</f>
        <v>-8.1397740977707425E-2</v>
      </c>
      <c r="C70" s="5">
        <f>EnergyLJ($A70,$C$2,$C$3,shape_factors!C$2,$C$4,shape_factors!C$3)</f>
        <v>-1.8687293617988428E-2</v>
      </c>
      <c r="D70" s="5">
        <f>EnergyLJ($A70,$C$2,$C$3,shape_factors!D$2,$C$4,shape_factors!D$3)</f>
        <v>-0.11492367752542534</v>
      </c>
      <c r="E70" s="5">
        <f>EnergyLJ($A70,$C$2,$C$3,shape_factors!E$2,$C$4,shape_factors!E$3)</f>
        <v>-3.4764874652533681E-2</v>
      </c>
      <c r="F70" s="5">
        <f>EnergyLJ($A70,$C$2,$C$3,shape_factors!F$2,$C$4,shape_factors!F$3)</f>
        <v>-1.6089288948741249E-2</v>
      </c>
      <c r="G70" s="5">
        <f>EnergyLJ($A70,$C$2,$C$3,shape_factors!G$2,$C$4,shape_factors!G$3)</f>
        <v>-2.1742950441720876E-2</v>
      </c>
      <c r="H70" s="5">
        <f>EnergyLJ($A70,$C$2,$C$3,shape_factors!H$2,$C$4,shape_factors!H$3)</f>
        <v>-0.56675933707748316</v>
      </c>
      <c r="I70" s="5">
        <f>EnergyLJ($A70,$C$2,$C$3,shape_factors!I$2,$C$4,shape_factors!I$3)</f>
        <v>-4.4569767620964679E-2</v>
      </c>
      <c r="J70" s="5">
        <f>EnergyLJ($A70,$C$2,$C$3,shape_factors!J$2,$C$4,shape_factors!J$3)</f>
        <v>-8.1542712278689488E-3</v>
      </c>
      <c r="K70" s="5">
        <f>EnergyLJ($A70,$C$2,$C$3,shape_factors!K$2,$C$4,shape_factors!K$3)</f>
        <v>-9.9408389631352803E-3</v>
      </c>
      <c r="L70" s="5">
        <f>EnergyLJ($A70,$C$2,$C$3,shape_factors!L$2,$C$4,shape_factors!L$3)</f>
        <v>-1.3833816351594318E-2</v>
      </c>
      <c r="M70" s="5">
        <f>EnergyLJ($A70,$C$2,$C$3,shape_factors!M$2,$C$4,shape_factors!M$3)</f>
        <v>-8.5321310579558138E-3</v>
      </c>
      <c r="N70" s="5">
        <f>EnergyLJ($A70,$C$2,$C$3,shape_factors!N$2,$C$4,shape_factors!N$3)</f>
        <v>-5.3443071824266688E-3</v>
      </c>
      <c r="O70" s="5">
        <f>EnergyLJ($A70,$C$2,$C$3,shape_factors!O$2,$C$4,shape_factors!O$3)</f>
        <v>-4.7619136457924711E-3</v>
      </c>
      <c r="P70" s="5">
        <f>EnergyLJ($A70,$C$2,$C$3,shape_factors!P$2,$C$4,shape_factors!P$3)</f>
        <v>-5.5308683528879398E-3</v>
      </c>
      <c r="Q70" s="5">
        <f>EnergyLJ($A70,$C$2,$C$3,shape_factors!Q$2,$C$4,shape_factors!Q$3)</f>
        <v>-5.7889961409281973E-3</v>
      </c>
      <c r="R70" s="5">
        <f>EnergyLJ($A70,$C$2,$C$3,shape_factors!R$2,$C$4,shape_factors!R$3)</f>
        <v>-1.6557117497896966E-2</v>
      </c>
      <c r="S70" s="5">
        <f>EnergyLJ($A70,$C$2,$C$3,shape_factors!S$2,$C$4,shape_factors!S$3)</f>
        <v>-6.8755594877052484E-3</v>
      </c>
      <c r="T70" s="5">
        <f>EnergyLJ($A70,$C$2,$C$3,shape_factors!T$2,$C$4,shape_factors!T$3)</f>
        <v>-4.4194420234284406E-3</v>
      </c>
      <c r="U70" s="5">
        <f>EnergyLJ($A70,$C$2,$C$3,shape_factors!U$2,$C$4,shape_factors!U$3)</f>
        <v>-1.6294761717701028E-2</v>
      </c>
    </row>
    <row r="71" spans="1:21" x14ac:dyDescent="0.25">
      <c r="A71">
        <v>14.8</v>
      </c>
      <c r="B71" s="5">
        <f>EnergyLJ($A71,$C$2,$C$3,shape_factors!B$2,$C$4,shape_factors!B$3)</f>
        <v>-7.5111965734956251E-2</v>
      </c>
      <c r="C71" s="5">
        <f>EnergyLJ($A71,$C$2,$C$3,shape_factors!C$2,$C$4,shape_factors!C$3)</f>
        <v>-1.7227270308749505E-2</v>
      </c>
      <c r="D71" s="5">
        <f>EnergyLJ($A71,$C$2,$C$3,shape_factors!D$2,$C$4,shape_factors!D$3)</f>
        <v>-0.10610681333929771</v>
      </c>
      <c r="E71" s="5">
        <f>EnergyLJ($A71,$C$2,$C$3,shape_factors!E$2,$C$4,shape_factors!E$3)</f>
        <v>-3.2056651175611156E-2</v>
      </c>
      <c r="F71" s="5">
        <f>EnergyLJ($A71,$C$2,$C$3,shape_factors!F$2,$C$4,shape_factors!F$3)</f>
        <v>-1.4831657056267745E-2</v>
      </c>
      <c r="G71" s="5">
        <f>EnergyLJ($A71,$C$2,$C$3,shape_factors!G$2,$C$4,shape_factors!G$3)</f>
        <v>-2.0045128737035376E-2</v>
      </c>
      <c r="H71" s="5">
        <f>EnergyLJ($A71,$C$2,$C$3,shape_factors!H$2,$C$4,shape_factors!H$3)</f>
        <v>-0.52815281559527838</v>
      </c>
      <c r="I71" s="5">
        <f>EnergyLJ($A71,$C$2,$C$3,shape_factors!I$2,$C$4,shape_factors!I$3)</f>
        <v>-4.1103993952258035E-2</v>
      </c>
      <c r="J71" s="5">
        <f>EnergyLJ($A71,$C$2,$C$3,shape_factors!J$2,$C$4,shape_factors!J$3)</f>
        <v>-7.5159787998624918E-3</v>
      </c>
      <c r="K71" s="5">
        <f>EnergyLJ($A71,$C$2,$C$3,shape_factors!K$2,$C$4,shape_factors!K$3)</f>
        <v>-9.1629477292796812E-3</v>
      </c>
      <c r="L71" s="5">
        <f>EnergyLJ($A71,$C$2,$C$3,shape_factors!L$2,$C$4,shape_factors!L$3)</f>
        <v>-1.275204670187725E-2</v>
      </c>
      <c r="M71" s="5">
        <f>EnergyLJ($A71,$C$2,$C$3,shape_factors!M$2,$C$4,shape_factors!M$3)</f>
        <v>-7.864305951831501E-3</v>
      </c>
      <c r="N71" s="5">
        <f>EnergyLJ($A71,$C$2,$C$3,shape_factors!N$2,$C$4,shape_factors!N$3)</f>
        <v>-4.9257607658841542E-3</v>
      </c>
      <c r="O71" s="5">
        <f>EnergyLJ($A71,$C$2,$C$3,shape_factors!O$2,$C$4,shape_factors!O$3)</f>
        <v>-4.3889394608912701E-3</v>
      </c>
      <c r="P71" s="5">
        <f>EnergyLJ($A71,$C$2,$C$3,shape_factors!P$2,$C$4,shape_factors!P$3)</f>
        <v>-5.0977255499621817E-3</v>
      </c>
      <c r="Q71" s="5">
        <f>EnergyLJ($A71,$C$2,$C$3,shape_factors!Q$2,$C$4,shape_factors!Q$3)</f>
        <v>-5.3356592457319794E-3</v>
      </c>
      <c r="R71" s="5">
        <f>EnergyLJ($A71,$C$2,$C$3,shape_factors!R$2,$C$4,shape_factors!R$3)</f>
        <v>-1.5263026403913381E-2</v>
      </c>
      <c r="S71" s="5">
        <f>EnergyLJ($A71,$C$2,$C$3,shape_factors!S$2,$C$4,shape_factors!S$3)</f>
        <v>-6.3372380044713697E-3</v>
      </c>
      <c r="T71" s="5">
        <f>EnergyLJ($A71,$C$2,$C$3,shape_factors!T$2,$C$4,shape_factors!T$3)</f>
        <v>-4.073270631458183E-3</v>
      </c>
      <c r="U71" s="5">
        <f>EnergyLJ($A71,$C$2,$C$3,shape_factors!U$2,$C$4,shape_factors!U$3)</f>
        <v>-1.5021115988144255E-2</v>
      </c>
    </row>
    <row r="72" spans="1:21" x14ac:dyDescent="0.25">
      <c r="A72">
        <v>15</v>
      </c>
      <c r="B72" s="5">
        <f>EnergyLJ($A72,$C$2,$C$3,shape_factors!B$2,$C$4,shape_factors!B$3)</f>
        <v>-6.9379561826708125E-2</v>
      </c>
      <c r="C72" s="5">
        <f>EnergyLJ($A72,$C$2,$C$3,shape_factors!C$2,$C$4,shape_factors!C$3)</f>
        <v>-1.5898321295543333E-2</v>
      </c>
      <c r="D72" s="5">
        <f>EnergyLJ($A72,$C$2,$C$3,shape_factors!D$2,$C$4,shape_factors!D$3)</f>
        <v>-9.8057463061677341E-2</v>
      </c>
      <c r="E72" s="5">
        <f>EnergyLJ($A72,$C$2,$C$3,shape_factors!E$2,$C$4,shape_factors!E$3)</f>
        <v>-2.9590384224322721E-2</v>
      </c>
      <c r="F72" s="5">
        <f>EnergyLJ($A72,$C$2,$C$3,shape_factors!F$2,$C$4,shape_factors!F$3)</f>
        <v>-1.3687016946230316E-2</v>
      </c>
      <c r="G72" s="5">
        <f>EnergyLJ($A72,$C$2,$C$3,shape_factors!G$2,$C$4,shape_factors!G$3)</f>
        <v>-1.8499590771599763E-2</v>
      </c>
      <c r="H72" s="5">
        <f>EnergyLJ($A72,$C$2,$C$3,shape_factors!H$2,$C$4,shape_factors!H$3)</f>
        <v>-0.49217093897524578</v>
      </c>
      <c r="I72" s="5">
        <f>EnergyLJ($A72,$C$2,$C$3,shape_factors!I$2,$C$4,shape_factors!I$3)</f>
        <v>-3.7946926205778747E-2</v>
      </c>
      <c r="J72" s="5">
        <f>EnergyLJ($A72,$C$2,$C$3,shape_factors!J$2,$C$4,shape_factors!J$3)</f>
        <v>-6.9351681567304891E-3</v>
      </c>
      <c r="K72" s="5">
        <f>EnergyLJ($A72,$C$2,$C$3,shape_factors!K$2,$C$4,shape_factors!K$3)</f>
        <v>-8.4550731577649422E-3</v>
      </c>
      <c r="L72" s="5">
        <f>EnergyLJ($A72,$C$2,$C$3,shape_factors!L$2,$C$4,shape_factors!L$3)</f>
        <v>-1.176753350529859E-2</v>
      </c>
      <c r="M72" s="5">
        <f>EnergyLJ($A72,$C$2,$C$3,shape_factors!M$2,$C$4,shape_factors!M$3)</f>
        <v>-7.2566155410752464E-3</v>
      </c>
      <c r="N72" s="5">
        <f>EnergyLJ($A72,$C$2,$C$3,shape_factors!N$2,$C$4,shape_factors!N$3)</f>
        <v>-4.5449378210420882E-3</v>
      </c>
      <c r="O72" s="5">
        <f>EnergyLJ($A72,$C$2,$C$3,shape_factors!O$2,$C$4,shape_factors!O$3)</f>
        <v>-4.0495870566969044E-3</v>
      </c>
      <c r="P72" s="5">
        <f>EnergyLJ($A72,$C$2,$C$3,shape_factors!P$2,$C$4,shape_factors!P$3)</f>
        <v>-4.7036196575679767E-3</v>
      </c>
      <c r="Q72" s="5">
        <f>EnergyLJ($A72,$C$2,$C$3,shape_factors!Q$2,$C$4,shape_factors!Q$3)</f>
        <v>-4.9231761652976059E-3</v>
      </c>
      <c r="R72" s="5">
        <f>EnergyLJ($A72,$C$2,$C$3,shape_factors!R$2,$C$4,shape_factors!R$3)</f>
        <v>-1.4085186613328372E-2</v>
      </c>
      <c r="S72" s="5">
        <f>EnergyLJ($A72,$C$2,$C$3,shape_factors!S$2,$C$4,shape_factors!S$3)</f>
        <v>-5.8474135481011418E-3</v>
      </c>
      <c r="T72" s="5">
        <f>EnergyLJ($A72,$C$2,$C$3,shape_factors!T$2,$C$4,shape_factors!T$3)</f>
        <v>-3.7583080018725166E-3</v>
      </c>
      <c r="U72" s="5">
        <f>EnergyLJ($A72,$C$2,$C$3,shape_factors!U$2,$C$4,shape_factors!U$3)</f>
        <v>-1.3861893821534441E-2</v>
      </c>
    </row>
    <row r="73" spans="1:21" x14ac:dyDescent="0.25">
      <c r="A73">
        <v>15.2</v>
      </c>
      <c r="B73" s="5">
        <f>EnergyLJ($A73,$C$2,$C$3,shape_factors!B$2,$C$4,shape_factors!B$3)</f>
        <v>-6.4146391926162422E-2</v>
      </c>
      <c r="C73" s="5">
        <f>EnergyLJ($A73,$C$2,$C$3,shape_factors!C$2,$C$4,shape_factors!C$3)</f>
        <v>-1.4687211442305968E-2</v>
      </c>
      <c r="D73" s="5">
        <f>EnergyLJ($A73,$C$2,$C$3,shape_factors!D$2,$C$4,shape_factors!D$3)</f>
        <v>-9.0701947266040181E-2</v>
      </c>
      <c r="E73" s="5">
        <f>EnergyLJ($A73,$C$2,$C$3,shape_factors!E$2,$C$4,shape_factors!E$3)</f>
        <v>-2.7341829312227565E-2</v>
      </c>
      <c r="F73" s="5">
        <f>EnergyLJ($A73,$C$2,$C$3,shape_factors!F$2,$C$4,shape_factors!F$3)</f>
        <v>-1.2643945475758596E-2</v>
      </c>
      <c r="G73" s="5">
        <f>EnergyLJ($A73,$C$2,$C$3,shape_factors!G$2,$C$4,shape_factors!G$3)</f>
        <v>-1.7090981904455623E-2</v>
      </c>
      <c r="H73" s="5">
        <f>EnergyLJ($A73,$C$2,$C$3,shape_factors!H$2,$C$4,shape_factors!H$3)</f>
        <v>-0.45868244428804245</v>
      </c>
      <c r="I73" s="5">
        <f>EnergyLJ($A73,$C$2,$C$3,shape_factors!I$2,$C$4,shape_factors!I$3)</f>
        <v>-3.5067780261213502E-2</v>
      </c>
      <c r="J73" s="5">
        <f>EnergyLJ($A73,$C$2,$C$3,shape_factors!J$2,$C$4,shape_factors!J$3)</f>
        <v>-6.4060066907936763E-3</v>
      </c>
      <c r="K73" s="5">
        <f>EnergyLJ($A73,$C$2,$C$3,shape_factors!K$2,$C$4,shape_factors!K$3)</f>
        <v>-7.8101165703121237E-3</v>
      </c>
      <c r="L73" s="5">
        <f>EnergyLJ($A73,$C$2,$C$3,shape_factors!L$2,$C$4,shape_factors!L$3)</f>
        <v>-1.0870434089846559E-2</v>
      </c>
      <c r="M73" s="5">
        <f>EnergyLJ($A73,$C$2,$C$3,shape_factors!M$2,$C$4,shape_factors!M$3)</f>
        <v>-6.702959087805588E-3</v>
      </c>
      <c r="N73" s="5">
        <f>EnergyLJ($A73,$C$2,$C$3,shape_factors!N$2,$C$4,shape_factors!N$3)</f>
        <v>-4.1980056729908509E-3</v>
      </c>
      <c r="O73" s="5">
        <f>EnergyLJ($A73,$C$2,$C$3,shape_factors!O$2,$C$4,shape_factors!O$3)</f>
        <v>-3.7404395807420043E-3</v>
      </c>
      <c r="P73" s="5">
        <f>EnergyLJ($A73,$C$2,$C$3,shape_factors!P$2,$C$4,shape_factors!P$3)</f>
        <v>-4.3445848936827028E-3</v>
      </c>
      <c r="Q73" s="5">
        <f>EnergyLJ($A73,$C$2,$C$3,shape_factors!Q$2,$C$4,shape_factors!Q$3)</f>
        <v>-4.5473970257681367E-3</v>
      </c>
      <c r="R73" s="5">
        <f>EnergyLJ($A73,$C$2,$C$3,shape_factors!R$2,$C$4,shape_factors!R$3)</f>
        <v>-1.3011848021148378E-2</v>
      </c>
      <c r="S73" s="5">
        <f>EnergyLJ($A73,$C$2,$C$3,shape_factors!S$2,$C$4,shape_factors!S$3)</f>
        <v>-5.4011623016805158E-3</v>
      </c>
      <c r="T73" s="5">
        <f>EnergyLJ($A73,$C$2,$C$3,shape_factors!T$2,$C$4,shape_factors!T$3)</f>
        <v>-3.4713820137864085E-3</v>
      </c>
      <c r="U73" s="5">
        <f>EnergyLJ($A73,$C$2,$C$3,shape_factors!U$2,$C$4,shape_factors!U$3)</f>
        <v>-1.2805528435170369E-2</v>
      </c>
    </row>
    <row r="74" spans="1:21" x14ac:dyDescent="0.25">
      <c r="A74">
        <v>15.4</v>
      </c>
      <c r="B74" s="5">
        <f>EnergyLJ($A74,$C$2,$C$3,shape_factors!B$2,$C$4,shape_factors!B$3)</f>
        <v>-5.9364069547603183E-2</v>
      </c>
      <c r="C74" s="5">
        <f>EnergyLJ($A74,$C$2,$C$3,shape_factors!C$2,$C$4,shape_factors!C$3)</f>
        <v>-1.3582183673859974E-2</v>
      </c>
      <c r="D74" s="5">
        <f>EnergyLJ($A74,$C$2,$C$3,shape_factors!D$2,$C$4,shape_factors!D$3)</f>
        <v>-8.3974166714327059E-2</v>
      </c>
      <c r="E74" s="5">
        <f>EnergyLJ($A74,$C$2,$C$3,shape_factors!E$2,$C$4,shape_factors!E$3)</f>
        <v>-2.5289417792503741E-2</v>
      </c>
      <c r="F74" s="5">
        <f>EnergyLJ($A74,$C$2,$C$3,shape_factors!F$2,$C$4,shape_factors!F$3)</f>
        <v>-1.1692297559225739E-2</v>
      </c>
      <c r="G74" s="5">
        <f>EnergyLJ($A74,$C$2,$C$3,shape_factors!G$2,$C$4,shape_factors!G$3)</f>
        <v>-1.5805658505123363E-2</v>
      </c>
      <c r="H74" s="5">
        <f>EnergyLJ($A74,$C$2,$C$3,shape_factors!H$2,$C$4,shape_factors!H$3)</f>
        <v>-0.42754803232460353</v>
      </c>
      <c r="I74" s="5">
        <f>EnergyLJ($A74,$C$2,$C$3,shape_factors!I$2,$C$4,shape_factors!I$3)</f>
        <v>-3.2439144172418187E-2</v>
      </c>
      <c r="J74" s="5">
        <f>EnergyLJ($A74,$C$2,$C$3,shape_factors!J$2,$C$4,shape_factors!J$3)</f>
        <v>-5.9233179856260582E-3</v>
      </c>
      <c r="K74" s="5">
        <f>EnergyLJ($A74,$C$2,$C$3,shape_factors!K$2,$C$4,shape_factors!K$3)</f>
        <v>-7.2217769337063311E-3</v>
      </c>
      <c r="L74" s="5">
        <f>EnergyLJ($A74,$C$2,$C$3,shape_factors!L$2,$C$4,shape_factors!L$3)</f>
        <v>-1.0052008762524664E-2</v>
      </c>
      <c r="M74" s="5">
        <f>EnergyLJ($A74,$C$2,$C$3,shape_factors!M$2,$C$4,shape_factors!M$3)</f>
        <v>-6.1979220325490752E-3</v>
      </c>
      <c r="N74" s="5">
        <f>EnergyLJ($A74,$C$2,$C$3,shape_factors!N$2,$C$4,shape_factors!N$3)</f>
        <v>-3.8815636684373378E-3</v>
      </c>
      <c r="O74" s="5">
        <f>EnergyLJ($A74,$C$2,$C$3,shape_factors!O$2,$C$4,shape_factors!O$3)</f>
        <v>-3.4584654831979018E-3</v>
      </c>
      <c r="P74" s="5">
        <f>EnergyLJ($A74,$C$2,$C$3,shape_factors!P$2,$C$4,shape_factors!P$3)</f>
        <v>-4.0171024449530759E-3</v>
      </c>
      <c r="Q74" s="5">
        <f>EnergyLJ($A74,$C$2,$C$3,shape_factors!Q$2,$C$4,shape_factors!Q$3)</f>
        <v>-4.2046395878844733E-3</v>
      </c>
      <c r="R74" s="5">
        <f>EnergyLJ($A74,$C$2,$C$3,shape_factors!R$2,$C$4,shape_factors!R$3)</f>
        <v>-1.2032574726317538E-2</v>
      </c>
      <c r="S74" s="5">
        <f>EnergyLJ($A74,$C$2,$C$3,shape_factors!S$2,$C$4,shape_factors!S$3)</f>
        <v>-4.9941148836105294E-3</v>
      </c>
      <c r="T74" s="5">
        <f>EnergyLJ($A74,$C$2,$C$3,shape_factors!T$2,$C$4,shape_factors!T$3)</f>
        <v>-3.2096783350211724E-3</v>
      </c>
      <c r="U74" s="5">
        <f>EnergyLJ($A74,$C$2,$C$3,shape_factors!U$2,$C$4,shape_factors!U$3)</f>
        <v>-1.1841746986524626E-2</v>
      </c>
    </row>
    <row r="75" spans="1:21" x14ac:dyDescent="0.25">
      <c r="A75">
        <v>15.6</v>
      </c>
      <c r="B75" s="5">
        <f>EnergyLJ($A75,$C$2,$C$3,shape_factors!B$2,$C$4,shape_factors!B$3)</f>
        <v>-5.49893117305306E-2</v>
      </c>
      <c r="C75" s="5">
        <f>EnergyLJ($A75,$C$2,$C$3,shape_factors!C$2,$C$4,shape_factors!C$3)</f>
        <v>-1.2572778925137704E-2</v>
      </c>
      <c r="D75" s="5">
        <f>EnergyLJ($A75,$C$2,$C$3,shape_factors!D$2,$C$4,shape_factors!D$3)</f>
        <v>-7.7814795887016355E-2</v>
      </c>
      <c r="E75" s="5">
        <f>EnergyLJ($A75,$C$2,$C$3,shape_factors!E$2,$C$4,shape_factors!E$3)</f>
        <v>-2.3413936619909974E-2</v>
      </c>
      <c r="F75" s="5">
        <f>EnergyLJ($A75,$C$2,$C$3,shape_factors!F$2,$C$4,shape_factors!F$3)</f>
        <v>-1.0823050056305072E-2</v>
      </c>
      <c r="G75" s="5">
        <f>EnergyLJ($A75,$C$2,$C$3,shape_factors!G$2,$C$4,shape_factors!G$3)</f>
        <v>-1.4631480202500907E-2</v>
      </c>
      <c r="H75" s="5">
        <f>EnergyLJ($A75,$C$2,$C$3,shape_factors!H$2,$C$4,shape_factors!H$3)</f>
        <v>-0.39862544061543143</v>
      </c>
      <c r="I75" s="5">
        <f>EnergyLJ($A75,$C$2,$C$3,shape_factors!I$2,$C$4,shape_factors!I$3)</f>
        <v>-3.003657923700578E-2</v>
      </c>
      <c r="J75" s="5">
        <f>EnergyLJ($A75,$C$2,$C$3,shape_factors!J$2,$C$4,shape_factors!J$3)</f>
        <v>-5.4825010117569746E-3</v>
      </c>
      <c r="K75" s="5">
        <f>EnergyLJ($A75,$C$2,$C$3,shape_factors!K$2,$C$4,shape_factors!K$3)</f>
        <v>-6.68445281290084E-3</v>
      </c>
      <c r="L75" s="5">
        <f>EnergyLJ($A75,$C$2,$C$3,shape_factors!L$2,$C$4,shape_factors!L$3)</f>
        <v>-9.304485767761151E-3</v>
      </c>
      <c r="M75" s="5">
        <f>EnergyLJ($A75,$C$2,$C$3,shape_factors!M$2,$C$4,shape_factors!M$3)</f>
        <v>-5.7366915292542137E-3</v>
      </c>
      <c r="N75" s="5">
        <f>EnergyLJ($A75,$C$2,$C$3,shape_factors!N$2,$C$4,shape_factors!N$3)</f>
        <v>-3.5925898272242593E-3</v>
      </c>
      <c r="O75" s="5">
        <f>EnergyLJ($A75,$C$2,$C$3,shape_factors!O$2,$C$4,shape_factors!O$3)</f>
        <v>-3.2009709102097409E-3</v>
      </c>
      <c r="P75" s="5">
        <f>EnergyLJ($A75,$C$2,$C$3,shape_factors!P$2,$C$4,shape_factors!P$3)</f>
        <v>-3.7180452826311265E-3</v>
      </c>
      <c r="Q75" s="5">
        <f>EnergyLJ($A75,$C$2,$C$3,shape_factors!Q$2,$C$4,shape_factors!Q$3)</f>
        <v>-3.8916315261707793E-3</v>
      </c>
      <c r="R75" s="5">
        <f>EnergyLJ($A75,$C$2,$C$3,shape_factors!R$2,$C$4,shape_factors!R$3)</f>
        <v>-1.1138084582834338E-2</v>
      </c>
      <c r="S75" s="5">
        <f>EnergyLJ($A75,$C$2,$C$3,shape_factors!S$2,$C$4,shape_factors!S$3)</f>
        <v>-4.6223879865441757E-3</v>
      </c>
      <c r="T75" s="5">
        <f>EnergyLJ($A75,$C$2,$C$3,shape_factors!T$2,$C$4,shape_factors!T$3)</f>
        <v>-2.9706962000817017E-3</v>
      </c>
      <c r="U75" s="5">
        <f>EnergyLJ($A75,$C$2,$C$3,shape_factors!U$2,$C$4,shape_factors!U$3)</f>
        <v>-1.0961412555076353E-2</v>
      </c>
    </row>
    <row r="76" spans="1:21" x14ac:dyDescent="0.25">
      <c r="A76">
        <v>15.8</v>
      </c>
      <c r="B76" s="5">
        <f>EnergyLJ($A76,$C$2,$C$3,shape_factors!B$2,$C$4,shape_factors!B$3)</f>
        <v>-5.0983366532207246E-2</v>
      </c>
      <c r="C76" s="5">
        <f>EnergyLJ($A76,$C$2,$C$3,shape_factors!C$2,$C$4,shape_factors!C$3)</f>
        <v>-1.1649679730024497E-2</v>
      </c>
      <c r="D76" s="5">
        <f>EnergyLJ($A76,$C$2,$C$3,shape_factors!D$2,$C$4,shape_factors!D$3)</f>
        <v>-7.2170560035994799E-2</v>
      </c>
      <c r="E76" s="5">
        <f>EnergyLJ($A76,$C$2,$C$3,shape_factors!E$2,$C$4,shape_factors!E$3)</f>
        <v>-2.1698249063936654E-2</v>
      </c>
      <c r="F76" s="5">
        <f>EnergyLJ($A76,$C$2,$C$3,shape_factors!F$2,$C$4,shape_factors!F$3)</f>
        <v>-1.0028166237851669E-2</v>
      </c>
      <c r="G76" s="5">
        <f>EnergyLJ($A76,$C$2,$C$3,shape_factors!G$2,$C$4,shape_factors!G$3)</f>
        <v>-1.3557629280870797E-2</v>
      </c>
      <c r="H76" s="5">
        <f>EnergyLJ($A76,$C$2,$C$3,shape_factors!H$2,$C$4,shape_factors!H$3)</f>
        <v>-0.37177306732782206</v>
      </c>
      <c r="I76" s="5">
        <f>EnergyLJ($A76,$C$2,$C$3,shape_factors!I$2,$C$4,shape_factors!I$3)</f>
        <v>-2.783827117612292E-2</v>
      </c>
      <c r="J76" s="5">
        <f>EnergyLJ($A76,$C$2,$C$3,shape_factors!J$2,$C$4,shape_factors!J$3)</f>
        <v>-5.0794600979122383E-3</v>
      </c>
      <c r="K76" s="5">
        <f>EnergyLJ($A76,$C$2,$C$3,shape_factors!K$2,$C$4,shape_factors!K$3)</f>
        <v>-6.1931573656794983E-3</v>
      </c>
      <c r="L76" s="5">
        <f>EnergyLJ($A76,$C$2,$C$3,shape_factors!L$2,$C$4,shape_factors!L$3)</f>
        <v>-8.6209441063643932E-3</v>
      </c>
      <c r="M76" s="5">
        <f>EnergyLJ($A76,$C$2,$C$3,shape_factors!M$2,$C$4,shape_factors!M$3)</f>
        <v>-5.314983237960892E-3</v>
      </c>
      <c r="N76" s="5">
        <f>EnergyLJ($A76,$C$2,$C$3,shape_factors!N$2,$C$4,shape_factors!N$3)</f>
        <v>-3.3283946362013036E-3</v>
      </c>
      <c r="O76" s="5">
        <f>EnergyLJ($A76,$C$2,$C$3,shape_factors!O$2,$C$4,shape_factors!O$3)</f>
        <v>-2.965558476015602E-3</v>
      </c>
      <c r="P76" s="5">
        <f>EnergyLJ($A76,$C$2,$C$3,shape_factors!P$2,$C$4,shape_factors!P$3)</f>
        <v>-3.4446303646942038E-3</v>
      </c>
      <c r="Q76" s="5">
        <f>EnergyLJ($A76,$C$2,$C$3,shape_factors!Q$2,$C$4,shape_factors!Q$3)</f>
        <v>-3.6054604310597317E-3</v>
      </c>
      <c r="R76" s="5">
        <f>EnergyLJ($A76,$C$2,$C$3,shape_factors!R$2,$C$4,shape_factors!R$3)</f>
        <v>-1.032010988542929E-2</v>
      </c>
      <c r="S76" s="5">
        <f>EnergyLJ($A76,$C$2,$C$3,shape_factors!S$2,$C$4,shape_factors!S$3)</f>
        <v>-4.2825251489990454E-3</v>
      </c>
      <c r="T76" s="5">
        <f>EnergyLJ($A76,$C$2,$C$3,shape_factors!T$2,$C$4,shape_factors!T$3)</f>
        <v>-2.7522101162186247E-3</v>
      </c>
      <c r="U76" s="5">
        <f>EnergyLJ($A76,$C$2,$C$3,shape_factors!U$2,$C$4,shape_factors!U$3)</f>
        <v>-1.0156386946781603E-2</v>
      </c>
    </row>
    <row r="77" spans="1:21" x14ac:dyDescent="0.25">
      <c r="A77">
        <v>16</v>
      </c>
      <c r="B77" s="5">
        <f>EnergyLJ($A77,$C$2,$C$3,shape_factors!B$2,$C$4,shape_factors!B$3)</f>
        <v>-4.7311506918282419E-2</v>
      </c>
      <c r="C77" s="5">
        <f>EnergyLJ($A77,$C$2,$C$3,shape_factors!C$2,$C$4,shape_factors!C$3)</f>
        <v>-1.0804574140839971E-2</v>
      </c>
      <c r="D77" s="5">
        <f>EnergyLJ($A77,$C$2,$C$3,shape_factors!D$2,$C$4,shape_factors!D$3)</f>
        <v>-6.6993588596290121E-2</v>
      </c>
      <c r="E77" s="5">
        <f>EnergyLJ($A77,$C$2,$C$3,shape_factors!E$2,$C$4,shape_factors!E$3)</f>
        <v>-2.0127050862483158E-2</v>
      </c>
      <c r="F77" s="5">
        <f>EnergyLJ($A77,$C$2,$C$3,shape_factors!F$2,$C$4,shape_factors!F$3)</f>
        <v>-9.3004779327590451E-3</v>
      </c>
      <c r="G77" s="5">
        <f>EnergyLJ($A77,$C$2,$C$3,shape_factors!G$2,$C$4,shape_factors!G$3)</f>
        <v>-1.2574453449267576E-2</v>
      </c>
      <c r="H77" s="5">
        <f>EnergyLJ($A77,$C$2,$C$3,shape_factors!H$2,$C$4,shape_factors!H$3)</f>
        <v>-0.34685250741724877</v>
      </c>
      <c r="I77" s="5">
        <f>EnergyLJ($A77,$C$2,$C$3,shape_factors!I$2,$C$4,shape_factors!I$3)</f>
        <v>-2.5824724869158881E-2</v>
      </c>
      <c r="J77" s="5">
        <f>EnergyLJ($A77,$C$2,$C$3,shape_factors!J$2,$C$4,shape_factors!J$3)</f>
        <v>-4.7105441357873524E-3</v>
      </c>
      <c r="K77" s="5">
        <f>EnergyLJ($A77,$C$2,$C$3,shape_factors!K$2,$C$4,shape_factors!K$3)</f>
        <v>-5.7434445192433153E-3</v>
      </c>
      <c r="L77" s="5">
        <f>EnergyLJ($A77,$C$2,$C$3,shape_factors!L$2,$C$4,shape_factors!L$3)</f>
        <v>-7.9952116885807275E-3</v>
      </c>
      <c r="M77" s="5">
        <f>EnergyLJ($A77,$C$2,$C$3,shape_factors!M$2,$C$4,shape_factors!M$3)</f>
        <v>-4.9289777653320592E-3</v>
      </c>
      <c r="N77" s="5">
        <f>EnergyLJ($A77,$C$2,$C$3,shape_factors!N$2,$C$4,shape_factors!N$3)</f>
        <v>-3.0865809577497695E-3</v>
      </c>
      <c r="O77" s="5">
        <f>EnergyLJ($A77,$C$2,$C$3,shape_factors!O$2,$C$4,shape_factors!O$3)</f>
        <v>-2.7500914949964558E-3</v>
      </c>
      <c r="P77" s="5">
        <f>EnergyLJ($A77,$C$2,$C$3,shape_factors!P$2,$C$4,shape_factors!P$3)</f>
        <v>-3.1943771617469088E-3</v>
      </c>
      <c r="Q77" s="5">
        <f>EnergyLJ($A77,$C$2,$C$3,shape_factors!Q$2,$C$4,shape_factors!Q$3)</f>
        <v>-3.3435304236695759E-3</v>
      </c>
      <c r="R77" s="5">
        <f>EnergyLJ($A77,$C$2,$C$3,shape_factors!R$2,$C$4,shape_factors!R$3)</f>
        <v>-9.5712762175909315E-3</v>
      </c>
      <c r="S77" s="5">
        <f>EnergyLJ($A77,$C$2,$C$3,shape_factors!S$2,$C$4,shape_factors!S$3)</f>
        <v>-3.9714453494505723E-3</v>
      </c>
      <c r="T77" s="5">
        <f>EnergyLJ($A77,$C$2,$C$3,shape_factors!T$2,$C$4,shape_factors!T$3)</f>
        <v>-2.5522366430879165E-3</v>
      </c>
      <c r="U77" s="5">
        <f>EnergyLJ($A77,$C$2,$C$3,shape_factors!U$2,$C$4,shape_factors!U$3)</f>
        <v>-9.4194113911698837E-3</v>
      </c>
    </row>
    <row r="78" spans="1:21" x14ac:dyDescent="0.25">
      <c r="A78">
        <v>16.2</v>
      </c>
      <c r="B78" s="5">
        <f>EnergyLJ($A78,$C$2,$C$3,shape_factors!B$2,$C$4,shape_factors!B$3)</f>
        <v>-4.3942583441591708E-2</v>
      </c>
      <c r="C78" s="5">
        <f>EnergyLJ($A78,$C$2,$C$3,shape_factors!C$2,$C$4,shape_factors!C$3)</f>
        <v>-1.0030037158072604E-2</v>
      </c>
      <c r="D78" s="5">
        <f>EnergyLJ($A78,$C$2,$C$3,shape_factors!D$2,$C$4,shape_factors!D$3)</f>
        <v>-6.2240837880936997E-2</v>
      </c>
      <c r="E78" s="5">
        <f>EnergyLJ($A78,$C$2,$C$3,shape_factors!E$2,$C$4,shape_factors!E$3)</f>
        <v>-1.868665707164667E-2</v>
      </c>
      <c r="F78" s="5">
        <f>EnergyLJ($A78,$C$2,$C$3,shape_factors!F$2,$C$4,shape_factors!F$3)</f>
        <v>-8.6335828902057501E-3</v>
      </c>
      <c r="G78" s="5">
        <f>EnergyLJ($A78,$C$2,$C$3,shape_factors!G$2,$C$4,shape_factors!G$3)</f>
        <v>-1.1673328762069321E-2</v>
      </c>
      <c r="H78" s="5">
        <f>EnergyLJ($A78,$C$2,$C$3,shape_factors!H$2,$C$4,shape_factors!H$3)</f>
        <v>-0.32373027509592189</v>
      </c>
      <c r="I78" s="5">
        <f>EnergyLJ($A78,$C$2,$C$3,shape_factors!I$2,$C$4,shape_factors!I$3)</f>
        <v>-2.3978496957766649E-2</v>
      </c>
      <c r="J78" s="5">
        <f>EnergyLJ($A78,$C$2,$C$3,shape_factors!J$2,$C$4,shape_factors!J$3)</f>
        <v>-4.3724937112501975E-3</v>
      </c>
      <c r="K78" s="5">
        <f>EnergyLJ($A78,$C$2,$C$3,shape_factors!K$2,$C$4,shape_factors!K$3)</f>
        <v>-5.3313447509855038E-3</v>
      </c>
      <c r="L78" s="5">
        <f>EnergyLJ($A78,$C$2,$C$3,shape_factors!L$2,$C$4,shape_factors!L$3)</f>
        <v>-7.4217766735130914E-3</v>
      </c>
      <c r="M78" s="5">
        <f>EnergyLJ($A78,$C$2,$C$3,shape_factors!M$2,$C$4,shape_factors!M$3)</f>
        <v>-4.5752653882323935E-3</v>
      </c>
      <c r="N78" s="5">
        <f>EnergyLJ($A78,$C$2,$C$3,shape_factors!N$2,$C$4,shape_factors!N$3)</f>
        <v>-2.8650091829937525E-3</v>
      </c>
      <c r="O78" s="5">
        <f>EnergyLJ($A78,$C$2,$C$3,shape_factors!O$2,$C$4,shape_factors!O$3)</f>
        <v>-2.552662896042804E-3</v>
      </c>
      <c r="P78" s="5">
        <f>EnergyLJ($A78,$C$2,$C$3,shape_factors!P$2,$C$4,shape_factors!P$3)</f>
        <v>-2.9650716072812202E-3</v>
      </c>
      <c r="Q78" s="5">
        <f>EnergyLJ($A78,$C$2,$C$3,shape_factors!Q$2,$C$4,shape_factors!Q$3)</f>
        <v>-3.1035244431543933E-3</v>
      </c>
      <c r="R78" s="5">
        <f>EnergyLJ($A78,$C$2,$C$3,shape_factors!R$2,$C$4,shape_factors!R$3)</f>
        <v>-8.8849969315702854E-3</v>
      </c>
      <c r="S78" s="5">
        <f>EnergyLJ($A78,$C$2,$C$3,shape_factors!S$2,$C$4,shape_factors!S$3)</f>
        <v>-3.6863983129899625E-3</v>
      </c>
      <c r="T78" s="5">
        <f>EnergyLJ($A78,$C$2,$C$3,shape_factors!T$2,$C$4,shape_factors!T$3)</f>
        <v>-2.3690055229814671E-3</v>
      </c>
      <c r="U78" s="5">
        <f>EnergyLJ($A78,$C$2,$C$3,shape_factors!U$2,$C$4,shape_factors!U$3)</f>
        <v>-8.7440026369792669E-3</v>
      </c>
    </row>
    <row r="79" spans="1:21" x14ac:dyDescent="0.25">
      <c r="A79">
        <v>16.399999999999999</v>
      </c>
      <c r="B79" s="5">
        <f>EnergyLJ($A79,$C$2,$C$3,shape_factors!B$2,$C$4,shape_factors!B$3)</f>
        <v>-4.0848628876476355E-2</v>
      </c>
      <c r="C79" s="5">
        <f>EnergyLJ($A79,$C$2,$C$3,shape_factors!C$2,$C$4,shape_factors!C$3)</f>
        <v>-9.3194272633256095E-3</v>
      </c>
      <c r="D79" s="5">
        <f>EnergyLJ($A79,$C$2,$C$3,shape_factors!D$2,$C$4,shape_factors!D$3)</f>
        <v>-5.7873576277730689E-2</v>
      </c>
      <c r="E79" s="5">
        <f>EnergyLJ($A79,$C$2,$C$3,shape_factors!E$2,$C$4,shape_factors!E$3)</f>
        <v>-1.7364815526196439E-2</v>
      </c>
      <c r="F79" s="5">
        <f>EnergyLJ($A79,$C$2,$C$3,shape_factors!F$2,$C$4,shape_factors!F$3)</f>
        <v>-8.0217552557491512E-3</v>
      </c>
      <c r="G79" s="5">
        <f>EnergyLJ($A79,$C$2,$C$3,shape_factors!G$2,$C$4,shape_factors!G$3)</f>
        <v>-1.0846539936602853E-2</v>
      </c>
      <c r="H79" s="5">
        <f>EnergyLJ($A79,$C$2,$C$3,shape_factors!H$2,$C$4,shape_factors!H$3)</f>
        <v>-0.30227892051541094</v>
      </c>
      <c r="I79" s="5">
        <f>EnergyLJ($A79,$C$2,$C$3,shape_factors!I$2,$C$4,shape_factors!I$3)</f>
        <v>-2.2283961391560417E-2</v>
      </c>
      <c r="J79" s="5">
        <f>EnergyLJ($A79,$C$2,$C$3,shape_factors!J$2,$C$4,shape_factors!J$3)</f>
        <v>-4.0623950519590403E-3</v>
      </c>
      <c r="K79" s="5">
        <f>EnergyLJ($A79,$C$2,$C$3,shape_factors!K$2,$C$4,shape_factors!K$3)</f>
        <v>-4.9533091325425389E-3</v>
      </c>
      <c r="L79" s="5">
        <f>EnergyLJ($A79,$C$2,$C$3,shape_factors!L$2,$C$4,shape_factors!L$3)</f>
        <v>-6.895710166251086E-3</v>
      </c>
      <c r="M79" s="5">
        <f>EnergyLJ($A79,$C$2,$C$3,shape_factors!M$2,$C$4,shape_factors!M$3)</f>
        <v>-4.2507979011349225E-3</v>
      </c>
      <c r="N79" s="5">
        <f>EnergyLJ($A79,$C$2,$C$3,shape_factors!N$2,$C$4,shape_factors!N$3)</f>
        <v>-2.6617668918118573E-3</v>
      </c>
      <c r="O79" s="5">
        <f>EnergyLJ($A79,$C$2,$C$3,shape_factors!O$2,$C$4,shape_factors!O$3)</f>
        <v>-2.3715681598477719E-3</v>
      </c>
      <c r="P79" s="5">
        <f>EnergyLJ($A79,$C$2,$C$3,shape_factors!P$2,$C$4,shape_factors!P$3)</f>
        <v>-2.7547347093630986E-3</v>
      </c>
      <c r="Q79" s="5">
        <f>EnergyLJ($A79,$C$2,$C$3,shape_factors!Q$2,$C$4,shape_factors!Q$3)</f>
        <v>-2.8833714091218055E-3</v>
      </c>
      <c r="R79" s="5">
        <f>EnergyLJ($A79,$C$2,$C$3,shape_factors!R$2,$C$4,shape_factors!R$3)</f>
        <v>-8.2553811031098583E-3</v>
      </c>
      <c r="S79" s="5">
        <f>EnergyLJ($A79,$C$2,$C$3,shape_factors!S$2,$C$4,shape_factors!S$3)</f>
        <v>-3.4249255885171847E-3</v>
      </c>
      <c r="T79" s="5">
        <f>EnergyLJ($A79,$C$2,$C$3,shape_factors!T$2,$C$4,shape_factors!T$3)</f>
        <v>-2.200934548616325E-3</v>
      </c>
      <c r="U79" s="5">
        <f>EnergyLJ($A79,$C$2,$C$3,shape_factors!U$2,$C$4,shape_factors!U$3)</f>
        <v>-8.1243623202811293E-3</v>
      </c>
    </row>
    <row r="80" spans="1:21" x14ac:dyDescent="0.25">
      <c r="A80">
        <v>16.600000000000001</v>
      </c>
      <c r="B80" s="5">
        <f>EnergyLJ($A80,$C$2,$C$3,shape_factors!B$2,$C$4,shape_factors!B$3)</f>
        <v>-3.8004508709597679E-2</v>
      </c>
      <c r="C80" s="5">
        <f>EnergyLJ($A80,$C$2,$C$3,shape_factors!C$2,$C$4,shape_factors!C$3)</f>
        <v>-8.6667959984509987E-3</v>
      </c>
      <c r="D80" s="5">
        <f>EnergyLJ($A80,$C$2,$C$3,shape_factors!D$2,$C$4,shape_factors!D$3)</f>
        <v>-5.3856925581746394E-2</v>
      </c>
      <c r="E80" s="5">
        <f>EnergyLJ($A80,$C$2,$C$3,shape_factors!E$2,$C$4,shape_factors!E$3)</f>
        <v>-1.6150543391449123E-2</v>
      </c>
      <c r="F80" s="5">
        <f>EnergyLJ($A80,$C$2,$C$3,shape_factors!F$2,$C$4,shape_factors!F$3)</f>
        <v>-7.4598673673924873E-3</v>
      </c>
      <c r="G80" s="5">
        <f>EnergyLJ($A80,$C$2,$C$3,shape_factors!G$2,$C$4,shape_factors!G$3)</f>
        <v>-1.0087175710749794E-2</v>
      </c>
      <c r="H80" s="5">
        <f>EnergyLJ($A80,$C$2,$C$3,shape_factors!H$2,$C$4,shape_factors!H$3)</f>
        <v>-0.28237769833506582</v>
      </c>
      <c r="I80" s="5">
        <f>EnergyLJ($A80,$C$2,$C$3,shape_factors!I$2,$C$4,shape_factors!I$3)</f>
        <v>-2.0727103646518662E-2</v>
      </c>
      <c r="J80" s="5">
        <f>EnergyLJ($A80,$C$2,$C$3,shape_factors!J$2,$C$4,shape_factors!J$3)</f>
        <v>-3.7776398470426519E-3</v>
      </c>
      <c r="K80" s="5">
        <f>EnergyLJ($A80,$C$2,$C$3,shape_factors!K$2,$C$4,shape_factors!K$3)</f>
        <v>-4.6061604955008589E-3</v>
      </c>
      <c r="L80" s="5">
        <f>EnergyLJ($A80,$C$2,$C$3,shape_factors!L$2,$C$4,shape_factors!L$3)</f>
        <v>-6.4125987133038E-3</v>
      </c>
      <c r="M80" s="5">
        <f>EnergyLJ($A80,$C$2,$C$3,shape_factors!M$2,$C$4,shape_factors!M$3)</f>
        <v>-3.9528466009904183E-3</v>
      </c>
      <c r="N80" s="5">
        <f>EnergyLJ($A80,$C$2,$C$3,shape_factors!N$2,$C$4,shape_factors!N$3)</f>
        <v>-2.475142392586348E-3</v>
      </c>
      <c r="O80" s="5">
        <f>EnergyLJ($A80,$C$2,$C$3,shape_factors!O$2,$C$4,shape_factors!O$3)</f>
        <v>-2.2052817188973196E-3</v>
      </c>
      <c r="P80" s="5">
        <f>EnergyLJ($A80,$C$2,$C$3,shape_factors!P$2,$C$4,shape_factors!P$3)</f>
        <v>-2.5615951753510495E-3</v>
      </c>
      <c r="Q80" s="5">
        <f>EnergyLJ($A80,$C$2,$C$3,shape_factors!Q$2,$C$4,shape_factors!Q$3)</f>
        <v>-2.6812175812715141E-3</v>
      </c>
      <c r="R80" s="5">
        <f>EnergyLJ($A80,$C$2,$C$3,shape_factors!R$2,$C$4,shape_factors!R$3)</f>
        <v>-7.6771531190896834E-3</v>
      </c>
      <c r="S80" s="5">
        <f>EnergyLJ($A80,$C$2,$C$3,shape_factors!S$2,$C$4,shape_factors!S$3)</f>
        <v>-3.1848265954395028E-3</v>
      </c>
      <c r="T80" s="5">
        <f>EnergyLJ($A80,$C$2,$C$3,shape_factors!T$2,$C$4,shape_factors!T$3)</f>
        <v>-2.0466076477258931E-3</v>
      </c>
      <c r="U80" s="5">
        <f>EnergyLJ($A80,$C$2,$C$3,shape_factors!U$2,$C$4,shape_factors!U$3)</f>
        <v>-7.5552977901381692E-3</v>
      </c>
    </row>
    <row r="81" spans="1:21" x14ac:dyDescent="0.25">
      <c r="A81">
        <v>16.8</v>
      </c>
      <c r="B81" s="5">
        <f>EnergyLJ($A81,$C$2,$C$3,shape_factors!B$2,$C$4,shape_factors!B$3)</f>
        <v>-3.5387612067291227E-2</v>
      </c>
      <c r="C81" s="5">
        <f>EnergyLJ($A81,$C$2,$C$3,shape_factors!C$2,$C$4,shape_factors!C$3)</f>
        <v>-8.0668088305627158E-3</v>
      </c>
      <c r="D81" s="5">
        <f>EnergyLJ($A81,$C$2,$C$3,shape_factors!D$2,$C$4,shape_factors!D$3)</f>
        <v>-5.0159452574969218E-2</v>
      </c>
      <c r="E81" s="5">
        <f>EnergyLJ($A81,$C$2,$C$3,shape_factors!E$2,$C$4,shape_factors!E$3)</f>
        <v>-1.5033983773328551E-2</v>
      </c>
      <c r="F81" s="5">
        <f>EnergyLJ($A81,$C$2,$C$3,shape_factors!F$2,$C$4,shape_factors!F$3)</f>
        <v>-6.9433213381089667E-3</v>
      </c>
      <c r="G81" s="5">
        <f>EnergyLJ($A81,$C$2,$C$3,shape_factors!G$2,$C$4,shape_factors!G$3)</f>
        <v>-9.3890372209759626E-3</v>
      </c>
      <c r="H81" s="5">
        <f>EnergyLJ($A81,$C$2,$C$3,shape_factors!H$2,$C$4,shape_factors!H$3)</f>
        <v>-0.26391290766855796</v>
      </c>
      <c r="I81" s="5">
        <f>EnergyLJ($A81,$C$2,$C$3,shape_factors!I$2,$C$4,shape_factors!I$3)</f>
        <v>-1.9295339918207793E-2</v>
      </c>
      <c r="J81" s="5">
        <f>EnergyLJ($A81,$C$2,$C$3,shape_factors!J$2,$C$4,shape_factors!J$3)</f>
        <v>-3.5158901339871537E-3</v>
      </c>
      <c r="K81" s="5">
        <f>EnergyLJ($A81,$C$2,$C$3,shape_factors!K$2,$C$4,shape_factors!K$3)</f>
        <v>-4.2870507451341381E-3</v>
      </c>
      <c r="L81" s="5">
        <f>EnergyLJ($A81,$C$2,$C$3,shape_factors!L$2,$C$4,shape_factors!L$3)</f>
        <v>-5.968485264432717E-3</v>
      </c>
      <c r="M81" s="5">
        <f>EnergyLJ($A81,$C$2,$C$3,shape_factors!M$2,$C$4,shape_factors!M$3)</f>
        <v>-3.6789655687817302E-3</v>
      </c>
      <c r="N81" s="5">
        <f>EnergyLJ($A81,$C$2,$C$3,shape_factors!N$2,$C$4,shape_factors!N$3)</f>
        <v>-2.3036016077974887E-3</v>
      </c>
      <c r="O81" s="5">
        <f>EnergyLJ($A81,$C$2,$C$3,shape_factors!O$2,$C$4,shape_factors!O$3)</f>
        <v>-2.0524363432673962E-3</v>
      </c>
      <c r="P81" s="5">
        <f>EnergyLJ($A81,$C$2,$C$3,shape_factors!P$2,$C$4,shape_factors!P$3)</f>
        <v>-2.3840654975557196E-3</v>
      </c>
      <c r="Q81" s="5">
        <f>EnergyLJ($A81,$C$2,$C$3,shape_factors!Q$2,$C$4,shape_factors!Q$3)</f>
        <v>-2.4954015390327542E-3</v>
      </c>
      <c r="R81" s="5">
        <f>EnergyLJ($A81,$C$2,$C$3,shape_factors!R$2,$C$4,shape_factors!R$3)</f>
        <v>-7.1455823233047217E-3</v>
      </c>
      <c r="S81" s="5">
        <f>EnergyLJ($A81,$C$2,$C$3,shape_factors!S$2,$C$4,shape_factors!S$3)</f>
        <v>-2.9641289574901639E-3</v>
      </c>
      <c r="T81" s="5">
        <f>EnergyLJ($A81,$C$2,$C$3,shape_factors!T$2,$C$4,shape_factors!T$3)</f>
        <v>-1.9047557412173414E-3</v>
      </c>
      <c r="U81" s="5">
        <f>EnergyLJ($A81,$C$2,$C$3,shape_factors!U$2,$C$4,shape_factors!U$3)</f>
        <v>-7.0321528401305474E-3</v>
      </c>
    </row>
    <row r="82" spans="1:21" x14ac:dyDescent="0.25">
      <c r="A82">
        <v>17</v>
      </c>
      <c r="B82" s="5">
        <f>EnergyLJ($A82,$C$2,$C$3,shape_factors!B$2,$C$4,shape_factors!B$3)</f>
        <v>-3.2977578279313975E-2</v>
      </c>
      <c r="C82" s="5">
        <f>EnergyLJ($A82,$C$2,$C$3,shape_factors!C$2,$C$4,shape_factors!C$3)</f>
        <v>-7.5146757944356364E-3</v>
      </c>
      <c r="D82" s="5">
        <f>EnergyLJ($A82,$C$2,$C$3,shape_factors!D$2,$C$4,shape_factors!D$3)</f>
        <v>-4.6752805465134994E-2</v>
      </c>
      <c r="E82" s="5">
        <f>EnergyLJ($A82,$C$2,$C$3,shape_factors!E$2,$C$4,shape_factors!E$3)</f>
        <v>-1.4006279770584738E-2</v>
      </c>
      <c r="F82" s="5">
        <f>EnergyLJ($A82,$C$2,$C$3,shape_factors!F$2,$C$4,shape_factors!F$3)</f>
        <v>-6.4679891119203805E-3</v>
      </c>
      <c r="G82" s="5">
        <f>EnergyLJ($A82,$C$2,$C$3,shape_factors!G$2,$C$4,shape_factors!G$3)</f>
        <v>-8.7465576681342461E-3</v>
      </c>
      <c r="H82" s="5">
        <f>EnergyLJ($A82,$C$2,$C$3,shape_factors!H$2,$C$4,shape_factors!H$3)</f>
        <v>-0.24677799384424637</v>
      </c>
      <c r="I82" s="5">
        <f>EnergyLJ($A82,$C$2,$C$3,shape_factors!I$2,$C$4,shape_factors!I$3)</f>
        <v>-1.7977358086297534E-2</v>
      </c>
      <c r="J82" s="5">
        <f>EnergyLJ($A82,$C$2,$C$3,shape_factors!J$2,$C$4,shape_factors!J$3)</f>
        <v>-3.2750475655527237E-3</v>
      </c>
      <c r="K82" s="5">
        <f>EnergyLJ($A82,$C$2,$C$3,shape_factors!K$2,$C$4,shape_factors!K$3)</f>
        <v>-3.9934234904005347E-3</v>
      </c>
      <c r="L82" s="5">
        <f>EnergyLJ($A82,$C$2,$C$3,shape_factors!L$2,$C$4,shape_factors!L$3)</f>
        <v>-5.5598174615050979E-3</v>
      </c>
      <c r="M82" s="5">
        <f>EnergyLJ($A82,$C$2,$C$3,shape_factors!M$2,$C$4,shape_factors!M$3)</f>
        <v>-3.4269595298251857E-3</v>
      </c>
      <c r="N82" s="5">
        <f>EnergyLJ($A82,$C$2,$C$3,shape_factors!N$2,$C$4,shape_factors!N$3)</f>
        <v>-2.1457678500535629E-3</v>
      </c>
      <c r="O82" s="5">
        <f>EnergyLJ($A82,$C$2,$C$3,shape_factors!O$2,$C$4,shape_factors!O$3)</f>
        <v>-1.9118051055181746E-3</v>
      </c>
      <c r="P82" s="5">
        <f>EnergyLJ($A82,$C$2,$C$3,shape_factors!P$2,$C$4,shape_factors!P$3)</f>
        <v>-2.2207210288789198E-3</v>
      </c>
      <c r="Q82" s="5">
        <f>EnergyLJ($A82,$C$2,$C$3,shape_factors!Q$2,$C$4,shape_factors!Q$3)</f>
        <v>-2.3244322887595922E-3</v>
      </c>
      <c r="R82" s="5">
        <f>EnergyLJ($A82,$C$2,$C$3,shape_factors!R$2,$C$4,shape_factors!R$3)</f>
        <v>-6.6564213719116335E-3</v>
      </c>
      <c r="S82" s="5">
        <f>EnergyLJ($A82,$C$2,$C$3,shape_factors!S$2,$C$4,shape_factors!S$3)</f>
        <v>-2.7610625413011483E-3</v>
      </c>
      <c r="T82" s="5">
        <f>EnergyLJ($A82,$C$2,$C$3,shape_factors!T$2,$C$4,shape_factors!T$3)</f>
        <v>-1.7742399969290167E-3</v>
      </c>
      <c r="U82" s="5">
        <f>EnergyLJ($A82,$C$2,$C$3,shape_factors!U$2,$C$4,shape_factors!U$3)</f>
        <v>-6.5507470172113677E-3</v>
      </c>
    </row>
    <row r="83" spans="1:21" x14ac:dyDescent="0.25">
      <c r="A83">
        <v>17.2</v>
      </c>
      <c r="B83" s="5">
        <f>EnergyLJ($A83,$C$2,$C$3,shape_factors!B$2,$C$4,shape_factors!B$3)</f>
        <v>-3.0756054838740596E-2</v>
      </c>
      <c r="C83" s="5">
        <f>EnergyLJ($A83,$C$2,$C$3,shape_factors!C$2,$C$4,shape_factors!C$3)</f>
        <v>-7.0060906177697559E-3</v>
      </c>
      <c r="D83" s="5">
        <f>EnergyLJ($A83,$C$2,$C$3,shape_factors!D$2,$C$4,shape_factors!D$3)</f>
        <v>-4.3611390294401219E-2</v>
      </c>
      <c r="E83" s="5">
        <f>EnergyLJ($A83,$C$2,$C$3,shape_factors!E$2,$C$4,shape_factors!E$3)</f>
        <v>-1.3059463711215432E-2</v>
      </c>
      <c r="F83" s="5">
        <f>EnergyLJ($A83,$C$2,$C$3,shape_factors!F$2,$C$4,shape_factors!F$3)</f>
        <v>-6.0301598678219369E-3</v>
      </c>
      <c r="G83" s="5">
        <f>EnergyLJ($A83,$C$2,$C$3,shape_factors!G$2,$C$4,shape_factors!G$3)</f>
        <v>-8.1547317826216586E-3</v>
      </c>
      <c r="H83" s="5">
        <f>EnergyLJ($A83,$C$2,$C$3,shape_factors!H$2,$C$4,shape_factors!H$3)</f>
        <v>-0.23087348028197188</v>
      </c>
      <c r="I83" s="5">
        <f>EnergyLJ($A83,$C$2,$C$3,shape_factors!I$2,$C$4,shape_factors!I$3)</f>
        <v>-1.6762977674304472E-2</v>
      </c>
      <c r="J83" s="5">
        <f>EnergyLJ($A83,$C$2,$C$3,shape_factors!J$2,$C$4,shape_factors!J$3)</f>
        <v>-3.053226468993404E-3</v>
      </c>
      <c r="K83" s="5">
        <f>EnergyLJ($A83,$C$2,$C$3,shape_factors!K$2,$C$4,shape_factors!K$3)</f>
        <v>-3.7229812784150382E-3</v>
      </c>
      <c r="L83" s="5">
        <f>EnergyLJ($A83,$C$2,$C$3,shape_factors!L$2,$C$4,shape_factors!L$3)</f>
        <v>-5.183402278153045E-3</v>
      </c>
      <c r="M83" s="5">
        <f>EnergyLJ($A83,$C$2,$C$3,shape_factors!M$2,$C$4,shape_factors!M$3)</f>
        <v>-3.1948556787123271E-3</v>
      </c>
      <c r="N83" s="5">
        <f>EnergyLJ($A83,$C$2,$C$3,shape_factors!N$2,$C$4,shape_factors!N$3)</f>
        <v>-2.0004040993846662E-3</v>
      </c>
      <c r="O83" s="5">
        <f>EnergyLJ($A83,$C$2,$C$3,shape_factors!O$2,$C$4,shape_factors!O$3)</f>
        <v>-1.7822855771899859E-3</v>
      </c>
      <c r="P83" s="5">
        <f>EnergyLJ($A83,$C$2,$C$3,shape_factors!P$2,$C$4,shape_factors!P$3)</f>
        <v>-2.0702816459477343E-3</v>
      </c>
      <c r="Q83" s="5">
        <f>EnergyLJ($A83,$C$2,$C$3,shape_factors!Q$2,$C$4,shape_factors!Q$3)</f>
        <v>-2.1669700776109223E-3</v>
      </c>
      <c r="R83" s="5">
        <f>EnergyLJ($A83,$C$2,$C$3,shape_factors!R$2,$C$4,shape_factors!R$3)</f>
        <v>-6.2058521421704911E-3</v>
      </c>
      <c r="S83" s="5">
        <f>EnergyLJ($A83,$C$2,$C$3,shape_factors!S$2,$C$4,shape_factors!S$3)</f>
        <v>-2.5740367018384312E-3</v>
      </c>
      <c r="T83" s="5">
        <f>EnergyLJ($A83,$C$2,$C$3,shape_factors!T$2,$C$4,shape_factors!T$3)</f>
        <v>-1.6540371560838699E-3</v>
      </c>
      <c r="U83" s="5">
        <f>EnergyLJ($A83,$C$2,$C$3,shape_factors!U$2,$C$4,shape_factors!U$3)</f>
        <v>-6.1073223686999656E-3</v>
      </c>
    </row>
    <row r="84" spans="1:21" x14ac:dyDescent="0.25">
      <c r="A84">
        <v>17.399999999999999</v>
      </c>
      <c r="B84" s="5">
        <f>EnergyLJ($A84,$C$2,$C$3,shape_factors!B$2,$C$4,shape_factors!B$3)</f>
        <v>-2.8706483019625726E-2</v>
      </c>
      <c r="C84" s="5">
        <f>EnergyLJ($A84,$C$2,$C$3,shape_factors!C$2,$C$4,shape_factors!C$3)</f>
        <v>-6.5371772168433713E-3</v>
      </c>
      <c r="D84" s="5">
        <f>EnergyLJ($A84,$C$2,$C$3,shape_factors!D$2,$C$4,shape_factors!D$3)</f>
        <v>-4.0712082908617039E-2</v>
      </c>
      <c r="E84" s="5">
        <f>EnergyLJ($A84,$C$2,$C$3,shape_factors!E$2,$C$4,shape_factors!E$3)</f>
        <v>-1.2186359622512844E-2</v>
      </c>
      <c r="F84" s="5">
        <f>EnergyLJ($A84,$C$2,$C$3,shape_factors!F$2,$C$4,shape_factors!F$3)</f>
        <v>-5.6264938049035151E-3</v>
      </c>
      <c r="G84" s="5">
        <f>EnergyLJ($A84,$C$2,$C$3,shape_factors!G$2,$C$4,shape_factors!G$3)</f>
        <v>-7.6090538085826524E-3</v>
      </c>
      <c r="H84" s="5">
        <f>EnergyLJ($A84,$C$2,$C$3,shape_factors!H$2,$C$4,shape_factors!H$3)</f>
        <v>-0.21610678192007718</v>
      </c>
      <c r="I84" s="5">
        <f>EnergyLJ($A84,$C$2,$C$3,shape_factors!I$2,$C$4,shape_factors!I$3)</f>
        <v>-1.5643026397860985E-2</v>
      </c>
      <c r="J84" s="5">
        <f>EnergyLJ($A84,$C$2,$C$3,shape_factors!J$2,$C$4,shape_factors!J$3)</f>
        <v>-2.8487301940470491E-3</v>
      </c>
      <c r="K84" s="5">
        <f>EnergyLJ($A84,$C$2,$C$3,shape_factors!K$2,$C$4,shape_factors!K$3)</f>
        <v>-3.4736568232718902E-3</v>
      </c>
      <c r="L84" s="5">
        <f>EnergyLJ($A84,$C$2,$C$3,shape_factors!L$2,$C$4,shape_factors!L$3)</f>
        <v>-4.8363661725147932E-3</v>
      </c>
      <c r="M84" s="5">
        <f>EnergyLJ($A84,$C$2,$C$3,shape_factors!M$2,$C$4,shape_factors!M$3)</f>
        <v>-2.9808789427025577E-3</v>
      </c>
      <c r="N84" s="5">
        <f>EnergyLJ($A84,$C$2,$C$3,shape_factors!N$2,$C$4,shape_factors!N$3)</f>
        <v>-1.8663974486365421E-3</v>
      </c>
      <c r="O84" s="5">
        <f>EnergyLJ($A84,$C$2,$C$3,shape_factors!O$2,$C$4,shape_factors!O$3)</f>
        <v>-1.6628859594629538E-3</v>
      </c>
      <c r="P84" s="5">
        <f>EnergyLJ($A84,$C$2,$C$3,shape_factors!P$2,$C$4,shape_factors!P$3)</f>
        <v>-1.9315956551658638E-3</v>
      </c>
      <c r="Q84" s="5">
        <f>EnergyLJ($A84,$C$2,$C$3,shape_factors!Q$2,$C$4,shape_factors!Q$3)</f>
        <v>-2.0218095537687334E-3</v>
      </c>
      <c r="R84" s="5">
        <f>EnergyLJ($A84,$C$2,$C$3,shape_factors!R$2,$C$4,shape_factors!R$3)</f>
        <v>-5.7904382013602464E-3</v>
      </c>
      <c r="S84" s="5">
        <f>EnergyLJ($A84,$C$2,$C$3,shape_factors!S$2,$C$4,shape_factors!S$3)</f>
        <v>-2.4016203082840404E-3</v>
      </c>
      <c r="T84" s="5">
        <f>EnergyLJ($A84,$C$2,$C$3,shape_factors!T$2,$C$4,shape_factors!T$3)</f>
        <v>-1.5432266560755764E-3</v>
      </c>
      <c r="U84" s="5">
        <f>EnergyLJ($A84,$C$2,$C$3,shape_factors!U$2,$C$4,shape_factors!U$3)</f>
        <v>-5.6984966491254556E-3</v>
      </c>
    </row>
    <row r="85" spans="1:21" x14ac:dyDescent="0.25">
      <c r="A85">
        <v>17.600000000000001</v>
      </c>
      <c r="B85" s="5">
        <f>EnergyLJ($A85,$C$2,$C$3,shape_factors!B$2,$C$4,shape_factors!B$3)</f>
        <v>-2.6813907861232479E-2</v>
      </c>
      <c r="C85" s="5">
        <f>EnergyLJ($A85,$C$2,$C$3,shape_factors!C$2,$C$4,shape_factors!C$3)</f>
        <v>-6.1044426051630237E-3</v>
      </c>
      <c r="D85" s="5">
        <f>EnergyLJ($A85,$C$2,$C$3,shape_factors!D$2,$C$4,shape_factors!D$3)</f>
        <v>-3.8033972530163461E-2</v>
      </c>
      <c r="E85" s="5">
        <f>EnergyLJ($A85,$C$2,$C$3,shape_factors!E$2,$C$4,shape_factors!E$3)</f>
        <v>-1.1380497248127853E-2</v>
      </c>
      <c r="F85" s="5">
        <f>EnergyLJ($A85,$C$2,$C$3,shape_factors!F$2,$C$4,shape_factors!F$3)</f>
        <v>-5.2539814773627305E-3</v>
      </c>
      <c r="G85" s="5">
        <f>EnergyLJ($A85,$C$2,$C$3,shape_factors!G$2,$C$4,shape_factors!G$3)</f>
        <v>-7.105462904391153E-3</v>
      </c>
      <c r="H85" s="5">
        <f>EnergyLJ($A85,$C$2,$C$3,shape_factors!H$2,$C$4,shape_factors!H$3)</f>
        <v>-0.20239193876723519</v>
      </c>
      <c r="I85" s="5">
        <f>EnergyLJ($A85,$C$2,$C$3,shape_factors!I$2,$C$4,shape_factors!I$3)</f>
        <v>-1.460923121384051E-2</v>
      </c>
      <c r="J85" s="5">
        <f>EnergyLJ($A85,$C$2,$C$3,shape_factors!J$2,$C$4,shape_factors!J$3)</f>
        <v>-2.6600303175660137E-3</v>
      </c>
      <c r="K85" s="5">
        <f>EnergyLJ($A85,$C$2,$C$3,shape_factors!K$2,$C$4,shape_factors!K$3)</f>
        <v>-3.2435877053707267E-3</v>
      </c>
      <c r="L85" s="5">
        <f>EnergyLJ($A85,$C$2,$C$3,shape_factors!L$2,$C$4,shape_factors!L$3)</f>
        <v>-4.5161200330642252E-3</v>
      </c>
      <c r="M85" s="5">
        <f>EnergyLJ($A85,$C$2,$C$3,shape_factors!M$2,$C$4,shape_factors!M$3)</f>
        <v>-2.7834302319501591E-3</v>
      </c>
      <c r="N85" s="5">
        <f>EnergyLJ($A85,$C$2,$C$3,shape_factors!N$2,$C$4,shape_factors!N$3)</f>
        <v>-1.742745431247851E-3</v>
      </c>
      <c r="O85" s="5">
        <f>EnergyLJ($A85,$C$2,$C$3,shape_factors!O$2,$C$4,shape_factors!O$3)</f>
        <v>-1.5527128929386375E-3</v>
      </c>
      <c r="P85" s="5">
        <f>EnergyLJ($A85,$C$2,$C$3,shape_factors!P$2,$C$4,shape_factors!P$3)</f>
        <v>-1.8036256461632452E-3</v>
      </c>
      <c r="Q85" s="5">
        <f>EnergyLJ($A85,$C$2,$C$3,shape_factors!Q$2,$C$4,shape_factors!Q$3)</f>
        <v>-1.8878649639321732E-3</v>
      </c>
      <c r="R85" s="5">
        <f>EnergyLJ($A85,$C$2,$C$3,shape_factors!R$2,$C$4,shape_factors!R$3)</f>
        <v>-5.4070829816903138E-3</v>
      </c>
      <c r="S85" s="5">
        <f>EnergyLJ($A85,$C$2,$C$3,shape_factors!S$2,$C$4,shape_factors!S$3)</f>
        <v>-2.2425241845358966E-3</v>
      </c>
      <c r="T85" s="5">
        <f>EnergyLJ($A85,$C$2,$C$3,shape_factors!T$2,$C$4,shape_factors!T$3)</f>
        <v>-1.4409793126364851E-3</v>
      </c>
      <c r="U85" s="5">
        <f>EnergyLJ($A85,$C$2,$C$3,shape_factors!U$2,$C$4,shape_factors!U$3)</f>
        <v>-5.3212221455608165E-3</v>
      </c>
    </row>
    <row r="86" spans="1:21" x14ac:dyDescent="0.25">
      <c r="A86">
        <v>17.8</v>
      </c>
      <c r="B86" s="5">
        <f>EnergyLJ($A86,$C$2,$C$3,shape_factors!B$2,$C$4,shape_factors!B$3)</f>
        <v>-2.5064809624279847E-2</v>
      </c>
      <c r="C86" s="5">
        <f>EnergyLJ($A86,$C$2,$C$3,shape_factors!C$2,$C$4,shape_factors!C$3)</f>
        <v>-5.7047353900090041E-3</v>
      </c>
      <c r="D86" s="5">
        <f>EnergyLJ($A86,$C$2,$C$3,shape_factors!D$2,$C$4,shape_factors!D$3)</f>
        <v>-3.5558133396442593E-2</v>
      </c>
      <c r="E86" s="5">
        <f>EnergyLJ($A86,$C$2,$C$3,shape_factors!E$2,$C$4,shape_factors!E$3)</f>
        <v>-1.063603615234985E-2</v>
      </c>
      <c r="F86" s="5">
        <f>EnergyLJ($A86,$C$2,$C$3,shape_factors!F$2,$C$4,shape_factors!F$3)</f>
        <v>-4.9099079634376376E-3</v>
      </c>
      <c r="G86" s="5">
        <f>EnergyLJ($A86,$C$2,$C$3,shape_factors!G$2,$C$4,shape_factors!G$3)</f>
        <v>-6.6402950082836967E-3</v>
      </c>
      <c r="H86" s="5">
        <f>EnergyLJ($A86,$C$2,$C$3,shape_factors!H$2,$C$4,shape_factors!H$3)</f>
        <v>-0.18964929835285999</v>
      </c>
      <c r="I86" s="5">
        <f>EnergyLJ($A86,$C$2,$C$3,shape_factors!I$2,$C$4,shape_factors!I$3)</f>
        <v>-1.3654122058198321E-2</v>
      </c>
      <c r="J86" s="5">
        <f>EnergyLJ($A86,$C$2,$C$3,shape_factors!J$2,$C$4,shape_factors!J$3)</f>
        <v>-2.4857483333202996E-3</v>
      </c>
      <c r="K86" s="5">
        <f>EnergyLJ($A86,$C$2,$C$3,shape_factors!K$2,$C$4,shape_factors!K$3)</f>
        <v>-3.0310940907469189E-3</v>
      </c>
      <c r="L86" s="5">
        <f>EnergyLJ($A86,$C$2,$C$3,shape_factors!L$2,$C$4,shape_factors!L$3)</f>
        <v>-4.2203282977666071E-3</v>
      </c>
      <c r="M86" s="5">
        <f>EnergyLJ($A86,$C$2,$C$3,shape_factors!M$2,$C$4,shape_factors!M$3)</f>
        <v>-2.6010672883113343E-3</v>
      </c>
      <c r="N86" s="5">
        <f>EnergyLJ($A86,$C$2,$C$3,shape_factors!N$2,$C$4,shape_factors!N$3)</f>
        <v>-1.6285439859620543E-3</v>
      </c>
      <c r="O86" s="5">
        <f>EnergyLJ($A86,$C$2,$C$3,shape_factors!O$2,$C$4,shape_factors!O$3)</f>
        <v>-1.450960727475772E-3</v>
      </c>
      <c r="P86" s="5">
        <f>EnergyLJ($A86,$C$2,$C$3,shape_factors!P$2,$C$4,shape_factors!P$3)</f>
        <v>-1.6854360387633879E-3</v>
      </c>
      <c r="Q86" s="5">
        <f>EnergyLJ($A86,$C$2,$C$3,shape_factors!Q$2,$C$4,shape_factors!Q$3)</f>
        <v>-1.7641571225558573E-3</v>
      </c>
      <c r="R86" s="5">
        <f>EnergyLJ($A86,$C$2,$C$3,shape_factors!R$2,$C$4,shape_factors!R$3)</f>
        <v>-5.0529929254509148E-3</v>
      </c>
      <c r="S86" s="5">
        <f>EnergyLJ($A86,$C$2,$C$3,shape_factors!S$2,$C$4,shape_factors!S$3)</f>
        <v>-2.0955856499440023E-3</v>
      </c>
      <c r="T86" s="5">
        <f>EnergyLJ($A86,$C$2,$C$3,shape_factors!T$2,$C$4,shape_factors!T$3)</f>
        <v>-1.3465473578745312E-3</v>
      </c>
      <c r="U86" s="5">
        <f>EnergyLJ($A86,$C$2,$C$3,shape_factors!U$2,$C$4,shape_factors!U$3)</f>
        <v>-4.972749396778357E-3</v>
      </c>
    </row>
    <row r="87" spans="1:21" x14ac:dyDescent="0.25">
      <c r="A87">
        <v>18</v>
      </c>
      <c r="B87" s="5">
        <f>EnergyLJ($A87,$C$2,$C$3,shape_factors!B$2,$C$4,shape_factors!B$3)</f>
        <v>-2.344695417526375E-2</v>
      </c>
      <c r="C87" s="5">
        <f>EnergyLJ($A87,$C$2,$C$3,shape_factors!C$2,$C$4,shape_factors!C$3)</f>
        <v>-5.3352091447762505E-3</v>
      </c>
      <c r="D87" s="5">
        <f>EnergyLJ($A87,$C$2,$C$3,shape_factors!D$2,$C$4,shape_factors!D$3)</f>
        <v>-3.3267421309986375E-2</v>
      </c>
      <c r="E87" s="5">
        <f>EnergyLJ($A87,$C$2,$C$3,shape_factors!E$2,$C$4,shape_factors!E$3)</f>
        <v>-9.9476986468015633E-3</v>
      </c>
      <c r="F87" s="5">
        <f>EnergyLJ($A87,$C$2,$C$3,shape_factors!F$2,$C$4,shape_factors!F$3)</f>
        <v>-4.5918212507076069E-3</v>
      </c>
      <c r="G87" s="5">
        <f>EnergyLJ($A87,$C$2,$C$3,shape_factors!G$2,$C$4,shape_factors!G$3)</f>
        <v>-6.2102403476945846E-3</v>
      </c>
      <c r="H87" s="5">
        <f>EnergyLJ($A87,$C$2,$C$3,shape_factors!H$2,$C$4,shape_factors!H$3)</f>
        <v>-0.17780516838496493</v>
      </c>
      <c r="I87" s="5">
        <f>EnergyLJ($A87,$C$2,$C$3,shape_factors!I$2,$C$4,shape_factors!I$3)</f>
        <v>-1.2770946698364144E-2</v>
      </c>
      <c r="J87" s="5">
        <f>EnergyLJ($A87,$C$2,$C$3,shape_factors!J$2,$C$4,shape_factors!J$3)</f>
        <v>-2.3246395071278218E-3</v>
      </c>
      <c r="K87" s="5">
        <f>EnergyLJ($A87,$C$2,$C$3,shape_factors!K$2,$C$4,shape_factors!K$3)</f>
        <v>-2.8346590823628702E-3</v>
      </c>
      <c r="L87" s="5">
        <f>EnergyLJ($A87,$C$2,$C$3,shape_factors!L$2,$C$4,shape_factors!L$3)</f>
        <v>-3.9468817122642191E-3</v>
      </c>
      <c r="M87" s="5">
        <f>EnergyLJ($A87,$C$2,$C$3,shape_factors!M$2,$C$4,shape_factors!M$3)</f>
        <v>-2.4324877984056065E-3</v>
      </c>
      <c r="N87" s="5">
        <f>EnergyLJ($A87,$C$2,$C$3,shape_factors!N$2,$C$4,shape_factors!N$3)</f>
        <v>-1.5229768472614115E-3</v>
      </c>
      <c r="O87" s="5">
        <f>EnergyLJ($A87,$C$2,$C$3,shape_factors!O$2,$C$4,shape_factors!O$3)</f>
        <v>-1.3569020635919057E-3</v>
      </c>
      <c r="P87" s="5">
        <f>EnergyLJ($A87,$C$2,$C$3,shape_factors!P$2,$C$4,shape_factors!P$3)</f>
        <v>-1.5761821049917154E-3</v>
      </c>
      <c r="Q87" s="5">
        <f>EnergyLJ($A87,$C$2,$C$3,shape_factors!Q$2,$C$4,shape_factors!Q$3)</f>
        <v>-1.6498019243169862E-3</v>
      </c>
      <c r="R87" s="5">
        <f>EnergyLJ($A87,$C$2,$C$3,shape_factors!R$2,$C$4,shape_factors!R$3)</f>
        <v>-4.7256449657184021E-3</v>
      </c>
      <c r="S87" s="5">
        <f>EnergyLJ($A87,$C$2,$C$3,shape_factors!S$2,$C$4,shape_factors!S$3)</f>
        <v>-1.9597548896651534E-3</v>
      </c>
      <c r="T87" s="5">
        <f>EnergyLJ($A87,$C$2,$C$3,shape_factors!T$2,$C$4,shape_factors!T$3)</f>
        <v>-1.2592556590872253E-3</v>
      </c>
      <c r="U87" s="5">
        <f>EnergyLJ($A87,$C$2,$C$3,shape_factors!U$2,$C$4,shape_factors!U$3)</f>
        <v>-4.6505951811447455E-3</v>
      </c>
    </row>
    <row r="88" spans="1:21" x14ac:dyDescent="0.25">
      <c r="A88">
        <v>18.2</v>
      </c>
      <c r="B88" s="5">
        <f>EnergyLJ($A88,$C$2,$C$3,shape_factors!B$2,$C$4,shape_factors!B$3)</f>
        <v>-2.194926006397754E-2</v>
      </c>
      <c r="C88" s="5">
        <f>EnergyLJ($A88,$C$2,$C$3,shape_factors!C$2,$C$4,shape_factors!C$3)</f>
        <v>-4.9932900416664767E-3</v>
      </c>
      <c r="D88" s="5">
        <f>EnergyLJ($A88,$C$2,$C$3,shape_factors!D$2,$C$4,shape_factors!D$3)</f>
        <v>-3.1146292294684193E-2</v>
      </c>
      <c r="E88" s="5">
        <f>EnergyLJ($A88,$C$2,$C$3,shape_factors!E$2,$C$4,shape_factors!E$3)</f>
        <v>-9.3107104425307688E-3</v>
      </c>
      <c r="F88" s="5">
        <f>EnergyLJ($A88,$C$2,$C$3,shape_factors!F$2,$C$4,shape_factors!F$3)</f>
        <v>-4.2975043043227421E-3</v>
      </c>
      <c r="G88" s="5">
        <f>EnergyLJ($A88,$C$2,$C$3,shape_factors!G$2,$C$4,shape_factors!G$3)</f>
        <v>-5.8123058818818291E-3</v>
      </c>
      <c r="H88" s="5">
        <f>EnergyLJ($A88,$C$2,$C$3,shape_factors!H$2,$C$4,shape_factors!H$3)</f>
        <v>-0.16679145524532007</v>
      </c>
      <c r="I88" s="5">
        <f>EnergyLJ($A88,$C$2,$C$3,shape_factors!I$2,$C$4,shape_factors!I$3)</f>
        <v>-1.1953595331622324E-2</v>
      </c>
      <c r="J88" s="5">
        <f>EnergyLJ($A88,$C$2,$C$3,shape_factors!J$2,$C$4,shape_factors!J$3)</f>
        <v>-2.1755786214725089E-3</v>
      </c>
      <c r="K88" s="5">
        <f>EnergyLJ($A88,$C$2,$C$3,shape_factors!K$2,$C$4,shape_factors!K$3)</f>
        <v>-2.6529113685876344E-3</v>
      </c>
      <c r="L88" s="5">
        <f>EnergyLJ($A88,$C$2,$C$3,shape_factors!L$2,$C$4,shape_factors!L$3)</f>
        <v>-3.693873265781624E-3</v>
      </c>
      <c r="M88" s="5">
        <f>EnergyLJ($A88,$C$2,$C$3,shape_factors!M$2,$C$4,shape_factors!M$3)</f>
        <v>-2.2765144825826768E-3</v>
      </c>
      <c r="N88" s="5">
        <f>EnergyLJ($A88,$C$2,$C$3,shape_factors!N$2,$C$4,shape_factors!N$3)</f>
        <v>-1.4253061794704176E-3</v>
      </c>
      <c r="O88" s="5">
        <f>EnergyLJ($A88,$C$2,$C$3,shape_factors!O$2,$C$4,shape_factors!O$3)</f>
        <v>-1.2698794029835584E-3</v>
      </c>
      <c r="P88" s="5">
        <f>EnergyLJ($A88,$C$2,$C$3,shape_factors!P$2,$C$4,shape_factors!P$3)</f>
        <v>-1.4751002778040651E-3</v>
      </c>
      <c r="Q88" s="5">
        <f>EnergyLJ($A88,$C$2,$C$3,shape_factors!Q$2,$C$4,shape_factors!Q$3)</f>
        <v>-1.5440002028274692E-3</v>
      </c>
      <c r="R88" s="5">
        <f>EnergyLJ($A88,$C$2,$C$3,shape_factors!R$2,$C$4,shape_factors!R$3)</f>
        <v>-4.4227577943238457E-3</v>
      </c>
      <c r="S88" s="5">
        <f>EnergyLJ($A88,$C$2,$C$3,shape_factors!S$2,$C$4,shape_factors!S$3)</f>
        <v>-1.8340829213100082E-3</v>
      </c>
      <c r="T88" s="5">
        <f>EnergyLJ($A88,$C$2,$C$3,shape_factors!T$2,$C$4,shape_factors!T$3)</f>
        <v>-1.1784939674607897E-3</v>
      </c>
      <c r="U88" s="5">
        <f>EnergyLJ($A88,$C$2,$C$3,shape_factors!U$2,$C$4,shape_factors!U$3)</f>
        <v>-4.3525142332882169E-3</v>
      </c>
    </row>
    <row r="89" spans="1:21" x14ac:dyDescent="0.25">
      <c r="A89">
        <v>18.399999999999999</v>
      </c>
      <c r="B89" s="5">
        <f>EnergyLJ($A89,$C$2,$C$3,shape_factors!B$2,$C$4,shape_factors!B$3)</f>
        <v>-2.0561680331255591E-2</v>
      </c>
      <c r="C89" s="5">
        <f>EnergyLJ($A89,$C$2,$C$3,shape_factors!C$2,$C$4,shape_factors!C$3)</f>
        <v>-4.6766482120757114E-3</v>
      </c>
      <c r="D89" s="5">
        <f>EnergyLJ($A89,$C$2,$C$3,shape_factors!D$2,$C$4,shape_factors!D$3)</f>
        <v>-2.9180640866905968E-2</v>
      </c>
      <c r="E89" s="5">
        <f>EnergyLJ($A89,$C$2,$C$3,shape_factors!E$2,$C$4,shape_factors!E$3)</f>
        <v>-8.7207480749609319E-3</v>
      </c>
      <c r="F89" s="5">
        <f>EnergyLJ($A89,$C$2,$C$3,shape_factors!F$2,$C$4,shape_factors!F$3)</f>
        <v>-4.0249503567086412E-3</v>
      </c>
      <c r="G89" s="5">
        <f>EnergyLJ($A89,$C$2,$C$3,shape_factors!G$2,$C$4,shape_factors!G$3)</f>
        <v>-5.4437820626304723E-3</v>
      </c>
      <c r="H89" s="5">
        <f>EnergyLJ($A89,$C$2,$C$3,shape_factors!H$2,$C$4,shape_factors!H$3)</f>
        <v>-0.15654529963919747</v>
      </c>
      <c r="I89" s="5">
        <f>EnergyLJ($A89,$C$2,$C$3,shape_factors!I$2,$C$4,shape_factors!I$3)</f>
        <v>-1.1196533738613427E-2</v>
      </c>
      <c r="J89" s="5">
        <f>EnergyLJ($A89,$C$2,$C$3,shape_factors!J$2,$C$4,shape_factors!J$3)</f>
        <v>-2.0375473713459143E-3</v>
      </c>
      <c r="K89" s="5">
        <f>EnergyLJ($A89,$C$2,$C$3,shape_factors!K$2,$C$4,shape_factors!K$3)</f>
        <v>-2.484609879600818E-3</v>
      </c>
      <c r="L89" s="5">
        <f>EnergyLJ($A89,$C$2,$C$3,shape_factors!L$2,$C$4,shape_factors!L$3)</f>
        <v>-3.4595769058626885E-3</v>
      </c>
      <c r="M89" s="5">
        <f>EnergyLJ($A89,$C$2,$C$3,shape_factors!M$2,$C$4,shape_factors!M$3)</f>
        <v>-2.1320819107077701E-3</v>
      </c>
      <c r="N89" s="5">
        <f>EnergyLJ($A89,$C$2,$C$3,shape_factors!N$2,$C$4,shape_factors!N$3)</f>
        <v>-1.3348642973548225E-3</v>
      </c>
      <c r="O89" s="5">
        <f>EnergyLJ($A89,$C$2,$C$3,shape_factors!O$2,$C$4,shape_factors!O$3)</f>
        <v>-1.1892977679317258E-3</v>
      </c>
      <c r="P89" s="5">
        <f>EnergyLJ($A89,$C$2,$C$3,shape_factors!P$2,$C$4,shape_factors!P$3)</f>
        <v>-1.3814995839445277E-3</v>
      </c>
      <c r="Q89" s="5">
        <f>EnergyLJ($A89,$C$2,$C$3,shape_factors!Q$2,$C$4,shape_factors!Q$3)</f>
        <v>-1.446028765512994E-3</v>
      </c>
      <c r="R89" s="5">
        <f>EnergyLJ($A89,$C$2,$C$3,shape_factors!R$2,$C$4,shape_factors!R$3)</f>
        <v>-4.1422664427416059E-3</v>
      </c>
      <c r="S89" s="5">
        <f>EnergyLJ($A89,$C$2,$C$3,shape_factors!S$2,$C$4,shape_factors!S$3)</f>
        <v>-1.7177109563867362E-3</v>
      </c>
      <c r="T89" s="5">
        <f>EnergyLJ($A89,$C$2,$C$3,shape_factors!T$2,$C$4,shape_factors!T$3)</f>
        <v>-1.1037100664045339E-3</v>
      </c>
      <c r="U89" s="5">
        <f>EnergyLJ($A89,$C$2,$C$3,shape_factors!U$2,$C$4,shape_factors!U$3)</f>
        <v>-4.0764742224196834E-3</v>
      </c>
    </row>
    <row r="90" spans="1:21" x14ac:dyDescent="0.25">
      <c r="A90">
        <v>18.600000000000001</v>
      </c>
      <c r="B90" s="5">
        <f>EnergyLJ($A90,$C$2,$C$3,shape_factors!B$2,$C$4,shape_factors!B$3)</f>
        <v>-1.9275097322797963E-2</v>
      </c>
      <c r="C90" s="5">
        <f>EnergyLJ($A90,$C$2,$C$3,shape_factors!C$2,$C$4,shape_factors!C$3)</f>
        <v>-4.3831723730302832E-3</v>
      </c>
      <c r="D90" s="5">
        <f>EnergyLJ($A90,$C$2,$C$3,shape_factors!D$2,$C$4,shape_factors!D$3)</f>
        <v>-2.7357655712208061E-2</v>
      </c>
      <c r="E90" s="5">
        <f>EnergyLJ($A90,$C$2,$C$3,shape_factors!E$2,$C$4,shape_factors!E$3)</f>
        <v>-8.1738922736906711E-3</v>
      </c>
      <c r="F90" s="5">
        <f>EnergyLJ($A90,$C$2,$C$3,shape_factors!F$2,$C$4,shape_factors!F$3)</f>
        <v>-3.772341018992471E-3</v>
      </c>
      <c r="G90" s="5">
        <f>EnergyLJ($A90,$C$2,$C$3,shape_factors!G$2,$C$4,shape_factors!G$3)</f>
        <v>-5.1022133795442254E-3</v>
      </c>
      <c r="H90" s="5">
        <f>EnergyLJ($A90,$C$2,$C$3,shape_factors!H$2,$C$4,shape_factors!H$3)</f>
        <v>-0.14700871745049629</v>
      </c>
      <c r="I90" s="5">
        <f>EnergyLJ($A90,$C$2,$C$3,shape_factors!I$2,$C$4,shape_factors!I$3)</f>
        <v>-1.0494743954757796E-2</v>
      </c>
      <c r="J90" s="5">
        <f>EnergyLJ($A90,$C$2,$C$3,shape_factors!J$2,$C$4,shape_factors!J$3)</f>
        <v>-1.9096232051848175E-3</v>
      </c>
      <c r="K90" s="5">
        <f>EnergyLJ($A90,$C$2,$C$3,shape_factors!K$2,$C$4,shape_factors!K$3)</f>
        <v>-2.3286302013972647E-3</v>
      </c>
      <c r="L90" s="5">
        <f>EnergyLJ($A90,$C$2,$C$3,shape_factors!L$2,$C$4,shape_factors!L$3)</f>
        <v>-3.2424286865203678E-3</v>
      </c>
      <c r="M90" s="5">
        <f>EnergyLJ($A90,$C$2,$C$3,shape_factors!M$2,$C$4,shape_factors!M$3)</f>
        <v>-1.9982248292614757E-3</v>
      </c>
      <c r="N90" s="5">
        <f>EnergyLJ($A90,$C$2,$C$3,shape_factors!N$2,$C$4,shape_factors!N$3)</f>
        <v>-1.2510463373052096E-3</v>
      </c>
      <c r="O90" s="5">
        <f>EnergyLJ($A90,$C$2,$C$3,shape_factors!O$2,$C$4,shape_factors!O$3)</f>
        <v>-1.1146181683421913E-3</v>
      </c>
      <c r="P90" s="5">
        <f>EnergyLJ($A90,$C$2,$C$3,shape_factors!P$2,$C$4,shape_factors!P$3)</f>
        <v>-1.2947540603330998E-3</v>
      </c>
      <c r="Q90" s="5">
        <f>EnergyLJ($A90,$C$2,$C$3,shape_factors!Q$2,$C$4,shape_factors!Q$3)</f>
        <v>-1.3552324575787479E-3</v>
      </c>
      <c r="R90" s="5">
        <f>EnergyLJ($A90,$C$2,$C$3,shape_factors!R$2,$C$4,shape_factors!R$3)</f>
        <v>-3.8822997649438458E-3</v>
      </c>
      <c r="S90" s="5">
        <f>EnergyLJ($A90,$C$2,$C$3,shape_factors!S$2,$C$4,shape_factors!S$3)</f>
        <v>-1.609860982260121E-3</v>
      </c>
      <c r="T90" s="5">
        <f>EnergyLJ($A90,$C$2,$C$3,shape_factors!T$2,$C$4,shape_factors!T$3)</f>
        <v>-1.0344037069081225E-3</v>
      </c>
      <c r="U90" s="5">
        <f>EnergyLJ($A90,$C$2,$C$3,shape_factors!U$2,$C$4,shape_factors!U$3)</f>
        <v>-3.8206335876316659E-3</v>
      </c>
    </row>
    <row r="91" spans="1:21" x14ac:dyDescent="0.25">
      <c r="A91">
        <v>18.8</v>
      </c>
      <c r="B91" s="5">
        <f>EnergyLJ($A91,$C$2,$C$3,shape_factors!B$2,$C$4,shape_factors!B$3)</f>
        <v>-1.8081228994487362E-2</v>
      </c>
      <c r="C91" s="5">
        <f>EnergyLJ($A91,$C$2,$C$3,shape_factors!C$2,$C$4,shape_factors!C$3)</f>
        <v>-4.1109473190135103E-3</v>
      </c>
      <c r="D91" s="5">
        <f>EnergyLJ($A91,$C$2,$C$3,shape_factors!D$2,$C$4,shape_factors!D$3)</f>
        <v>-2.5665690810149404E-2</v>
      </c>
      <c r="E91" s="5">
        <f>EnergyLJ($A91,$C$2,$C$3,shape_factors!E$2,$C$4,shape_factors!E$3)</f>
        <v>-7.6665865565629402E-3</v>
      </c>
      <c r="F91" s="5">
        <f>EnergyLJ($A91,$C$2,$C$3,shape_factors!F$2,$C$4,shape_factors!F$3)</f>
        <v>-3.5380268673541075E-3</v>
      </c>
      <c r="G91" s="5">
        <f>EnergyLJ($A91,$C$2,$C$3,shape_factors!G$2,$C$4,shape_factors!G$3)</f>
        <v>-4.7853722266849802E-3</v>
      </c>
      <c r="H91" s="5">
        <f>EnergyLJ($A91,$C$2,$C$3,shape_factors!H$2,$C$4,shape_factors!H$3)</f>
        <v>-0.13812825138745041</v>
      </c>
      <c r="I91" s="5">
        <f>EnergyLJ($A91,$C$2,$C$3,shape_factors!I$2,$C$4,shape_factors!I$3)</f>
        <v>-9.8436715553692454E-3</v>
      </c>
      <c r="J91" s="5">
        <f>EnergyLJ($A91,$C$2,$C$3,shape_factors!J$2,$C$4,shape_factors!J$3)</f>
        <v>-1.7909694323071902E-3</v>
      </c>
      <c r="K91" s="5">
        <f>EnergyLJ($A91,$C$2,$C$3,shape_factors!K$2,$C$4,shape_factors!K$3)</f>
        <v>-2.1839525304416007E-3</v>
      </c>
      <c r="L91" s="5">
        <f>EnergyLJ($A91,$C$2,$C$3,shape_factors!L$2,$C$4,shape_factors!L$3)</f>
        <v>-3.0410100502476717E-3</v>
      </c>
      <c r="M91" s="5">
        <f>EnergyLJ($A91,$C$2,$C$3,shape_factors!M$2,$C$4,shape_factors!M$3)</f>
        <v>-1.8740678130213179E-3</v>
      </c>
      <c r="N91" s="5">
        <f>EnergyLJ($A91,$C$2,$C$3,shape_factors!N$2,$C$4,shape_factors!N$3)</f>
        <v>-1.1733037613966631E-3</v>
      </c>
      <c r="O91" s="5">
        <f>EnergyLJ($A91,$C$2,$C$3,shape_factors!O$2,$C$4,shape_factors!O$3)</f>
        <v>-1.0453518114185167E-3</v>
      </c>
      <c r="P91" s="5">
        <f>EnergyLJ($A91,$C$2,$C$3,shape_factors!P$2,$C$4,shape_factors!P$3)</f>
        <v>-1.2142960322106861E-3</v>
      </c>
      <c r="Q91" s="5">
        <f>EnergyLJ($A91,$C$2,$C$3,shape_factors!Q$2,$C$4,shape_factors!Q$3)</f>
        <v>-1.2710171276713149E-3</v>
      </c>
      <c r="R91" s="5">
        <f>EnergyLJ($A91,$C$2,$C$3,shape_factors!R$2,$C$4,shape_factors!R$3)</f>
        <v>-3.6411604656815815E-3</v>
      </c>
      <c r="S91" s="5">
        <f>EnergyLJ($A91,$C$2,$C$3,shape_factors!S$2,$C$4,shape_factors!S$3)</f>
        <v>-1.5098274136512145E-3</v>
      </c>
      <c r="T91" s="5">
        <f>EnergyLJ($A91,$C$2,$C$3,shape_factors!T$2,$C$4,shape_factors!T$3)</f>
        <v>-9.7012123240525986E-4</v>
      </c>
      <c r="U91" s="5">
        <f>EnergyLJ($A91,$C$2,$C$3,shape_factors!U$2,$C$4,shape_factors!U$3)</f>
        <v>-3.583321879097121E-3</v>
      </c>
    </row>
    <row r="92" spans="1:21" x14ac:dyDescent="0.25">
      <c r="A92">
        <v>19</v>
      </c>
      <c r="B92" s="5">
        <f>EnergyLJ($A92,$C$2,$C$3,shape_factors!B$2,$C$4,shape_factors!B$3)</f>
        <v>-1.6972545378328426E-2</v>
      </c>
      <c r="C92" s="5">
        <f>EnergyLJ($A92,$C$2,$C$3,shape_factors!C$2,$C$4,shape_factors!C$3)</f>
        <v>-3.8582339309809286E-3</v>
      </c>
      <c r="D92" s="5">
        <f>EnergyLJ($A92,$C$2,$C$3,shape_factors!D$2,$C$4,shape_factors!D$3)</f>
        <v>-2.4094150274006968E-2</v>
      </c>
      <c r="E92" s="5">
        <f>EnergyLJ($A92,$C$2,$C$3,shape_factors!E$2,$C$4,shape_factors!E$3)</f>
        <v>-7.1956004201991193E-3</v>
      </c>
      <c r="F92" s="5">
        <f>EnergyLJ($A92,$C$2,$C$3,shape_factors!F$2,$C$4,shape_factors!F$3)</f>
        <v>-3.3205102030263206E-3</v>
      </c>
      <c r="G92" s="5">
        <f>EnergyLJ($A92,$C$2,$C$3,shape_factors!G$2,$C$4,shape_factors!G$3)</f>
        <v>-4.4912356877836752E-3</v>
      </c>
      <c r="H92" s="5">
        <f>EnergyLJ($A92,$C$2,$C$3,shape_factors!H$2,$C$4,shape_factors!H$3)</f>
        <v>-0.12985463715166273</v>
      </c>
      <c r="I92" s="5">
        <f>EnergyLJ($A92,$C$2,$C$3,shape_factors!I$2,$C$4,shape_factors!I$3)</f>
        <v>-9.2391787653666214E-3</v>
      </c>
      <c r="J92" s="5">
        <f>EnergyLJ($A92,$C$2,$C$3,shape_factors!J$2,$C$4,shape_factors!J$3)</f>
        <v>-1.6808264418698125E-3</v>
      </c>
      <c r="K92" s="5">
        <f>EnergyLJ($A92,$C$2,$C$3,shape_factors!K$2,$C$4,shape_factors!K$3)</f>
        <v>-2.0496509806670902E-3</v>
      </c>
      <c r="L92" s="5">
        <f>EnergyLJ($A92,$C$2,$C$3,shape_factors!L$2,$C$4,shape_factors!L$3)</f>
        <v>-2.8540329837433162E-3</v>
      </c>
      <c r="M92" s="5">
        <f>EnergyLJ($A92,$C$2,$C$3,shape_factors!M$2,$C$4,shape_factors!M$3)</f>
        <v>-1.7588160792804887E-3</v>
      </c>
      <c r="N92" s="5">
        <f>EnergyLJ($A92,$C$2,$C$3,shape_factors!N$2,$C$4,shape_factors!N$3)</f>
        <v>-1.101138592224517E-3</v>
      </c>
      <c r="O92" s="5">
        <f>EnergyLJ($A92,$C$2,$C$3,shape_factors!O$2,$C$4,shape_factors!O$3)</f>
        <v>-9.8105496289654383E-4</v>
      </c>
      <c r="P92" s="5">
        <f>EnergyLJ($A92,$C$2,$C$3,shape_factors!P$2,$C$4,shape_factors!P$3)</f>
        <v>-1.1396101474135359E-3</v>
      </c>
      <c r="Q92" s="5">
        <f>EnergyLJ($A92,$C$2,$C$3,shape_factors!Q$2,$C$4,shape_factors!Q$3)</f>
        <v>-1.1928433847316947E-3</v>
      </c>
      <c r="R92" s="5">
        <f>EnergyLJ($A92,$C$2,$C$3,shape_factors!R$2,$C$4,shape_factors!R$3)</f>
        <v>-3.4173073644305865E-3</v>
      </c>
      <c r="S92" s="5">
        <f>EnergyLJ($A92,$C$2,$C$3,shape_factors!S$2,$C$4,shape_factors!S$3)</f>
        <v>-1.416969682694003E-3</v>
      </c>
      <c r="T92" s="5">
        <f>EnergyLJ($A92,$C$2,$C$3,shape_factors!T$2,$C$4,shape_factors!T$3)</f>
        <v>-9.1045080856922561E-4</v>
      </c>
      <c r="U92" s="5">
        <f>EnergyLJ($A92,$C$2,$C$3,shape_factors!U$2,$C$4,shape_factors!U$3)</f>
        <v>-3.363022300163318E-3</v>
      </c>
    </row>
    <row r="93" spans="1:21" x14ac:dyDescent="0.25">
      <c r="A93">
        <v>19.2</v>
      </c>
      <c r="B93" s="5">
        <f>EnergyLJ($A93,$C$2,$C$3,shape_factors!B$2,$C$4,shape_factors!B$3)</f>
        <v>-1.594219403912776E-2</v>
      </c>
      <c r="C93" s="5">
        <f>EnergyLJ($A93,$C$2,$C$3,shape_factors!C$2,$C$4,shape_factors!C$3)</f>
        <v>-3.6234513995400995E-3</v>
      </c>
      <c r="D93" s="5">
        <f>EnergyLJ($A93,$C$2,$C$3,shape_factors!D$2,$C$4,shape_factors!D$3)</f>
        <v>-2.263338537138317E-2</v>
      </c>
      <c r="E93" s="5">
        <f>EnergyLJ($A93,$C$2,$C$3,shape_factors!E$2,$C$4,shape_factors!E$3)</f>
        <v>-6.7579965793926888E-3</v>
      </c>
      <c r="F93" s="5">
        <f>EnergyLJ($A93,$C$2,$C$3,shape_factors!F$2,$C$4,shape_factors!F$3)</f>
        <v>-3.1184297238508593E-3</v>
      </c>
      <c r="G93" s="5">
        <f>EnergyLJ($A93,$C$2,$C$3,shape_factors!G$2,$C$4,shape_factors!G$3)</f>
        <v>-4.2179648893565409E-3</v>
      </c>
      <c r="H93" s="5">
        <f>EnergyLJ($A93,$C$2,$C$3,shape_factors!H$2,$C$4,shape_factors!H$3)</f>
        <v>-0.12214248647983975</v>
      </c>
      <c r="I93" s="5">
        <f>EnergyLJ($A93,$C$2,$C$3,shape_factors!I$2,$C$4,shape_factors!I$3)</f>
        <v>-8.6775027042702985E-3</v>
      </c>
      <c r="J93" s="5">
        <f>EnergyLJ($A93,$C$2,$C$3,shape_factors!J$2,$C$4,shape_factors!J$3)</f>
        <v>-1.5785038986696699E-3</v>
      </c>
      <c r="K93" s="5">
        <f>EnergyLJ($A93,$C$2,$C$3,shape_factors!K$2,$C$4,shape_factors!K$3)</f>
        <v>-1.924884079138918E-3</v>
      </c>
      <c r="L93" s="5">
        <f>EnergyLJ($A93,$C$2,$C$3,shape_factors!L$2,$C$4,shape_factors!L$3)</f>
        <v>-2.6803268211085373E-3</v>
      </c>
      <c r="M93" s="5">
        <f>EnergyLJ($A93,$C$2,$C$3,shape_factors!M$2,$C$4,shape_factors!M$3)</f>
        <v>-1.6517473237767251E-3</v>
      </c>
      <c r="N93" s="5">
        <f>EnergyLJ($A93,$C$2,$C$3,shape_factors!N$2,$C$4,shape_factors!N$3)</f>
        <v>-1.0340982898217844E-3</v>
      </c>
      <c r="O93" s="5">
        <f>EnergyLJ($A93,$C$2,$C$3,shape_factors!O$2,$C$4,shape_factors!O$3)</f>
        <v>-9.2132438073278607E-4</v>
      </c>
      <c r="P93" s="5">
        <f>EnergyLJ($A93,$C$2,$C$3,shape_factors!P$2,$C$4,shape_factors!P$3)</f>
        <v>-1.0702280750158435E-3</v>
      </c>
      <c r="Q93" s="5">
        <f>EnergyLJ($A93,$C$2,$C$3,shape_factors!Q$2,$C$4,shape_factors!Q$3)</f>
        <v>-1.1202210500380067E-3</v>
      </c>
      <c r="R93" s="5">
        <f>EnergyLJ($A93,$C$2,$C$3,shape_factors!R$2,$C$4,shape_factors!R$3)</f>
        <v>-3.209339625509794E-3</v>
      </c>
      <c r="S93" s="5">
        <f>EnergyLJ($A93,$C$2,$C$3,shape_factors!S$2,$C$4,shape_factors!S$3)</f>
        <v>-1.330705653740849E-3</v>
      </c>
      <c r="T93" s="5">
        <f>EnergyLJ($A93,$C$2,$C$3,shape_factors!T$2,$C$4,shape_factors!T$3)</f>
        <v>-8.550181845790333E-4</v>
      </c>
      <c r="U93" s="5">
        <f>EnergyLJ($A93,$C$2,$C$3,shape_factors!U$2,$C$4,shape_factors!U$3)</f>
        <v>-3.1583561849962841E-3</v>
      </c>
    </row>
    <row r="94" spans="1:21" x14ac:dyDescent="0.25">
      <c r="A94">
        <v>19.399999999999999</v>
      </c>
      <c r="B94" s="5">
        <f>EnergyLJ($A94,$C$2,$C$3,shape_factors!B$2,$C$4,shape_factors!B$3)</f>
        <v>-1.4983933493061636E-2</v>
      </c>
      <c r="C94" s="5">
        <f>EnergyLJ($A94,$C$2,$C$3,shape_factors!C$2,$C$4,shape_factors!C$3)</f>
        <v>-3.405161398234385E-3</v>
      </c>
      <c r="D94" s="5">
        <f>EnergyLJ($A94,$C$2,$C$3,shape_factors!D$2,$C$4,shape_factors!D$3)</f>
        <v>-2.1274602368303978E-2</v>
      </c>
      <c r="E94" s="5">
        <f>EnergyLJ($A94,$C$2,$C$3,shape_factors!E$2,$C$4,shape_factors!E$3)</f>
        <v>-6.351101777159176E-3</v>
      </c>
      <c r="F94" s="5">
        <f>EnergyLJ($A94,$C$2,$C$3,shape_factors!F$2,$C$4,shape_factors!F$3)</f>
        <v>-2.9305468790727231E-3</v>
      </c>
      <c r="G94" s="5">
        <f>EnergyLJ($A94,$C$2,$C$3,shape_factors!G$2,$C$4,shape_factors!G$3)</f>
        <v>-3.9638866160304036E-3</v>
      </c>
      <c r="H94" s="5">
        <f>EnergyLJ($A94,$C$2,$C$3,shape_factors!H$2,$C$4,shape_factors!H$3)</f>
        <v>-0.11494998838275082</v>
      </c>
      <c r="I94" s="5">
        <f>EnergyLJ($A94,$C$2,$C$3,shape_factors!I$2,$C$4,shape_factors!I$3)</f>
        <v>-8.1552181637113159E-3</v>
      </c>
      <c r="J94" s="5">
        <f>EnergyLJ($A94,$C$2,$C$3,shape_factors!J$2,$C$4,shape_factors!J$3)</f>
        <v>-1.4833737985819396E-3</v>
      </c>
      <c r="K94" s="5">
        <f>EnergyLJ($A94,$C$2,$C$3,shape_factors!K$2,$C$4,shape_factors!K$3)</f>
        <v>-1.8088863079037784E-3</v>
      </c>
      <c r="L94" s="5">
        <f>EnergyLJ($A94,$C$2,$C$3,shape_factors!L$2,$C$4,shape_factors!L$3)</f>
        <v>-2.51882649748254E-3</v>
      </c>
      <c r="M94" s="5">
        <f>EnergyLJ($A94,$C$2,$C$3,shape_factors!M$2,$C$4,shape_factors!M$3)</f>
        <v>-1.5522044557670441E-3</v>
      </c>
      <c r="N94" s="5">
        <f>EnergyLJ($A94,$C$2,$C$3,shape_factors!N$2,$C$4,shape_factors!N$3)</f>
        <v>-9.7177119349571735E-4</v>
      </c>
      <c r="O94" s="5">
        <f>EnergyLJ($A94,$C$2,$C$3,shape_factors!O$2,$C$4,shape_factors!O$3)</f>
        <v>-8.6579325242927595E-4</v>
      </c>
      <c r="P94" s="5">
        <f>EnergyLJ($A94,$C$2,$C$3,shape_factors!P$2,$C$4,shape_factors!P$3)</f>
        <v>-1.0057237885079974E-3</v>
      </c>
      <c r="Q94" s="5">
        <f>EnergyLJ($A94,$C$2,$C$3,shape_factors!Q$2,$C$4,shape_factors!Q$3)</f>
        <v>-1.0527042209138946E-3</v>
      </c>
      <c r="R94" s="5">
        <f>EnergyLJ($A94,$C$2,$C$3,shape_factors!R$2,$C$4,shape_factors!R$3)</f>
        <v>-3.0159827195948971E-3</v>
      </c>
      <c r="S94" s="5">
        <f>EnergyLJ($A94,$C$2,$C$3,shape_factors!S$2,$C$4,shape_factors!S$3)</f>
        <v>-1.250505763887269E-3</v>
      </c>
      <c r="T94" s="5">
        <f>EnergyLJ($A94,$C$2,$C$3,shape_factors!T$2,$C$4,shape_factors!T$3)</f>
        <v>-8.0348292195336207E-4</v>
      </c>
      <c r="U94" s="5">
        <f>EnergyLJ($A94,$C$2,$C$3,shape_factors!U$2,$C$4,shape_factors!U$3)</f>
        <v>-2.9680691806197265E-3</v>
      </c>
    </row>
    <row r="95" spans="1:21" x14ac:dyDescent="0.25">
      <c r="A95">
        <v>19.600000000000001</v>
      </c>
      <c r="B95" s="5">
        <f>EnergyLJ($A95,$C$2,$C$3,shape_factors!B$2,$C$4,shape_factors!B$3)</f>
        <v>-1.4092073682811802E-2</v>
      </c>
      <c r="C95" s="5">
        <f>EnergyLJ($A95,$C$2,$C$3,shape_factors!C$2,$C$4,shape_factors!C$3)</f>
        <v>-3.2020539765191124E-3</v>
      </c>
      <c r="D95" s="5">
        <f>EnergyLJ($A95,$C$2,$C$3,shape_factors!D$2,$C$4,shape_factors!D$3)</f>
        <v>-2.0009779995744444E-2</v>
      </c>
      <c r="E95" s="5">
        <f>EnergyLJ($A95,$C$2,$C$3,shape_factors!E$2,$C$4,shape_factors!E$3)</f>
        <v>-5.9724807473624181E-3</v>
      </c>
      <c r="F95" s="5">
        <f>EnergyLJ($A95,$C$2,$C$3,shape_factors!F$2,$C$4,shape_factors!F$3)</f>
        <v>-2.7557337082096071E-3</v>
      </c>
      <c r="G95" s="5">
        <f>EnergyLJ($A95,$C$2,$C$3,shape_factors!G$2,$C$4,shape_factors!G$3)</f>
        <v>-3.7274769212392866E-3</v>
      </c>
      <c r="H95" s="5">
        <f>EnergyLJ($A95,$C$2,$C$3,shape_factors!H$2,$C$4,shape_factors!H$3)</f>
        <v>-0.10823862915466587</v>
      </c>
      <c r="I95" s="5">
        <f>EnergyLJ($A95,$C$2,$C$3,shape_factors!I$2,$C$4,shape_factors!I$3)</f>
        <v>-7.6692043898053414E-3</v>
      </c>
      <c r="J95" s="5">
        <f>EnergyLJ($A95,$C$2,$C$3,shape_factors!J$2,$C$4,shape_factors!J$3)</f>
        <v>-1.3948642814868013E-3</v>
      </c>
      <c r="K95" s="5">
        <f>EnergyLJ($A95,$C$2,$C$3,shape_factors!K$2,$C$4,shape_factors!K$3)</f>
        <v>-1.7009605678290232E-3</v>
      </c>
      <c r="L95" s="5">
        <f>EnergyLJ($A95,$C$2,$C$3,shape_factors!L$2,$C$4,shape_factors!L$3)</f>
        <v>-2.3685620812888926E-3</v>
      </c>
      <c r="M95" s="5">
        <f>EnergyLJ($A95,$C$2,$C$3,shape_factors!M$2,$C$4,shape_factors!M$3)</f>
        <v>-1.4595891254272388E-3</v>
      </c>
      <c r="N95" s="5">
        <f>EnergyLJ($A95,$C$2,$C$3,shape_factors!N$2,$C$4,shape_factors!N$3)</f>
        <v>-9.1378246135639734E-4</v>
      </c>
      <c r="O95" s="5">
        <f>EnergyLJ($A95,$C$2,$C$3,shape_factors!O$2,$C$4,shape_factors!O$3)</f>
        <v>-8.1412757604227431E-4</v>
      </c>
      <c r="P95" s="5">
        <f>EnergyLJ($A95,$C$2,$C$3,shape_factors!P$2,$C$4,shape_factors!P$3)</f>
        <v>-9.457093639557865E-4</v>
      </c>
      <c r="Q95" s="5">
        <f>EnergyLJ($A95,$C$2,$C$3,shape_factors!Q$2,$C$4,shape_factors!Q$3)</f>
        <v>-9.8988687332953948E-4</v>
      </c>
      <c r="R95" s="5">
        <f>EnergyLJ($A95,$C$2,$C$3,shape_factors!R$2,$C$4,shape_factors!R$3)</f>
        <v>-2.8360759118183933E-3</v>
      </c>
      <c r="S95" s="5">
        <f>EnergyLJ($A95,$C$2,$C$3,shape_factors!S$2,$C$4,shape_factors!S$3)</f>
        <v>-1.1758878029228554E-3</v>
      </c>
      <c r="T95" s="5">
        <f>EnergyLJ($A95,$C$2,$C$3,shape_factors!T$2,$C$4,shape_factors!T$3)</f>
        <v>-7.5553503528325125E-4</v>
      </c>
      <c r="U95" s="5">
        <f>EnergyLJ($A95,$C$2,$C$3,shape_factors!U$2,$C$4,shape_factors!U$3)</f>
        <v>-2.7910189317048324E-3</v>
      </c>
    </row>
    <row r="96" spans="1:21" x14ac:dyDescent="0.25">
      <c r="A96">
        <v>19.8</v>
      </c>
      <c r="B96" s="5">
        <f>EnergyLJ($A96,$C$2,$C$3,shape_factors!B$2,$C$4,shape_factors!B$3)</f>
        <v>-1.3261422712165872E-2</v>
      </c>
      <c r="C96" s="5">
        <f>EnergyLJ($A96,$C$2,$C$3,shape_factors!C$2,$C$4,shape_factors!C$3)</f>
        <v>-3.0129349711175263E-3</v>
      </c>
      <c r="D96" s="5">
        <f>EnergyLJ($A96,$C$2,$C$3,shape_factors!D$2,$C$4,shape_factors!D$3)</f>
        <v>-1.8831595475764049E-2</v>
      </c>
      <c r="E96" s="5">
        <f>EnergyLJ($A96,$C$2,$C$3,shape_factors!E$2,$C$4,shape_factors!E$3)</f>
        <v>-5.6199129639792423E-3</v>
      </c>
      <c r="F96" s="5">
        <f>EnergyLJ($A96,$C$2,$C$3,shape_factors!F$2,$C$4,shape_factors!F$3)</f>
        <v>-2.5929619900349663E-3</v>
      </c>
      <c r="G96" s="5">
        <f>EnergyLJ($A96,$C$2,$C$3,shape_factors!G$2,$C$4,shape_factors!G$3)</f>
        <v>-3.5073465000759322E-3</v>
      </c>
      <c r="H96" s="5">
        <f>EnergyLJ($A96,$C$2,$C$3,shape_factors!H$2,$C$4,shape_factors!H$3)</f>
        <v>-0.10197293118355179</v>
      </c>
      <c r="I96" s="5">
        <f>EnergyLJ($A96,$C$2,$C$3,shape_factors!I$2,$C$4,shape_factors!I$3)</f>
        <v>-7.216615408018507E-3</v>
      </c>
      <c r="J96" s="5">
        <f>EnergyLJ($A96,$C$2,$C$3,shape_factors!J$2,$C$4,shape_factors!J$3)</f>
        <v>-1.3124541125376743E-3</v>
      </c>
      <c r="K96" s="5">
        <f>EnergyLJ($A96,$C$2,$C$3,shape_factors!K$2,$C$4,shape_factors!K$3)</f>
        <v>-1.6004714560207704E-3</v>
      </c>
      <c r="L96" s="5">
        <f>EnergyLJ($A96,$C$2,$C$3,shape_factors!L$2,$C$4,shape_factors!L$3)</f>
        <v>-2.2286494350437025E-3</v>
      </c>
      <c r="M96" s="5">
        <f>EnergyLJ($A96,$C$2,$C$3,shape_factors!M$2,$C$4,shape_factors!M$3)</f>
        <v>-1.37335595034648E-3</v>
      </c>
      <c r="N96" s="5">
        <f>EnergyLJ($A96,$C$2,$C$3,shape_factors!N$2,$C$4,shape_factors!N$3)</f>
        <v>-8.5979044888335305E-4</v>
      </c>
      <c r="O96" s="5">
        <f>EnergyLJ($A96,$C$2,$C$3,shape_factors!O$2,$C$4,shape_factors!O$3)</f>
        <v>-7.6602293257079716E-4</v>
      </c>
      <c r="P96" s="5">
        <f>EnergyLJ($A96,$C$2,$C$3,shape_factors!P$2,$C$4,shape_factors!P$3)</f>
        <v>-8.8983123245460493E-4</v>
      </c>
      <c r="Q96" s="5">
        <f>EnergyLJ($A96,$C$2,$C$3,shape_factors!Q$2,$C$4,shape_factors!Q$3)</f>
        <v>-9.3139893989966976E-4</v>
      </c>
      <c r="R96" s="5">
        <f>EnergyLJ($A96,$C$2,$C$3,shape_factors!R$2,$C$4,shape_factors!R$3)</f>
        <v>-2.6685610975539995E-3</v>
      </c>
      <c r="S96" s="5">
        <f>EnergyLJ($A96,$C$2,$C$3,shape_factors!S$2,$C$4,shape_factors!S$3)</f>
        <v>-1.1064122574077188E-3</v>
      </c>
      <c r="T96" s="5">
        <f>EnergyLJ($A96,$C$2,$C$3,shape_factors!T$2,$C$4,shape_factors!T$3)</f>
        <v>-7.1089199629835594E-4</v>
      </c>
      <c r="U96" s="5">
        <f>EnergyLJ($A96,$C$2,$C$3,shape_factors!U$2,$C$4,shape_factors!U$3)</f>
        <v>-2.6261640919786004E-3</v>
      </c>
    </row>
    <row r="97" spans="1:21" x14ac:dyDescent="0.25">
      <c r="A97">
        <v>20</v>
      </c>
      <c r="B97" s="5">
        <f>EnergyLJ($A97,$C$2,$C$3,shape_factors!B$2,$C$4,shape_factors!B$3)</f>
        <v>-1.2487239137793671E-2</v>
      </c>
      <c r="C97" s="5">
        <f>EnergyLJ($A97,$C$2,$C$3,shape_factors!C$2,$C$4,shape_factors!C$3)</f>
        <v>-2.8367147596411262E-3</v>
      </c>
      <c r="D97" s="5">
        <f>EnergyLJ($A97,$C$2,$C$3,shape_factors!D$2,$C$4,shape_factors!D$3)</f>
        <v>-1.7733358166579179E-2</v>
      </c>
      <c r="E97" s="5">
        <f>EnergyLJ($A97,$C$2,$C$3,shape_factors!E$2,$C$4,shape_factors!E$3)</f>
        <v>-5.2913718563348091E-3</v>
      </c>
      <c r="F97" s="5">
        <f>EnergyLJ($A97,$C$2,$C$3,shape_factors!F$2,$C$4,shape_factors!F$3)</f>
        <v>-2.441293549526412E-3</v>
      </c>
      <c r="G97" s="5">
        <f>EnergyLJ($A97,$C$2,$C$3,shape_factors!G$2,$C$4,shape_factors!G$3)</f>
        <v>-3.3022276202093791E-3</v>
      </c>
      <c r="H97" s="5">
        <f>EnergyLJ($A97,$C$2,$C$3,shape_factors!H$2,$C$4,shape_factors!H$3)</f>
        <v>-9.6120210207446405E-2</v>
      </c>
      <c r="I97" s="5">
        <f>EnergyLJ($A97,$C$2,$C$3,shape_factors!I$2,$C$4,shape_factors!I$3)</f>
        <v>-6.7948534849216957E-3</v>
      </c>
      <c r="J97" s="5">
        <f>EnergyLJ($A97,$C$2,$C$3,shape_factors!J$2,$C$4,shape_factors!J$3)</f>
        <v>-1.2356677538625268E-3</v>
      </c>
      <c r="K97" s="5">
        <f>EnergyLJ($A97,$C$2,$C$3,shape_factors!K$2,$C$4,shape_factors!K$3)</f>
        <v>-1.5068392620616682E-3</v>
      </c>
      <c r="L97" s="5">
        <f>EnergyLJ($A97,$C$2,$C$3,shape_factors!L$2,$C$4,shape_factors!L$3)</f>
        <v>-2.0982818735208048E-3</v>
      </c>
      <c r="M97" s="5">
        <f>EnergyLJ($A97,$C$2,$C$3,shape_factors!M$2,$C$4,shape_factors!M$3)</f>
        <v>-1.293007359638134E-3</v>
      </c>
      <c r="N97" s="5">
        <f>EnergyLJ($A97,$C$2,$C$3,shape_factors!N$2,$C$4,shape_factors!N$3)</f>
        <v>-8.094834752847863E-4</v>
      </c>
      <c r="O97" s="5">
        <f>EnergyLJ($A97,$C$2,$C$3,shape_factors!O$2,$C$4,shape_factors!O$3)</f>
        <v>-7.2120160402999376E-4</v>
      </c>
      <c r="P97" s="5">
        <f>EnergyLJ($A97,$C$2,$C$3,shape_factors!P$2,$C$4,shape_factors!P$3)</f>
        <v>-8.3776683385699754E-4</v>
      </c>
      <c r="Q97" s="5">
        <f>EnergyLJ($A97,$C$2,$C$3,shape_factors!Q$2,$C$4,shape_factors!Q$3)</f>
        <v>-8.7690280780067134E-4</v>
      </c>
      <c r="R97" s="5">
        <f>EnergyLJ($A97,$C$2,$C$3,shape_factors!R$2,$C$4,shape_factors!R$3)</f>
        <v>-2.5124728294089751E-3</v>
      </c>
      <c r="S97" s="5">
        <f>EnergyLJ($A97,$C$2,$C$3,shape_factors!S$2,$C$4,shape_factors!S$3)</f>
        <v>-1.04167815307534E-3</v>
      </c>
      <c r="T97" s="5">
        <f>EnergyLJ($A97,$C$2,$C$3,shape_factors!T$2,$C$4,shape_factors!T$3)</f>
        <v>-6.6929605883957535E-4</v>
      </c>
      <c r="U97" s="5">
        <f>EnergyLJ($A97,$C$2,$C$3,shape_factors!U$2,$C$4,shape_factors!U$3)</f>
        <v>-2.4725545082008261E-3</v>
      </c>
    </row>
    <row r="98" spans="1:21" x14ac:dyDescent="0.25">
      <c r="A98">
        <v>20.2</v>
      </c>
      <c r="B98" s="5">
        <f>EnergyLJ($A98,$C$2,$C$3,shape_factors!B$2,$C$4,shape_factors!B$3)</f>
        <v>-1.1765189199012455E-2</v>
      </c>
      <c r="C98" s="5">
        <f>EnergyLJ($A98,$C$2,$C$3,shape_factors!C$2,$C$4,shape_factors!C$3)</f>
        <v>-2.6723982022070331E-3</v>
      </c>
      <c r="D98" s="5">
        <f>EnergyLJ($A98,$C$2,$C$3,shape_factors!D$2,$C$4,shape_factors!D$3)</f>
        <v>-1.6708949993762729E-2</v>
      </c>
      <c r="E98" s="5">
        <f>EnergyLJ($A98,$C$2,$C$3,shape_factors!E$2,$C$4,shape_factors!E$3)</f>
        <v>-4.9850062089891161E-3</v>
      </c>
      <c r="F98" s="5">
        <f>EnergyLJ($A98,$C$2,$C$3,shape_factors!F$2,$C$4,shape_factors!F$3)</f>
        <v>-2.2998715895381021E-3</v>
      </c>
      <c r="G98" s="5">
        <f>EnergyLJ($A98,$C$2,$C$3,shape_factors!G$2,$C$4,shape_factors!G$3)</f>
        <v>-3.1109624320469209E-3</v>
      </c>
      <c r="H98" s="5">
        <f>EnergyLJ($A98,$C$2,$C$3,shape_factors!H$2,$C$4,shape_factors!H$3)</f>
        <v>-9.0650350397120244E-2</v>
      </c>
      <c r="I98" s="5">
        <f>EnergyLJ($A98,$C$2,$C$3,shape_factors!I$2,$C$4,shape_factors!I$3)</f>
        <v>-6.4015453706516281E-3</v>
      </c>
      <c r="J98" s="5">
        <f>EnergyLJ($A98,$C$2,$C$3,shape_factors!J$2,$C$4,shape_factors!J$3)</f>
        <v>-1.1640709585206321E-3</v>
      </c>
      <c r="K98" s="5">
        <f>EnergyLJ($A98,$C$2,$C$3,shape_factors!K$2,$C$4,shape_factors!K$3)</f>
        <v>-1.4195346001309333E-3</v>
      </c>
      <c r="L98" s="5">
        <f>EnergyLJ($A98,$C$2,$C$3,shape_factors!L$2,$C$4,shape_factors!L$3)</f>
        <v>-1.9767227043972803E-3</v>
      </c>
      <c r="M98" s="5">
        <f>EnergyLJ($A98,$C$2,$C$3,shape_factors!M$2,$C$4,shape_factors!M$3)</f>
        <v>-1.21808898436211E-3</v>
      </c>
      <c r="N98" s="5">
        <f>EnergyLJ($A98,$C$2,$C$3,shape_factors!N$2,$C$4,shape_factors!N$3)</f>
        <v>-7.6257693281575395E-4</v>
      </c>
      <c r="O98" s="5">
        <f>EnergyLJ($A98,$C$2,$C$3,shape_factors!O$2,$C$4,shape_factors!O$3)</f>
        <v>-6.794099972337801E-4</v>
      </c>
      <c r="P98" s="5">
        <f>EnergyLJ($A98,$C$2,$C$3,shape_factors!P$2,$C$4,shape_factors!P$3)</f>
        <v>-7.8922162538511739E-4</v>
      </c>
      <c r="Q98" s="5">
        <f>EnergyLJ($A98,$C$2,$C$3,shape_factors!Q$2,$C$4,shape_factors!Q$3)</f>
        <v>-8.2609018806833079E-4</v>
      </c>
      <c r="R98" s="5">
        <f>EnergyLJ($A98,$C$2,$C$3,shape_factors!R$2,$C$4,shape_factors!R$3)</f>
        <v>-2.3669293983866906E-3</v>
      </c>
      <c r="S98" s="5">
        <f>EnergyLJ($A98,$C$2,$C$3,shape_factors!S$2,$C$4,shape_factors!S$3)</f>
        <v>-9.8131933798755659E-4</v>
      </c>
      <c r="T98" s="5">
        <f>EnergyLJ($A98,$C$2,$C$3,shape_factors!T$2,$C$4,shape_factors!T$3)</f>
        <v>-6.3051186762236701E-4</v>
      </c>
      <c r="U98" s="5">
        <f>EnergyLJ($A98,$C$2,$C$3,shape_factors!U$2,$C$4,shape_factors!U$3)</f>
        <v>-2.3293224418004729E-3</v>
      </c>
    </row>
    <row r="99" spans="1:21" x14ac:dyDescent="0.25">
      <c r="A99">
        <v>20.399999999999999</v>
      </c>
      <c r="B99" s="5">
        <f>EnergyLJ($A99,$C$2,$C$3,shape_factors!B$2,$C$4,shape_factors!B$3)</f>
        <v>-1.1091308439215634E-2</v>
      </c>
      <c r="C99" s="5">
        <f>EnergyLJ($A99,$C$2,$C$3,shape_factors!C$2,$C$4,shape_factors!C$3)</f>
        <v>-2.5190756357531775E-3</v>
      </c>
      <c r="D99" s="5">
        <f>EnergyLJ($A99,$C$2,$C$3,shape_factors!D$2,$C$4,shape_factors!D$3)</f>
        <v>-1.5752771929974742E-2</v>
      </c>
      <c r="E99" s="5">
        <f>EnergyLJ($A99,$C$2,$C$3,shape_factors!E$2,$C$4,shape_factors!E$3)</f>
        <v>-4.6991234991935879E-3</v>
      </c>
      <c r="F99" s="5">
        <f>EnergyLJ($A99,$C$2,$C$3,shape_factors!F$2,$C$4,shape_factors!F$3)</f>
        <v>-2.1679129303647043E-3</v>
      </c>
      <c r="G99" s="5">
        <f>EnergyLJ($A99,$C$2,$C$3,shape_factors!G$2,$C$4,shape_factors!G$3)</f>
        <v>-2.9324925012644124E-3</v>
      </c>
      <c r="H99" s="5">
        <f>EnergyLJ($A99,$C$2,$C$3,shape_factors!H$2,$C$4,shape_factors!H$3)</f>
        <v>-8.5535596469742431E-2</v>
      </c>
      <c r="I99" s="5">
        <f>EnergyLJ($A99,$C$2,$C$3,shape_factors!I$2,$C$4,shape_factors!I$3)</f>
        <v>-6.0345210089634421E-3</v>
      </c>
      <c r="J99" s="5">
        <f>EnergyLJ($A99,$C$2,$C$3,shape_factors!J$2,$C$4,shape_factors!J$3)</f>
        <v>-1.0972668269734166E-3</v>
      </c>
      <c r="K99" s="5">
        <f>EnergyLJ($A99,$C$2,$C$3,shape_factors!K$2,$C$4,shape_factors!K$3)</f>
        <v>-1.3380736043211348E-3</v>
      </c>
      <c r="L99" s="5">
        <f>EnergyLJ($A99,$C$2,$C$3,shape_factors!L$2,$C$4,shape_factors!L$3)</f>
        <v>-1.8632985506693276E-3</v>
      </c>
      <c r="M99" s="5">
        <f>EnergyLJ($A99,$C$2,$C$3,shape_factors!M$2,$C$4,shape_factors!M$3)</f>
        <v>-1.1481855317753468E-3</v>
      </c>
      <c r="N99" s="5">
        <f>EnergyLJ($A99,$C$2,$C$3,shape_factors!N$2,$C$4,shape_factors!N$3)</f>
        <v>-7.1881069977857608E-4</v>
      </c>
      <c r="O99" s="5">
        <f>EnergyLJ($A99,$C$2,$C$3,shape_factors!O$2,$C$4,shape_factors!O$3)</f>
        <v>-6.4041633826761139E-4</v>
      </c>
      <c r="P99" s="5">
        <f>EnergyLJ($A99,$C$2,$C$3,shape_factors!P$2,$C$4,shape_factors!P$3)</f>
        <v>-7.4392640448867715E-4</v>
      </c>
      <c r="Q99" s="5">
        <f>EnergyLJ($A99,$C$2,$C$3,shape_factors!Q$2,$C$4,shape_factors!Q$3)</f>
        <v>-7.7867931375229054E-4</v>
      </c>
      <c r="R99" s="5">
        <f>EnergyLJ($A99,$C$2,$C$3,shape_factors!R$2,$C$4,shape_factors!R$3)</f>
        <v>-2.2311248490534453E-3</v>
      </c>
      <c r="S99" s="5">
        <f>EnergyLJ($A99,$C$2,$C$3,shape_factors!S$2,$C$4,shape_factors!S$3)</f>
        <v>-9.2500115599706623E-4</v>
      </c>
      <c r="T99" s="5">
        <f>EnergyLJ($A99,$C$2,$C$3,shape_factors!T$2,$C$4,shape_factors!T$3)</f>
        <v>-5.943243182778621E-4</v>
      </c>
      <c r="U99" s="5">
        <f>EnergyLJ($A99,$C$2,$C$3,shape_factors!U$2,$C$4,shape_factors!U$3)</f>
        <v>-2.1956747098744447E-3</v>
      </c>
    </row>
    <row r="100" spans="1:21" x14ac:dyDescent="0.25">
      <c r="A100">
        <v>20.6</v>
      </c>
      <c r="B100" s="5">
        <f>EnergyLJ($A100,$C$2,$C$3,shape_factors!B$2,$C$4,shape_factors!B$3)</f>
        <v>-1.0461967236556893E-2</v>
      </c>
      <c r="C100" s="5">
        <f>EnergyLJ($A100,$C$2,$C$3,shape_factors!C$2,$C$4,shape_factors!C$3)</f>
        <v>-2.3759148022417919E-3</v>
      </c>
      <c r="D100" s="5">
        <f>EnergyLJ($A100,$C$2,$C$3,shape_factors!D$2,$C$4,shape_factors!D$3)</f>
        <v>-1.4859695869665131E-2</v>
      </c>
      <c r="E100" s="5">
        <f>EnergyLJ($A100,$C$2,$C$3,shape_factors!E$2,$C$4,shape_factors!E$3)</f>
        <v>-4.4321749546633116E-3</v>
      </c>
      <c r="F100" s="5">
        <f>EnergyLJ($A100,$C$2,$C$3,shape_factors!F$2,$C$4,shape_factors!F$3)</f>
        <v>-2.0447010546248757E-3</v>
      </c>
      <c r="G100" s="5">
        <f>EnergyLJ($A100,$C$2,$C$3,shape_factors!G$2,$C$4,shape_factors!G$3)</f>
        <v>-2.7658494259144304E-3</v>
      </c>
      <c r="H100" s="5">
        <f>EnergyLJ($A100,$C$2,$C$3,shape_factors!H$2,$C$4,shape_factors!H$3)</f>
        <v>-8.0750361930058245E-2</v>
      </c>
      <c r="I100" s="5">
        <f>EnergyLJ($A100,$C$2,$C$3,shape_factors!I$2,$C$4,shape_factors!I$3)</f>
        <v>-5.6917944393267382E-3</v>
      </c>
      <c r="J100" s="5">
        <f>EnergyLJ($A100,$C$2,$C$3,shape_factors!J$2,$C$4,shape_factors!J$3)</f>
        <v>-1.0348922736527206E-3</v>
      </c>
      <c r="K100" s="5">
        <f>EnergyLJ($A100,$C$2,$C$3,shape_factors!K$2,$C$4,shape_factors!K$3)</f>
        <v>-1.2620136233689675E-3</v>
      </c>
      <c r="L100" s="5">
        <f>EnergyLJ($A100,$C$2,$C$3,shape_factors!L$2,$C$4,shape_factors!L$3)</f>
        <v>-1.7573933664367886E-3</v>
      </c>
      <c r="M100" s="5">
        <f>EnergyLJ($A100,$C$2,$C$3,shape_factors!M$2,$C$4,shape_factors!M$3)</f>
        <v>-1.082917088586261E-3</v>
      </c>
      <c r="N100" s="5">
        <f>EnergyLJ($A100,$C$2,$C$3,shape_factors!N$2,$C$4,shape_factors!N$3)</f>
        <v>-6.7794682275178686E-4</v>
      </c>
      <c r="O100" s="5">
        <f>EnergyLJ($A100,$C$2,$C$3,shape_factors!O$2,$C$4,shape_factors!O$3)</f>
        <v>-6.0400860693387778E-4</v>
      </c>
      <c r="P100" s="5">
        <f>EnergyLJ($A100,$C$2,$C$3,shape_factors!P$2,$C$4,shape_factors!P$3)</f>
        <v>-7.0163491029882896E-4</v>
      </c>
      <c r="Q100" s="5">
        <f>EnergyLJ($A100,$C$2,$C$3,shape_factors!Q$2,$C$4,shape_factors!Q$3)</f>
        <v>-7.3441242962379188E-4</v>
      </c>
      <c r="R100" s="5">
        <f>EnergyLJ($A100,$C$2,$C$3,shape_factors!R$2,$C$4,shape_factors!R$3)</f>
        <v>-2.1043218232068149E-3</v>
      </c>
      <c r="S100" s="5">
        <f>EnergyLJ($A100,$C$2,$C$3,shape_factors!S$2,$C$4,shape_factors!S$3)</f>
        <v>-8.7241746626200601E-4</v>
      </c>
      <c r="T100" s="5">
        <f>EnergyLJ($A100,$C$2,$C$3,shape_factors!T$2,$C$4,shape_factors!T$3)</f>
        <v>-5.6053664015339323E-4</v>
      </c>
      <c r="U100" s="5">
        <f>EnergyLJ($A100,$C$2,$C$3,shape_factors!U$2,$C$4,shape_factors!U$3)</f>
        <v>-2.0708856416891872E-3</v>
      </c>
    </row>
    <row r="101" spans="1:21" x14ac:dyDescent="0.25">
      <c r="A101">
        <v>20.8</v>
      </c>
      <c r="B101" s="5">
        <f>EnergyLJ($A101,$C$2,$C$3,shape_factors!B$2,$C$4,shape_factors!B$3)</f>
        <v>-9.8738398175804154E-3</v>
      </c>
      <c r="C101" s="5">
        <f>EnergyLJ($A101,$C$2,$C$3,shape_factors!C$2,$C$4,shape_factors!C$3)</f>
        <v>-2.2421536062946995E-3</v>
      </c>
      <c r="D101" s="5">
        <f>EnergyLJ($A101,$C$2,$C$3,shape_factors!D$2,$C$4,shape_factors!D$3)</f>
        <v>-1.4025021319357806E-2</v>
      </c>
      <c r="E101" s="5">
        <f>EnergyLJ($A101,$C$2,$C$3,shape_factors!E$2,$C$4,shape_factors!E$3)</f>
        <v>-4.1827421404219594E-3</v>
      </c>
      <c r="F101" s="5">
        <f>EnergyLJ($A101,$C$2,$C$3,shape_factors!F$2,$C$4,shape_factors!F$3)</f>
        <v>-1.9295798673009676E-3</v>
      </c>
      <c r="G101" s="5">
        <f>EnergyLJ($A101,$C$2,$C$3,shape_factors!G$2,$C$4,shape_factors!G$3)</f>
        <v>-2.6101464169400752E-3</v>
      </c>
      <c r="H101" s="5">
        <f>EnergyLJ($A101,$C$2,$C$3,shape_factors!H$2,$C$4,shape_factors!H$3)</f>
        <v>-7.6271052477134671E-2</v>
      </c>
      <c r="I101" s="5">
        <f>EnergyLJ($A101,$C$2,$C$3,shape_factors!I$2,$C$4,shape_factors!I$3)</f>
        <v>-5.3715466483199512E-3</v>
      </c>
      <c r="J101" s="5">
        <f>EnergyLJ($A101,$C$2,$C$3,shape_factors!J$2,$C$4,shape_factors!J$3)</f>
        <v>-9.7661485757765819E-4</v>
      </c>
      <c r="K101" s="5">
        <f>EnergyLJ($A101,$C$2,$C$3,shape_factors!K$2,$C$4,shape_factors!K$3)</f>
        <v>-1.1909493587587182E-3</v>
      </c>
      <c r="L101" s="5">
        <f>EnergyLJ($A101,$C$2,$C$3,shape_factors!L$2,$C$4,shape_factors!L$3)</f>
        <v>-1.6584430683620473E-3</v>
      </c>
      <c r="M101" s="5">
        <f>EnergyLJ($A101,$C$2,$C$3,shape_factors!M$2,$C$4,shape_factors!M$3)</f>
        <v>-1.021935805048034E-3</v>
      </c>
      <c r="N101" s="5">
        <f>EnergyLJ($A101,$C$2,$C$3,shape_factors!N$2,$C$4,shape_factors!N$3)</f>
        <v>-6.3976743778570457E-4</v>
      </c>
      <c r="O101" s="5">
        <f>EnergyLJ($A101,$C$2,$C$3,shape_factors!O$2,$C$4,shape_factors!O$3)</f>
        <v>-5.6999268419074124E-4</v>
      </c>
      <c r="P101" s="5">
        <f>EnergyLJ($A101,$C$2,$C$3,shape_factors!P$2,$C$4,shape_factors!P$3)</f>
        <v>-6.6212167236526513E-4</v>
      </c>
      <c r="Q101" s="5">
        <f>EnergyLJ($A101,$C$2,$C$3,shape_factors!Q$2,$C$4,shape_factors!Q$3)</f>
        <v>-6.9305354067073042E-4</v>
      </c>
      <c r="R101" s="5">
        <f>EnergyLJ($A101,$C$2,$C$3,shape_factors!R$2,$C$4,shape_factors!R$3)</f>
        <v>-1.9858451393029624E-3</v>
      </c>
      <c r="S101" s="5">
        <f>EnergyLJ($A101,$C$2,$C$3,shape_factors!S$2,$C$4,shape_factors!S$3)</f>
        <v>-8.2328796993718408E-4</v>
      </c>
      <c r="T101" s="5">
        <f>EnergyLJ($A101,$C$2,$C$3,shape_factors!T$2,$C$4,shape_factors!T$3)</f>
        <v>-5.2896867682536658E-4</v>
      </c>
      <c r="U101" s="5">
        <f>EnergyLJ($A101,$C$2,$C$3,shape_factors!U$2,$C$4,shape_factors!U$3)</f>
        <v>-1.9542907593886822E-3</v>
      </c>
    </row>
    <row r="102" spans="1:21" x14ac:dyDescent="0.25">
      <c r="A102">
        <v>21</v>
      </c>
      <c r="B102" s="5">
        <f>EnergyLJ($A102,$C$2,$C$3,shape_factors!B$2,$C$4,shape_factors!B$3)</f>
        <v>-9.323876376756475E-3</v>
      </c>
      <c r="C102" s="5">
        <f>EnergyLJ($A102,$C$2,$C$3,shape_factors!C$2,$C$4,shape_factors!C$3)</f>
        <v>-2.117093610312966E-3</v>
      </c>
      <c r="D102" s="5">
        <f>EnergyLJ($A102,$C$2,$C$3,shape_factors!D$2,$C$4,shape_factors!D$3)</f>
        <v>-1.3244436389590972E-2</v>
      </c>
      <c r="E102" s="5">
        <f>EnergyLJ($A102,$C$2,$C$3,shape_factors!E$2,$C$4,shape_factors!E$3)</f>
        <v>-3.9495249061869634E-3</v>
      </c>
      <c r="F102" s="5">
        <f>EnergyLJ($A102,$C$2,$C$3,shape_factors!F$2,$C$4,shape_factors!F$3)</f>
        <v>-1.8219480915833224E-3</v>
      </c>
      <c r="G102" s="5">
        <f>EnergyLJ($A102,$C$2,$C$3,shape_factors!G$2,$C$4,shape_factors!G$3)</f>
        <v>-2.4645707354104258E-3</v>
      </c>
      <c r="H102" s="5">
        <f>EnergyLJ($A102,$C$2,$C$3,shape_factors!H$2,$C$4,shape_factors!H$3)</f>
        <v>-7.207590359270373E-2</v>
      </c>
      <c r="I102" s="5">
        <f>EnergyLJ($A102,$C$2,$C$3,shape_factors!I$2,$C$4,shape_factors!I$3)</f>
        <v>-5.07211015625027E-3</v>
      </c>
      <c r="J102" s="5">
        <f>EnergyLJ($A102,$C$2,$C$3,shape_factors!J$2,$C$4,shape_factors!J$3)</f>
        <v>-9.2212993651497608E-4</v>
      </c>
      <c r="K102" s="5">
        <f>EnergyLJ($A102,$C$2,$C$3,shape_factors!K$2,$C$4,shape_factors!K$3)</f>
        <v>-1.1245093968978422E-3</v>
      </c>
      <c r="L102" s="5">
        <f>EnergyLJ($A102,$C$2,$C$3,shape_factors!L$2,$C$4,shape_factors!L$3)</f>
        <v>-1.5659307144360736E-3</v>
      </c>
      <c r="M102" s="5">
        <f>EnergyLJ($A102,$C$2,$C$3,shape_factors!M$2,$C$4,shape_factors!M$3)</f>
        <v>-9.6492291752300256E-4</v>
      </c>
      <c r="N102" s="5">
        <f>EnergyLJ($A102,$C$2,$C$3,shape_factors!N$2,$C$4,shape_factors!N$3)</f>
        <v>-6.0407290395088332E-4</v>
      </c>
      <c r="O102" s="5">
        <f>EnergyLJ($A102,$C$2,$C$3,shape_factors!O$2,$C$4,shape_factors!O$3)</f>
        <v>-5.3819068885859454E-4</v>
      </c>
      <c r="P102" s="5">
        <f>EnergyLJ($A102,$C$2,$C$3,shape_factors!P$2,$C$4,shape_factors!P$3)</f>
        <v>-6.2518007913832168E-4</v>
      </c>
      <c r="Q102" s="5">
        <f>EnergyLJ($A102,$C$2,$C$3,shape_factors!Q$2,$C$4,shape_factors!Q$3)</f>
        <v>-6.5438639056322224E-4</v>
      </c>
      <c r="R102" s="5">
        <f>EnergyLJ($A102,$C$2,$C$3,shape_factors!R$2,$C$4,shape_factors!R$3)</f>
        <v>-1.8750760260186163E-3</v>
      </c>
      <c r="S102" s="5">
        <f>EnergyLJ($A102,$C$2,$C$3,shape_factors!S$2,$C$4,shape_factors!S$3)</f>
        <v>-7.773558098495793E-4</v>
      </c>
      <c r="T102" s="5">
        <f>EnergyLJ($A102,$C$2,$C$3,shape_factors!T$2,$C$4,shape_factors!T$3)</f>
        <v>-4.9945534229827229E-4</v>
      </c>
      <c r="U102" s="5">
        <f>EnergyLJ($A102,$C$2,$C$3,shape_factors!U$2,$C$4,shape_factors!U$3)</f>
        <v>-1.8452811025587942E-3</v>
      </c>
    </row>
    <row r="103" spans="1:21" x14ac:dyDescent="0.25">
      <c r="A103">
        <v>21.2</v>
      </c>
      <c r="B103" s="5">
        <f>EnergyLJ($A103,$C$2,$C$3,shape_factors!B$2,$C$4,shape_factors!B$3)</f>
        <v>-8.8092779681787445E-3</v>
      </c>
      <c r="C103" s="5">
        <f>EnergyLJ($A103,$C$2,$C$3,shape_factors!C$2,$C$4,shape_factors!C$3)</f>
        <v>-2.0000941860490911E-3</v>
      </c>
      <c r="D103" s="5">
        <f>EnergyLJ($A103,$C$2,$C$3,shape_factors!D$2,$C$4,shape_factors!D$3)</f>
        <v>-1.2513982632384646E-2</v>
      </c>
      <c r="E103" s="5">
        <f>EnergyLJ($A103,$C$2,$C$3,shape_factors!E$2,$C$4,shape_factors!E$3)</f>
        <v>-3.7313305456125228E-3</v>
      </c>
      <c r="F103" s="5">
        <f>EnergyLJ($A103,$C$2,$C$3,shape_factors!F$2,$C$4,shape_factors!F$3)</f>
        <v>-1.7212542305994896E-3</v>
      </c>
      <c r="G103" s="5">
        <f>EnergyLJ($A103,$C$2,$C$3,shape_factors!G$2,$C$4,shape_factors!G$3)</f>
        <v>-2.3283768924400941E-3</v>
      </c>
      <c r="H103" s="5">
        <f>EnergyLJ($A103,$C$2,$C$3,shape_factors!H$2,$C$4,shape_factors!H$3)</f>
        <v>-6.8144831331365813E-2</v>
      </c>
      <c r="I103" s="5">
        <f>EnergyLJ($A103,$C$2,$C$3,shape_factors!I$2,$C$4,shape_factors!I$3)</f>
        <v>-4.791955150014301E-3</v>
      </c>
      <c r="J103" s="5">
        <f>EnergyLJ($A103,$C$2,$C$3,shape_factors!J$2,$C$4,shape_factors!J$3)</f>
        <v>-8.7115810901032033E-4</v>
      </c>
      <c r="K103" s="5">
        <f>EnergyLJ($A103,$C$2,$C$3,shape_factors!K$2,$C$4,shape_factors!K$3)</f>
        <v>-1.0623530919410679E-3</v>
      </c>
      <c r="L103" s="5">
        <f>EnergyLJ($A103,$C$2,$C$3,shape_factors!L$2,$C$4,shape_factors!L$3)</f>
        <v>-1.4793821698193814E-3</v>
      </c>
      <c r="M103" s="5">
        <f>EnergyLJ($A103,$C$2,$C$3,shape_factors!M$2,$C$4,shape_factors!M$3)</f>
        <v>-9.1158607220428675E-4</v>
      </c>
      <c r="N103" s="5">
        <f>EnergyLJ($A103,$C$2,$C$3,shape_factors!N$2,$C$4,shape_factors!N$3)</f>
        <v>-5.7068012580501306E-4</v>
      </c>
      <c r="O103" s="5">
        <f>EnergyLJ($A103,$C$2,$C$3,shape_factors!O$2,$C$4,shape_factors!O$3)</f>
        <v>-5.0843948270338666E-4</v>
      </c>
      <c r="P103" s="5">
        <f>EnergyLJ($A103,$C$2,$C$3,shape_factors!P$2,$C$4,shape_factors!P$3)</f>
        <v>-5.9062064194735945E-4</v>
      </c>
      <c r="Q103" s="5">
        <f>EnergyLJ($A103,$C$2,$C$3,shape_factors!Q$2,$C$4,shape_factors!Q$3)</f>
        <v>-6.1821264471467882E-4</v>
      </c>
      <c r="R103" s="5">
        <f>EnergyLJ($A103,$C$2,$C$3,shape_factors!R$2,$C$4,shape_factors!R$3)</f>
        <v>-1.7714469380233787E-3</v>
      </c>
      <c r="S103" s="5">
        <f>EnergyLJ($A103,$C$2,$C$3,shape_factors!S$2,$C$4,shape_factors!S$3)</f>
        <v>-7.3438541304752397E-4</v>
      </c>
      <c r="T103" s="5">
        <f>EnergyLJ($A103,$C$2,$C$3,shape_factors!T$2,$C$4,shape_factors!T$3)</f>
        <v>-4.7184523349603602E-4</v>
      </c>
      <c r="U103" s="5">
        <f>EnergyLJ($A103,$C$2,$C$3,shape_factors!U$2,$C$4,shape_factors!U$3)</f>
        <v>-1.7432981258476644E-3</v>
      </c>
    </row>
    <row r="104" spans="1:21" x14ac:dyDescent="0.25">
      <c r="A104">
        <v>21.4</v>
      </c>
      <c r="B104" s="5">
        <f>EnergyLJ($A104,$C$2,$C$3,shape_factors!B$2,$C$4,shape_factors!B$3)</f>
        <v>-8.3274738737548377E-3</v>
      </c>
      <c r="C104" s="5">
        <f>EnergyLJ($A104,$C$2,$C$3,shape_factors!C$2,$C$4,shape_factors!C$3)</f>
        <v>-1.8905672511366615E-3</v>
      </c>
      <c r="D104" s="5">
        <f>EnergyLJ($A104,$C$2,$C$3,shape_factors!D$2,$C$4,shape_factors!D$3)</f>
        <v>-1.18300233191458E-2</v>
      </c>
      <c r="E104" s="5">
        <f>EnergyLJ($A104,$C$2,$C$3,shape_factors!E$2,$C$4,shape_factors!E$3)</f>
        <v>-3.527064036077371E-3</v>
      </c>
      <c r="F104" s="5">
        <f>EnergyLJ($A104,$C$2,$C$3,shape_factors!F$2,$C$4,shape_factors!F$3)</f>
        <v>-1.626992033347233E-3</v>
      </c>
      <c r="G104" s="5">
        <f>EnergyLJ($A104,$C$2,$C$3,shape_factors!G$2,$C$4,shape_factors!G$3)</f>
        <v>-2.2008805288074532E-3</v>
      </c>
      <c r="H104" s="5">
        <f>EnergyLJ($A104,$C$2,$C$3,shape_factors!H$2,$C$4,shape_factors!H$3)</f>
        <v>-6.4459295355673268E-2</v>
      </c>
      <c r="I104" s="5">
        <f>EnergyLJ($A104,$C$2,$C$3,shape_factors!I$2,$C$4,shape_factors!I$3)</f>
        <v>-4.5296769951884896E-3</v>
      </c>
      <c r="J104" s="5">
        <f>EnergyLJ($A104,$C$2,$C$3,shape_factors!J$2,$C$4,shape_factors!J$3)</f>
        <v>-8.2344291283583705E-4</v>
      </c>
      <c r="K104" s="5">
        <f>EnergyLJ($A104,$C$2,$C$3,shape_factors!K$2,$C$4,shape_factors!K$3)</f>
        <v>-1.0041677609699197E-3</v>
      </c>
      <c r="L104" s="5">
        <f>EnergyLJ($A104,$C$2,$C$3,shape_factors!L$2,$C$4,shape_factors!L$3)</f>
        <v>-1.3983622066299042E-3</v>
      </c>
      <c r="M104" s="5">
        <f>EnergyLJ($A104,$C$2,$C$3,shape_factors!M$2,$C$4,shape_factors!M$3)</f>
        <v>-8.6165691709212894E-4</v>
      </c>
      <c r="N104" s="5">
        <f>EnergyLJ($A104,$C$2,$C$3,shape_factors!N$2,$C$4,shape_factors!N$3)</f>
        <v>-5.3942104411817038E-4</v>
      </c>
      <c r="O104" s="5">
        <f>EnergyLJ($A104,$C$2,$C$3,shape_factors!O$2,$C$4,shape_factors!O$3)</f>
        <v>-4.8058932547989099E-4</v>
      </c>
      <c r="P104" s="5">
        <f>EnergyLJ($A104,$C$2,$C$3,shape_factors!P$2,$C$4,shape_factors!P$3)</f>
        <v>-5.5826943309717273E-4</v>
      </c>
      <c r="Q104" s="5">
        <f>EnergyLJ($A104,$C$2,$C$3,shape_factors!Q$2,$C$4,shape_factors!Q$3)</f>
        <v>-5.8435025556687569E-4</v>
      </c>
      <c r="R104" s="5">
        <f>EnergyLJ($A104,$C$2,$C$3,shape_factors!R$2,$C$4,shape_factors!R$3)</f>
        <v>-1.6744368905110053E-3</v>
      </c>
      <c r="S104" s="5">
        <f>EnergyLJ($A104,$C$2,$C$3,shape_factors!S$2,$C$4,shape_factors!S$3)</f>
        <v>-6.9416054967530894E-4</v>
      </c>
      <c r="T104" s="5">
        <f>EnergyLJ($A104,$C$2,$C$3,shape_factors!T$2,$C$4,shape_factors!T$3)</f>
        <v>-4.4599938194879067E-4</v>
      </c>
      <c r="U104" s="5">
        <f>EnergyLJ($A104,$C$2,$C$3,shape_factors!U$2,$C$4,shape_factors!U$3)</f>
        <v>-1.6478291071833279E-3</v>
      </c>
    </row>
    <row r="105" spans="1:21" x14ac:dyDescent="0.25">
      <c r="A105">
        <v>21.6</v>
      </c>
      <c r="B105" s="5">
        <f>EnergyLJ($A105,$C$2,$C$3,shape_factors!B$2,$C$4,shape_factors!B$3)</f>
        <v>-7.8761011857301656E-3</v>
      </c>
      <c r="C105" s="5">
        <f>EnergyLJ($A105,$C$2,$C$3,shape_factors!C$2,$C$4,shape_factors!C$3)</f>
        <v>-1.7879725274245763E-3</v>
      </c>
      <c r="D105" s="5">
        <f>EnergyLJ($A105,$C$2,$C$3,shape_factors!D$2,$C$4,shape_factors!D$3)</f>
        <v>-1.1189214799011318E-2</v>
      </c>
      <c r="E105" s="5">
        <f>EnergyLJ($A105,$C$2,$C$3,shape_factors!E$2,$C$4,shape_factors!E$3)</f>
        <v>-3.3357192429196258E-3</v>
      </c>
      <c r="F105" s="5">
        <f>EnergyLJ($A105,$C$2,$C$3,shape_factors!F$2,$C$4,shape_factors!F$3)</f>
        <v>-1.5386964103551932E-3</v>
      </c>
      <c r="G105" s="5">
        <f>EnergyLJ($A105,$C$2,$C$3,shape_factors!G$2,$C$4,shape_factors!G$3)</f>
        <v>-2.0814529009564086E-3</v>
      </c>
      <c r="H105" s="5">
        <f>EnergyLJ($A105,$C$2,$C$3,shape_factors!H$2,$C$4,shape_factors!H$3)</f>
        <v>-6.1002173294544826E-2</v>
      </c>
      <c r="I105" s="5">
        <f>EnergyLJ($A105,$C$2,$C$3,shape_factors!I$2,$C$4,shape_factors!I$3)</f>
        <v>-4.2839849796048922E-3</v>
      </c>
      <c r="J105" s="5">
        <f>EnergyLJ($A105,$C$2,$C$3,shape_factors!J$2,$C$4,shape_factors!J$3)</f>
        <v>-7.7874875208592425E-4</v>
      </c>
      <c r="K105" s="5">
        <f>EnergyLJ($A105,$C$2,$C$3,shape_factors!K$2,$C$4,shape_factors!K$3)</f>
        <v>-9.496661577191169E-4</v>
      </c>
      <c r="L105" s="5">
        <f>EnergyLJ($A105,$C$2,$C$3,shape_factors!L$2,$C$4,shape_factors!L$3)</f>
        <v>-1.3224709907615542E-3</v>
      </c>
      <c r="M105" s="5">
        <f>EnergyLJ($A105,$C$2,$C$3,shape_factors!M$2,$C$4,shape_factors!M$3)</f>
        <v>-8.148889331779127E-4</v>
      </c>
      <c r="N105" s="5">
        <f>EnergyLJ($A105,$C$2,$C$3,shape_factors!N$2,$C$4,shape_factors!N$3)</f>
        <v>-5.1014127662042728E-4</v>
      </c>
      <c r="O105" s="5">
        <f>EnergyLJ($A105,$C$2,$C$3,shape_factors!O$2,$C$4,shape_factors!O$3)</f>
        <v>-4.5450266367940074E-4</v>
      </c>
      <c r="P105" s="5">
        <f>EnergyLJ($A105,$C$2,$C$3,shape_factors!P$2,$C$4,shape_factors!P$3)</f>
        <v>-5.2796667921237628E-4</v>
      </c>
      <c r="Q105" s="5">
        <f>EnergyLJ($A105,$C$2,$C$3,shape_factors!Q$2,$C$4,shape_factors!Q$3)</f>
        <v>-5.5263199035193104E-4</v>
      </c>
      <c r="R105" s="5">
        <f>EnergyLJ($A105,$C$2,$C$3,shape_factors!R$2,$C$4,shape_factors!R$3)</f>
        <v>-1.5835672564485893E-3</v>
      </c>
      <c r="S105" s="5">
        <f>EnergyLJ($A105,$C$2,$C$3,shape_factors!S$2,$C$4,shape_factors!S$3)</f>
        <v>-6.5648258473797604E-4</v>
      </c>
      <c r="T105" s="5">
        <f>EnergyLJ($A105,$C$2,$C$3,shape_factors!T$2,$C$4,shape_factors!T$3)</f>
        <v>-4.217901295849501E-4</v>
      </c>
      <c r="U105" s="5">
        <f>EnergyLJ($A105,$C$2,$C$3,shape_factors!U$2,$C$4,shape_factors!U$3)</f>
        <v>-1.5584030114249899E-3</v>
      </c>
    </row>
    <row r="106" spans="1:21" x14ac:dyDescent="0.25">
      <c r="A106">
        <v>21.8</v>
      </c>
      <c r="B106" s="5">
        <f>EnergyLJ($A106,$C$2,$C$3,shape_factors!B$2,$C$4,shape_factors!B$3)</f>
        <v>-7.4529863708958071E-3</v>
      </c>
      <c r="C106" s="5">
        <f>EnergyLJ($A106,$C$2,$C$3,shape_factors!C$2,$C$4,shape_factors!C$3)</f>
        <v>-1.6918132652689779E-3</v>
      </c>
      <c r="D106" s="5">
        <f>EnergyLJ($A106,$C$2,$C$3,shape_factors!D$2,$C$4,shape_factors!D$3)</f>
        <v>-1.0588480617480071E-2</v>
      </c>
      <c r="E106" s="5">
        <f>EnergyLJ($A106,$C$2,$C$3,shape_factors!E$2,$C$4,shape_factors!E$3)</f>
        <v>-3.1563709853641795E-3</v>
      </c>
      <c r="F106" s="5">
        <f>EnergyLJ($A106,$C$2,$C$3,shape_factors!F$2,$C$4,shape_factors!F$3)</f>
        <v>-1.4559397509038147E-3</v>
      </c>
      <c r="G106" s="5">
        <f>EnergyLJ($A106,$C$2,$C$3,shape_factors!G$2,$C$4,shape_factors!G$3)</f>
        <v>-1.969515908537878E-3</v>
      </c>
      <c r="H106" s="5">
        <f>EnergyLJ($A106,$C$2,$C$3,shape_factors!H$2,$C$4,shape_factors!H$3)</f>
        <v>-5.7757645547164747E-2</v>
      </c>
      <c r="I106" s="5">
        <f>EnergyLJ($A106,$C$2,$C$3,shape_factors!I$2,$C$4,shape_factors!I$3)</f>
        <v>-4.0536921575779587E-3</v>
      </c>
      <c r="J106" s="5">
        <f>EnergyLJ($A106,$C$2,$C$3,shape_factors!J$2,$C$4,shape_factors!J$3)</f>
        <v>-7.3685902837876166E-4</v>
      </c>
      <c r="K106" s="5">
        <f>EnergyLJ($A106,$C$2,$C$3,shape_factors!K$2,$C$4,shape_factors!K$3)</f>
        <v>-8.9858419496605774E-4</v>
      </c>
      <c r="L106" s="5">
        <f>EnergyLJ($A106,$C$2,$C$3,shape_factors!L$2,$C$4,shape_factors!L$3)</f>
        <v>-1.2513409142553597E-3</v>
      </c>
      <c r="M106" s="5">
        <f>EnergyLJ($A106,$C$2,$C$3,shape_factors!M$2,$C$4,shape_factors!M$3)</f>
        <v>-7.7105547916270353E-4</v>
      </c>
      <c r="N106" s="5">
        <f>EnergyLJ($A106,$C$2,$C$3,shape_factors!N$2,$C$4,shape_factors!N$3)</f>
        <v>-4.8269889265659365E-4</v>
      </c>
      <c r="O106" s="5">
        <f>EnergyLJ($A106,$C$2,$C$3,shape_factors!O$2,$C$4,shape_factors!O$3)</f>
        <v>-4.3005303861722043E-4</v>
      </c>
      <c r="P106" s="5">
        <f>EnergyLJ($A106,$C$2,$C$3,shape_factors!P$2,$C$4,shape_factors!P$3)</f>
        <v>-4.9956549315405448E-4</v>
      </c>
      <c r="Q106" s="5">
        <f>EnergyLJ($A106,$C$2,$C$3,shape_factors!Q$2,$C$4,shape_factors!Q$3)</f>
        <v>-5.2290410388022553E-4</v>
      </c>
      <c r="R106" s="5">
        <f>EnergyLJ($A106,$C$2,$C$3,shape_factors!R$2,$C$4,shape_factors!R$3)</f>
        <v>-1.498397976991396E-3</v>
      </c>
      <c r="S106" s="5">
        <f>EnergyLJ($A106,$C$2,$C$3,shape_factors!S$2,$C$4,shape_factors!S$3)</f>
        <v>-6.2116890204486931E-4</v>
      </c>
      <c r="T106" s="5">
        <f>EnergyLJ($A106,$C$2,$C$3,shape_factors!T$2,$C$4,shape_factors!T$3)</f>
        <v>-3.9910011529399874E-4</v>
      </c>
      <c r="U106" s="5">
        <f>EnergyLJ($A106,$C$2,$C$3,shape_factors!U$2,$C$4,shape_factors!U$3)</f>
        <v>-1.4745867606722033E-3</v>
      </c>
    </row>
    <row r="107" spans="1:21" x14ac:dyDescent="0.25">
      <c r="A107">
        <v>22</v>
      </c>
      <c r="B107" s="5">
        <f>EnergyLJ($A107,$C$2,$C$3,shape_factors!B$2,$C$4,shape_factors!B$3)</f>
        <v>-7.0561286098410848E-3</v>
      </c>
      <c r="C107" s="5">
        <f>EnergyLJ($A107,$C$2,$C$3,shape_factors!C$2,$C$4,shape_factors!C$3)</f>
        <v>-1.6016323843419812E-3</v>
      </c>
      <c r="D107" s="5">
        <f>EnergyLJ($A107,$C$2,$C$3,shape_factors!D$2,$C$4,shape_factors!D$3)</f>
        <v>-1.0024988110422826E-2</v>
      </c>
      <c r="E107" s="5">
        <f>EnergyLJ($A107,$C$2,$C$3,shape_factors!E$2,$C$4,shape_factors!E$3)</f>
        <v>-2.9881678731019726E-3</v>
      </c>
      <c r="F107" s="5">
        <f>EnergyLJ($A107,$C$2,$C$3,shape_factors!F$2,$C$4,shape_factors!F$3)</f>
        <v>-1.3783285991696254E-3</v>
      </c>
      <c r="G107" s="5">
        <f>EnergyLJ($A107,$C$2,$C$3,shape_factors!G$2,$C$4,shape_factors!G$3)</f>
        <v>-1.8645376060764962E-3</v>
      </c>
      <c r="H107" s="5">
        <f>EnergyLJ($A107,$C$2,$C$3,shape_factors!H$2,$C$4,shape_factors!H$3)</f>
        <v>-5.47110897031967E-2</v>
      </c>
      <c r="I107" s="5">
        <f>EnergyLJ($A107,$C$2,$C$3,shape_factors!I$2,$C$4,shape_factors!I$3)</f>
        <v>-3.837706178804827E-3</v>
      </c>
      <c r="J107" s="5">
        <f>EnergyLJ($A107,$C$2,$C$3,shape_factors!J$2,$C$4,shape_factors!J$3)</f>
        <v>-6.9757445444744198E-4</v>
      </c>
      <c r="K107" s="5">
        <f>EnergyLJ($A107,$C$2,$C$3,shape_factors!K$2,$C$4,shape_factors!K$3)</f>
        <v>-8.5067888913865192E-4</v>
      </c>
      <c r="L107" s="5">
        <f>EnergyLJ($A107,$C$2,$C$3,shape_factors!L$2,$C$4,shape_factors!L$3)</f>
        <v>-1.1846337365114877E-3</v>
      </c>
      <c r="M107" s="5">
        <f>EnergyLJ($A107,$C$2,$C$3,shape_factors!M$2,$C$4,shape_factors!M$3)</f>
        <v>-7.2994802699316195E-4</v>
      </c>
      <c r="N107" s="5">
        <f>EnergyLJ($A107,$C$2,$C$3,shape_factors!N$2,$C$4,shape_factors!N$3)</f>
        <v>-4.5696330749054161E-4</v>
      </c>
      <c r="O107" s="5">
        <f>EnergyLJ($A107,$C$2,$C$3,shape_factors!O$2,$C$4,shape_factors!O$3)</f>
        <v>-4.0712410115153813E-4</v>
      </c>
      <c r="P107" s="5">
        <f>EnergyLJ($A107,$C$2,$C$3,shape_factors!P$2,$C$4,shape_factors!P$3)</f>
        <v>-4.7293072975511494E-4</v>
      </c>
      <c r="Q107" s="5">
        <f>EnergyLJ($A107,$C$2,$C$3,shape_factors!Q$2,$C$4,shape_factors!Q$3)</f>
        <v>-4.9502514091460644E-4</v>
      </c>
      <c r="R107" s="5">
        <f>EnergyLJ($A107,$C$2,$C$3,shape_factors!R$2,$C$4,shape_factors!R$3)</f>
        <v>-1.4185241411995223E-3</v>
      </c>
      <c r="S107" s="5">
        <f>EnergyLJ($A107,$C$2,$C$3,shape_factors!S$2,$C$4,shape_factors!S$3)</f>
        <v>-5.8805148200667863E-4</v>
      </c>
      <c r="T107" s="5">
        <f>EnergyLJ($A107,$C$2,$C$3,shape_factors!T$2,$C$4,shape_factors!T$3)</f>
        <v>-3.7782136046306773E-4</v>
      </c>
      <c r="U107" s="5">
        <f>EnergyLJ($A107,$C$2,$C$3,shape_factors!U$2,$C$4,shape_factors!U$3)</f>
        <v>-1.3959818680560874E-3</v>
      </c>
    </row>
    <row r="108" spans="1:21" x14ac:dyDescent="0.25">
      <c r="A108">
        <v>22.2</v>
      </c>
      <c r="B108" s="5">
        <f>EnergyLJ($A108,$C$2,$C$3,shape_factors!B$2,$C$4,shape_factors!B$3)</f>
        <v>-6.6836847275550011E-3</v>
      </c>
      <c r="C108" s="5">
        <f>EnergyLJ($A108,$C$2,$C$3,shape_factors!C$2,$C$4,shape_factors!C$3)</f>
        <v>-1.5170089871398163E-3</v>
      </c>
      <c r="D108" s="5">
        <f>EnergyLJ($A108,$C$2,$C$3,shape_factors!D$2,$C$4,shape_factors!D$3)</f>
        <v>-9.4961272197347495E-3</v>
      </c>
      <c r="E108" s="5">
        <f>EnergyLJ($A108,$C$2,$C$3,shape_factors!E$2,$C$4,shape_factors!E$3)</f>
        <v>-2.8303258327754158E-3</v>
      </c>
      <c r="F108" s="5">
        <f>EnergyLJ($A108,$C$2,$C$3,shape_factors!F$2,$C$4,shape_factors!F$3)</f>
        <v>-1.305500651510043E-3</v>
      </c>
      <c r="G108" s="5">
        <f>EnergyLJ($A108,$C$2,$C$3,shape_factors!G$2,$C$4,shape_factors!G$3)</f>
        <v>-1.766028147871389E-3</v>
      </c>
      <c r="H108" s="5">
        <f>EnergyLJ($A108,$C$2,$C$3,shape_factors!H$2,$C$4,shape_factors!H$3)</f>
        <v>-5.1848983801370645E-2</v>
      </c>
      <c r="I108" s="5">
        <f>EnergyLJ($A108,$C$2,$C$3,shape_factors!I$2,$C$4,shape_factors!I$3)</f>
        <v>-3.6350209990284655E-3</v>
      </c>
      <c r="J108" s="5">
        <f>EnergyLJ($A108,$C$2,$C$3,shape_factors!J$2,$C$4,shape_factors!J$3)</f>
        <v>-6.607115308837401E-4</v>
      </c>
      <c r="K108" s="5">
        <f>EnergyLJ($A108,$C$2,$C$3,shape_factors!K$2,$C$4,shape_factors!K$3)</f>
        <v>-8.0572650371391725E-4</v>
      </c>
      <c r="L108" s="5">
        <f>EnergyLJ($A108,$C$2,$C$3,shape_factors!L$2,$C$4,shape_factors!L$3)</f>
        <v>-1.1220380018133233E-3</v>
      </c>
      <c r="M108" s="5">
        <f>EnergyLJ($A108,$C$2,$C$3,shape_factors!M$2,$C$4,shape_factors!M$3)</f>
        <v>-6.9137456809081552E-4</v>
      </c>
      <c r="N108" s="5">
        <f>EnergyLJ($A108,$C$2,$C$3,shape_factors!N$2,$C$4,shape_factors!N$3)</f>
        <v>-4.3281428363084261E-4</v>
      </c>
      <c r="O108" s="5">
        <f>EnergyLJ($A108,$C$2,$C$3,shape_factors!O$2,$C$4,shape_factors!O$3)</f>
        <v>-3.8560872177781521E-4</v>
      </c>
      <c r="P108" s="5">
        <f>EnergyLJ($A108,$C$2,$C$3,shape_factors!P$2,$C$4,shape_factors!P$3)</f>
        <v>-4.4793795230663994E-4</v>
      </c>
      <c r="Q108" s="5">
        <f>EnergyLJ($A108,$C$2,$C$3,shape_factors!Q$2,$C$4,shape_factors!Q$3)</f>
        <v>-4.688648544553249E-4</v>
      </c>
      <c r="R108" s="5">
        <f>EnergyLJ($A108,$C$2,$C$3,shape_factors!R$2,$C$4,shape_factors!R$3)</f>
        <v>-1.3435728961855476E-3</v>
      </c>
      <c r="S108" s="5">
        <f>EnergyLJ($A108,$C$2,$C$3,shape_factors!S$2,$C$4,shape_factors!S$3)</f>
        <v>-5.569756170537213E-4</v>
      </c>
      <c r="T108" s="5">
        <f>EnergyLJ($A108,$C$2,$C$3,shape_factors!T$2,$C$4,shape_factors!T$3)</f>
        <v>-3.5785444303889426E-4</v>
      </c>
      <c r="U108" s="5">
        <f>EnergyLJ($A108,$C$2,$C$3,shape_factors!U$2,$C$4,shape_factors!U$3)</f>
        <v>-1.3222213967518225E-3</v>
      </c>
    </row>
    <row r="109" spans="1:21" x14ac:dyDescent="0.25">
      <c r="A109">
        <v>22.4</v>
      </c>
      <c r="B109" s="5">
        <f>EnergyLJ($A109,$C$2,$C$3,shape_factors!B$2,$C$4,shape_factors!B$3)</f>
        <v>-6.3339555519343095E-3</v>
      </c>
      <c r="C109" s="5">
        <f>EnergyLJ($A109,$C$2,$C$3,shape_factors!C$2,$C$4,shape_factors!C$3)</f>
        <v>-1.4375552063149756E-3</v>
      </c>
      <c r="D109" s="5">
        <f>EnergyLJ($A109,$C$2,$C$3,shape_factors!D$2,$C$4,shape_factors!D$3)</f>
        <v>-8.9994913044921469E-3</v>
      </c>
      <c r="E109" s="5">
        <f>EnergyLJ($A109,$C$2,$C$3,shape_factors!E$2,$C$4,shape_factors!E$3)</f>
        <v>-2.6821222526813237E-3</v>
      </c>
      <c r="F109" s="5">
        <f>EnergyLJ($A109,$C$2,$C$3,shape_factors!F$2,$C$4,shape_factors!F$3)</f>
        <v>-1.2371220413709642E-3</v>
      </c>
      <c r="G109" s="5">
        <f>EnergyLJ($A109,$C$2,$C$3,shape_factors!G$2,$C$4,shape_factors!G$3)</f>
        <v>-1.6735361209737737E-3</v>
      </c>
      <c r="H109" s="5">
        <f>EnergyLJ($A109,$C$2,$C$3,shape_factors!H$2,$C$4,shape_factors!H$3)</f>
        <v>-4.9158817700485996E-2</v>
      </c>
      <c r="I109" s="5">
        <f>EnergyLJ($A109,$C$2,$C$3,shape_factors!I$2,$C$4,shape_factors!I$3)</f>
        <v>-3.4447093810563694E-3</v>
      </c>
      <c r="J109" s="5">
        <f>EnergyLJ($A109,$C$2,$C$3,shape_factors!J$2,$C$4,shape_factors!J$3)</f>
        <v>-6.2610116897481017E-4</v>
      </c>
      <c r="K109" s="5">
        <f>EnergyLJ($A109,$C$2,$C$3,shape_factors!K$2,$C$4,shape_factors!K$3)</f>
        <v>-7.6352087062976095E-4</v>
      </c>
      <c r="L109" s="5">
        <f>EnergyLJ($A109,$C$2,$C$3,shape_factors!L$2,$C$4,shape_factors!L$3)</f>
        <v>-1.0632667043095271E-3</v>
      </c>
      <c r="M109" s="5">
        <f>EnergyLJ($A109,$C$2,$C$3,shape_factors!M$2,$C$4,shape_factors!M$3)</f>
        <v>-6.5515817242806041E-4</v>
      </c>
      <c r="N109" s="5">
        <f>EnergyLJ($A109,$C$2,$C$3,shape_factors!N$2,$C$4,shape_factors!N$3)</f>
        <v>-4.1014102798004177E-4</v>
      </c>
      <c r="O109" s="5">
        <f>EnergyLJ($A109,$C$2,$C$3,shape_factors!O$2,$C$4,shape_factors!O$3)</f>
        <v>-3.6540818611819091E-4</v>
      </c>
      <c r="P109" s="5">
        <f>EnergyLJ($A109,$C$2,$C$3,shape_factors!P$2,$C$4,shape_factors!P$3)</f>
        <v>-4.2447249820782272E-4</v>
      </c>
      <c r="Q109" s="5">
        <f>EnergyLJ($A109,$C$2,$C$3,shape_factors!Q$2,$C$4,shape_factors!Q$3)</f>
        <v>-4.4430322780916721E-4</v>
      </c>
      <c r="R109" s="5">
        <f>EnergyLJ($A109,$C$2,$C$3,shape_factors!R$2,$C$4,shape_factors!R$3)</f>
        <v>-1.2732006532095435E-3</v>
      </c>
      <c r="S109" s="5">
        <f>EnergyLJ($A109,$C$2,$C$3,shape_factors!S$2,$C$4,shape_factors!S$3)</f>
        <v>-5.277987502811611E-4</v>
      </c>
      <c r="T109" s="5">
        <f>EnergyLJ($A109,$C$2,$C$3,shape_factors!T$2,$C$4,shape_factors!T$3)</f>
        <v>-3.391077508507627E-4</v>
      </c>
      <c r="U109" s="5">
        <f>EnergyLJ($A109,$C$2,$C$3,shape_factors!U$2,$C$4,shape_factors!U$3)</f>
        <v>-1.2529672102704037E-3</v>
      </c>
    </row>
    <row r="110" spans="1:21" x14ac:dyDescent="0.25">
      <c r="A110">
        <v>22.6</v>
      </c>
      <c r="B110" s="5">
        <f>EnergyLJ($A110,$C$2,$C$3,shape_factors!B$2,$C$4,shape_factors!B$3)</f>
        <v>-6.0053735546507329E-3</v>
      </c>
      <c r="C110" s="5">
        <f>EnergyLJ($A110,$C$2,$C$3,shape_factors!C$2,$C$4,shape_factors!C$3)</f>
        <v>-1.3629133513052645E-3</v>
      </c>
      <c r="D110" s="5">
        <f>EnergyLJ($A110,$C$2,$C$3,shape_factors!D$2,$C$4,shape_factors!D$3)</f>
        <v>-8.5328597459201367E-3</v>
      </c>
      <c r="E110" s="5">
        <f>EnergyLJ($A110,$C$2,$C$3,shape_factors!E$2,$C$4,shape_factors!E$3)</f>
        <v>-2.5428906819796454E-3</v>
      </c>
      <c r="F110" s="5">
        <f>EnergyLJ($A110,$C$2,$C$3,shape_factors!F$2,$C$4,shape_factors!F$3)</f>
        <v>-1.1728848820515131E-3</v>
      </c>
      <c r="G110" s="5">
        <f>EnergyLJ($A110,$C$2,$C$3,shape_factors!G$2,$C$4,shape_factors!G$3)</f>
        <v>-1.5866452261301652E-3</v>
      </c>
      <c r="H110" s="5">
        <f>EnergyLJ($A110,$C$2,$C$3,shape_factors!H$2,$C$4,shape_factors!H$3)</f>
        <v>-4.6629011888352619E-2</v>
      </c>
      <c r="I110" s="5">
        <f>EnergyLJ($A110,$C$2,$C$3,shape_factors!I$2,$C$4,shape_factors!I$3)</f>
        <v>-3.2659161048655271E-3</v>
      </c>
      <c r="J110" s="5">
        <f>EnergyLJ($A110,$C$2,$C$3,shape_factors!J$2,$C$4,shape_factors!J$3)</f>
        <v>-5.9358744448757882E-4</v>
      </c>
      <c r="K110" s="5">
        <f>EnergyLJ($A110,$C$2,$C$3,shape_factors!K$2,$C$4,shape_factors!K$3)</f>
        <v>-7.2387187126277933E-4</v>
      </c>
      <c r="L110" s="5">
        <f>EnergyLJ($A110,$C$2,$C$3,shape_factors!L$2,$C$4,shape_factors!L$3)</f>
        <v>-1.0080551748323076E-3</v>
      </c>
      <c r="M110" s="5">
        <f>EnergyLJ($A110,$C$2,$C$3,shape_factors!M$2,$C$4,shape_factors!M$3)</f>
        <v>-6.2113568460680113E-4</v>
      </c>
      <c r="N110" s="5">
        <f>EnergyLJ($A110,$C$2,$C$3,shape_factors!N$2,$C$4,shape_factors!N$3)</f>
        <v>-3.8884137486761206E-4</v>
      </c>
      <c r="O110" s="5">
        <f>EnergyLJ($A110,$C$2,$C$3,shape_factors!O$2,$C$4,shape_factors!O$3)</f>
        <v>-3.4643146694660716E-4</v>
      </c>
      <c r="P110" s="5">
        <f>EnergyLJ($A110,$C$2,$C$3,shape_factors!P$2,$C$4,shape_factors!P$3)</f>
        <v>-4.0242863349348394E-4</v>
      </c>
      <c r="Q110" s="5">
        <f>EnergyLJ($A110,$C$2,$C$3,shape_factors!Q$2,$C$4,shape_factors!Q$3)</f>
        <v>-4.2122958967809093E-4</v>
      </c>
      <c r="R110" s="5">
        <f>EnergyLJ($A110,$C$2,$C$3,shape_factors!R$2,$C$4,shape_factors!R$3)</f>
        <v>-1.2070905590974579E-3</v>
      </c>
      <c r="S110" s="5">
        <f>EnergyLJ($A110,$C$2,$C$3,shape_factors!S$2,$C$4,shape_factors!S$3)</f>
        <v>-5.0038942454286078E-4</v>
      </c>
      <c r="T110" s="5">
        <f>EnergyLJ($A110,$C$2,$C$3,shape_factors!T$2,$C$4,shape_factors!T$3)</f>
        <v>-3.2149680597089527E-4</v>
      </c>
      <c r="U110" s="5">
        <f>EnergyLJ($A110,$C$2,$C$3,shape_factors!U$2,$C$4,shape_factors!U$3)</f>
        <v>-1.1879074838869602E-3</v>
      </c>
    </row>
    <row r="111" spans="1:21" x14ac:dyDescent="0.25">
      <c r="A111">
        <v>22.8</v>
      </c>
      <c r="B111" s="5">
        <f>EnergyLJ($A111,$C$2,$C$3,shape_factors!B$2,$C$4,shape_factors!B$3)</f>
        <v>-5.6964916446530147E-3</v>
      </c>
      <c r="C111" s="5">
        <f>EnergyLJ($A111,$C$2,$C$3,shape_factors!C$2,$C$4,shape_factors!C$3)</f>
        <v>-1.2927533235625459E-3</v>
      </c>
      <c r="D111" s="5">
        <f>EnergyLJ($A111,$C$2,$C$3,shape_factors!D$2,$C$4,shape_factors!D$3)</f>
        <v>-8.0941821661440396E-3</v>
      </c>
      <c r="E111" s="5">
        <f>EnergyLJ($A111,$C$2,$C$3,shape_factors!E$2,$C$4,shape_factors!E$3)</f>
        <v>-2.4120160277289106E-3</v>
      </c>
      <c r="F111" s="5">
        <f>EnergyLJ($A111,$C$2,$C$3,shape_factors!F$2,$C$4,shape_factors!F$3)</f>
        <v>-1.1125050408646025E-3</v>
      </c>
      <c r="G111" s="5">
        <f>EnergyLJ($A111,$C$2,$C$3,shape_factors!G$2,$C$4,shape_factors!G$3)</f>
        <v>-1.5049712710251688E-3</v>
      </c>
      <c r="H111" s="5">
        <f>EnergyLJ($A111,$C$2,$C$3,shape_factors!H$2,$C$4,shape_factors!H$3)</f>
        <v>-4.4248843104257161E-2</v>
      </c>
      <c r="I111" s="5">
        <f>EnergyLJ($A111,$C$2,$C$3,shape_factors!I$2,$C$4,shape_factors!I$3)</f>
        <v>-3.0978518144674956E-3</v>
      </c>
      <c r="J111" s="5">
        <f>EnergyLJ($A111,$C$2,$C$3,shape_factors!J$2,$C$4,shape_factors!J$3)</f>
        <v>-5.6302646894084037E-4</v>
      </c>
      <c r="K111" s="5">
        <f>EnergyLJ($A111,$C$2,$C$3,shape_factors!K$2,$C$4,shape_factors!K$3)</f>
        <v>-6.8660406057647228E-4</v>
      </c>
      <c r="L111" s="5">
        <f>EnergyLJ($A111,$C$2,$C$3,shape_factors!L$2,$C$4,shape_factors!L$3)</f>
        <v>-9.5615916677636653E-4</v>
      </c>
      <c r="M111" s="5">
        <f>EnergyLJ($A111,$C$2,$C$3,shape_factors!M$2,$C$4,shape_factors!M$3)</f>
        <v>-5.8915654285845358E-4</v>
      </c>
      <c r="N111" s="5">
        <f>EnergyLJ($A111,$C$2,$C$3,shape_factors!N$2,$C$4,shape_factors!N$3)</f>
        <v>-3.6882104613358005E-4</v>
      </c>
      <c r="O111" s="5">
        <f>EnergyLJ($A111,$C$2,$C$3,shape_factors!O$2,$C$4,shape_factors!O$3)</f>
        <v>-3.2859456487712514E-4</v>
      </c>
      <c r="P111" s="5">
        <f>EnergyLJ($A111,$C$2,$C$3,shape_factors!P$2,$C$4,shape_factors!P$3)</f>
        <v>-3.8170878709859265E-4</v>
      </c>
      <c r="Q111" s="5">
        <f>EnergyLJ($A111,$C$2,$C$3,shape_factors!Q$2,$C$4,shape_factors!Q$3)</f>
        <v>-3.9954181270132811E-4</v>
      </c>
      <c r="R111" s="5">
        <f>EnergyLJ($A111,$C$2,$C$3,shape_factors!R$2,$C$4,shape_factors!R$3)</f>
        <v>-1.1449502057580246E-3</v>
      </c>
      <c r="S111" s="5">
        <f>EnergyLJ($A111,$C$2,$C$3,shape_factors!S$2,$C$4,shape_factors!S$3)</f>
        <v>-4.7462633063796668E-4</v>
      </c>
      <c r="T111" s="5">
        <f>EnergyLJ($A111,$C$2,$C$3,shape_factors!T$2,$C$4,shape_factors!T$3)</f>
        <v>-3.0494365280481391E-4</v>
      </c>
      <c r="U111" s="5">
        <f>EnergyLJ($A111,$C$2,$C$3,shape_factors!U$2,$C$4,shape_factors!U$3)</f>
        <v>-1.1267544504089549E-3</v>
      </c>
    </row>
    <row r="112" spans="1:21" x14ac:dyDescent="0.25">
      <c r="A112">
        <v>23</v>
      </c>
      <c r="B112" s="5">
        <f>EnergyLJ($A112,$C$2,$C$3,shape_factors!B$2,$C$4,shape_factors!B$3)</f>
        <v>-5.4059729985824635E-3</v>
      </c>
      <c r="C112" s="5">
        <f>EnergyLJ($A112,$C$2,$C$3,shape_factors!C$2,$C$4,shape_factors!C$3)</f>
        <v>-1.2267702730610988E-3</v>
      </c>
      <c r="D112" s="5">
        <f>EnergyLJ($A112,$C$2,$C$3,shape_factors!D$2,$C$4,shape_factors!D$3)</f>
        <v>-7.6815640999131508E-3</v>
      </c>
      <c r="E112" s="5">
        <f>EnergyLJ($A112,$C$2,$C$3,shape_factors!E$2,$C$4,shape_factors!E$3)</f>
        <v>-2.2889301992759536E-3</v>
      </c>
      <c r="F112" s="5">
        <f>EnergyLJ($A112,$C$2,$C$3,shape_factors!F$2,$C$4,shape_factors!F$3)</f>
        <v>-1.0557201211452651E-3</v>
      </c>
      <c r="G112" s="5">
        <f>EnergyLJ($A112,$C$2,$C$3,shape_factors!G$2,$C$4,shape_factors!G$3)</f>
        <v>-1.4281594440782217E-3</v>
      </c>
      <c r="H112" s="5">
        <f>EnergyLJ($A112,$C$2,$C$3,shape_factors!H$2,$C$4,shape_factors!H$3)</f>
        <v>-4.2008376198590741E-2</v>
      </c>
      <c r="I112" s="5">
        <f>EnergyLJ($A112,$C$2,$C$3,shape_factors!I$2,$C$4,shape_factors!I$3)</f>
        <v>-2.939787437104564E-3</v>
      </c>
      <c r="J112" s="5">
        <f>EnergyLJ($A112,$C$2,$C$3,shape_factors!J$2,$C$4,shape_factors!J$3)</f>
        <v>-5.3428536639023717E-4</v>
      </c>
      <c r="K112" s="5">
        <f>EnergyLJ($A112,$C$2,$C$3,shape_factors!K$2,$C$4,shape_factors!K$3)</f>
        <v>-6.5155541985247099E-4</v>
      </c>
      <c r="L112" s="5">
        <f>EnergyLJ($A112,$C$2,$C$3,shape_factors!L$2,$C$4,shape_factors!L$3)</f>
        <v>-9.0735312077203588E-4</v>
      </c>
      <c r="M112" s="5">
        <f>EnergyLJ($A112,$C$2,$C$3,shape_factors!M$2,$C$4,shape_factors!M$3)</f>
        <v>-5.5908170843759939E-4</v>
      </c>
      <c r="N112" s="5">
        <f>EnergyLJ($A112,$C$2,$C$3,shape_factors!N$2,$C$4,shape_factors!N$3)</f>
        <v>-3.499929804052079E-4</v>
      </c>
      <c r="O112" s="5">
        <f>EnergyLJ($A112,$C$2,$C$3,shape_factors!O$2,$C$4,shape_factors!O$3)</f>
        <v>-3.1181991071238253E-4</v>
      </c>
      <c r="P112" s="5">
        <f>EnergyLJ($A112,$C$2,$C$3,shape_factors!P$2,$C$4,shape_factors!P$3)</f>
        <v>-3.622228567285215E-4</v>
      </c>
      <c r="Q112" s="5">
        <f>EnergyLJ($A112,$C$2,$C$3,shape_factors!Q$2,$C$4,shape_factors!Q$3)</f>
        <v>-3.7914558694111794E-4</v>
      </c>
      <c r="R112" s="5">
        <f>EnergyLJ($A112,$C$2,$C$3,shape_factors!R$2,$C$4,shape_factors!R$3)</f>
        <v>-1.0865095535702778E-3</v>
      </c>
      <c r="S112" s="5">
        <f>EnergyLJ($A112,$C$2,$C$3,shape_factors!S$2,$C$4,shape_factors!S$3)</f>
        <v>-4.5039744448777369E-4</v>
      </c>
      <c r="T112" s="5">
        <f>EnergyLJ($A112,$C$2,$C$3,shape_factors!T$2,$C$4,shape_factors!T$3)</f>
        <v>-2.8937630341132839E-4</v>
      </c>
      <c r="U112" s="5">
        <f>EnergyLJ($A112,$C$2,$C$3,shape_factors!U$2,$C$4,shape_factors!U$3)</f>
        <v>-1.0692423564375403E-3</v>
      </c>
    </row>
    <row r="113" spans="1:21" x14ac:dyDescent="0.25">
      <c r="A113">
        <v>23.2</v>
      </c>
      <c r="B113" s="5">
        <f>EnergyLJ($A113,$C$2,$C$3,shape_factors!B$2,$C$4,shape_factors!B$3)</f>
        <v>-5.1325818247838157E-3</v>
      </c>
      <c r="C113" s="5">
        <f>EnergyLJ($A113,$C$2,$C$3,shape_factors!C$2,$C$4,shape_factors!C$3)</f>
        <v>-1.1646824717466259E-3</v>
      </c>
      <c r="D113" s="5">
        <f>EnergyLJ($A113,$C$2,$C$3,shape_factors!D$2,$C$4,shape_factors!D$3)</f>
        <v>-7.2932539755404631E-3</v>
      </c>
      <c r="E113" s="5">
        <f>EnergyLJ($A113,$C$2,$C$3,shape_factors!E$2,$C$4,shape_factors!E$3)</f>
        <v>-2.1731081550108453E-3</v>
      </c>
      <c r="F113" s="5">
        <f>EnergyLJ($A113,$C$2,$C$3,shape_factors!F$2,$C$4,shape_factors!F$3)</f>
        <v>-1.0022876311299854E-3</v>
      </c>
      <c r="G113" s="5">
        <f>EnergyLJ($A113,$C$2,$C$3,shape_factors!G$2,$C$4,shape_factors!G$3)</f>
        <v>-1.3558818405098039E-3</v>
      </c>
      <c r="H113" s="5">
        <f>EnergyLJ($A113,$C$2,$C$3,shape_factors!H$2,$C$4,shape_factors!H$3)</f>
        <v>-3.989840169891587E-2</v>
      </c>
      <c r="I113" s="5">
        <f>EnergyLJ($A113,$C$2,$C$3,shape_factors!I$2,$C$4,shape_factors!I$3)</f>
        <v>-2.791049117328393E-3</v>
      </c>
      <c r="J113" s="5">
        <f>EnergyLJ($A113,$C$2,$C$3,shape_factors!J$2,$C$4,shape_factors!J$3)</f>
        <v>-5.0724134506164404E-4</v>
      </c>
      <c r="K113" s="5">
        <f>EnergyLJ($A113,$C$2,$C$3,shape_factors!K$2,$C$4,shape_factors!K$3)</f>
        <v>-6.1857622501283814E-4</v>
      </c>
      <c r="L113" s="5">
        <f>EnergyLJ($A113,$C$2,$C$3,shape_factors!L$2,$C$4,shape_factors!L$3)</f>
        <v>-8.6142859010044108E-4</v>
      </c>
      <c r="M113" s="5">
        <f>EnergyLJ($A113,$C$2,$C$3,shape_factors!M$2,$C$4,shape_factors!M$3)</f>
        <v>-5.3078269425227355E-4</v>
      </c>
      <c r="N113" s="5">
        <f>EnergyLJ($A113,$C$2,$C$3,shape_factors!N$2,$C$4,shape_factors!N$3)</f>
        <v>-3.3227672456956629E-4</v>
      </c>
      <c r="O113" s="5">
        <f>EnergyLJ($A113,$C$2,$C$3,shape_factors!O$2,$C$4,shape_factors!O$3)</f>
        <v>-2.9603582321612428E-4</v>
      </c>
      <c r="P113" s="5">
        <f>EnergyLJ($A113,$C$2,$C$3,shape_factors!P$2,$C$4,shape_factors!P$3)</f>
        <v>-3.4388757909413497E-4</v>
      </c>
      <c r="Q113" s="5">
        <f>EnergyLJ($A113,$C$2,$C$3,shape_factors!Q$2,$C$4,shape_factors!Q$3)</f>
        <v>-3.5995376073399515E-4</v>
      </c>
      <c r="R113" s="5">
        <f>EnergyLJ($A113,$C$2,$C$3,shape_factors!R$2,$C$4,shape_factors!R$3)</f>
        <v>-1.0315190470589479E-3</v>
      </c>
      <c r="S113" s="5">
        <f>EnergyLJ($A113,$C$2,$C$3,shape_factors!S$2,$C$4,shape_factors!S$3)</f>
        <v>-4.2759924430625125E-4</v>
      </c>
      <c r="T113" s="5">
        <f>EnergyLJ($A113,$C$2,$C$3,shape_factors!T$2,$C$4,shape_factors!T$3)</f>
        <v>-2.7472823426380591E-4</v>
      </c>
      <c r="U113" s="5">
        <f>EnergyLJ($A113,$C$2,$C$3,shape_factors!U$2,$C$4,shape_factors!U$3)</f>
        <v>-1.0151256078791669E-3</v>
      </c>
    </row>
    <row r="114" spans="1:21" x14ac:dyDescent="0.25">
      <c r="A114">
        <v>23.4</v>
      </c>
      <c r="B114" s="5">
        <f>EnergyLJ($A114,$C$2,$C$3,shape_factors!B$2,$C$4,shape_factors!B$3)</f>
        <v>-4.8751749685877026E-3</v>
      </c>
      <c r="C114" s="5">
        <f>EnergyLJ($A114,$C$2,$C$3,shape_factors!C$2,$C$4,shape_factors!C$3)</f>
        <v>-1.1062293822211853E-3</v>
      </c>
      <c r="D114" s="5">
        <f>EnergyLJ($A114,$C$2,$C$3,shape_factors!D$2,$C$4,shape_factors!D$3)</f>
        <v>-6.9276312764484666E-3</v>
      </c>
      <c r="E114" s="5">
        <f>EnergyLJ($A114,$C$2,$C$3,shape_factors!E$2,$C$4,shape_factors!E$3)</f>
        <v>-2.0640643113469985E-3</v>
      </c>
      <c r="F114" s="5">
        <f>EnergyLJ($A114,$C$2,$C$3,shape_factors!F$2,$C$4,shape_factors!F$3)</f>
        <v>-9.5198332100212299E-4</v>
      </c>
      <c r="G114" s="5">
        <f>EnergyLJ($A114,$C$2,$C$3,shape_factors!G$2,$C$4,shape_factors!G$3)</f>
        <v>-1.2878352154515309E-3</v>
      </c>
      <c r="H114" s="5">
        <f>EnergyLJ($A114,$C$2,$C$3,shape_factors!H$2,$C$4,shape_factors!H$3)</f>
        <v>-3.7910378594755455E-2</v>
      </c>
      <c r="I114" s="5">
        <f>EnergyLJ($A114,$C$2,$C$3,shape_factors!I$2,$C$4,shape_factors!I$3)</f>
        <v>-2.6510136146884588E-3</v>
      </c>
      <c r="J114" s="5">
        <f>EnergyLJ($A114,$C$2,$C$3,shape_factors!J$2,$C$4,shape_factors!J$3)</f>
        <v>-4.8178085432577171E-4</v>
      </c>
      <c r="K114" s="5">
        <f>EnergyLJ($A114,$C$2,$C$3,shape_factors!K$2,$C$4,shape_factors!K$3)</f>
        <v>-5.8752801895073294E-4</v>
      </c>
      <c r="L114" s="5">
        <f>EnergyLJ($A114,$C$2,$C$3,shape_factors!L$2,$C$4,shape_factors!L$3)</f>
        <v>-8.1819281075472901E-4</v>
      </c>
      <c r="M114" s="5">
        <f>EnergyLJ($A114,$C$2,$C$3,shape_factors!M$2,$C$4,shape_factors!M$3)</f>
        <v>-5.0414068278451017E-4</v>
      </c>
      <c r="N114" s="5">
        <f>EnergyLJ($A114,$C$2,$C$3,shape_factors!N$2,$C$4,shape_factors!N$3)</f>
        <v>-3.1559788120468564E-4</v>
      </c>
      <c r="O114" s="5">
        <f>EnergyLJ($A114,$C$2,$C$3,shape_factors!O$2,$C$4,shape_factors!O$3)</f>
        <v>-2.8117601675103817E-4</v>
      </c>
      <c r="P114" s="5">
        <f>EnergyLJ($A114,$C$2,$C$3,shape_factors!P$2,$C$4,shape_factors!P$3)</f>
        <v>-3.2662595805709978E-4</v>
      </c>
      <c r="Q114" s="5">
        <f>EnergyLJ($A114,$C$2,$C$3,shape_factors!Q$2,$C$4,shape_factors!Q$3)</f>
        <v>-3.4188574215241249E-4</v>
      </c>
      <c r="R114" s="5">
        <f>EnergyLJ($A114,$C$2,$C$3,shape_factors!R$2,$C$4,shape_factors!R$3)</f>
        <v>-9.7974790361222497E-4</v>
      </c>
      <c r="S114" s="5">
        <f>EnergyLJ($A114,$C$2,$C$3,shape_factors!S$2,$C$4,shape_factors!S$3)</f>
        <v>-4.0613599974422064E-4</v>
      </c>
      <c r="T114" s="5">
        <f>EnergyLJ($A114,$C$2,$C$3,shape_factors!T$2,$C$4,shape_factors!T$3)</f>
        <v>-2.6093792929310258E-4</v>
      </c>
      <c r="U114" s="5">
        <f>EnergyLJ($A114,$C$2,$C$3,shape_factors!U$2,$C$4,shape_factors!U$3)</f>
        <v>-9.6417708576505921E-4</v>
      </c>
    </row>
    <row r="115" spans="1:21" x14ac:dyDescent="0.25">
      <c r="A115">
        <v>23.6</v>
      </c>
      <c r="B115" s="5">
        <f>EnergyLJ($A115,$C$2,$C$3,shape_factors!B$2,$C$4,shape_factors!B$3)</f>
        <v>-4.6326942762957481E-3</v>
      </c>
      <c r="C115" s="5">
        <f>EnergyLJ($A115,$C$2,$C$3,shape_factors!C$2,$C$4,shape_factors!C$3)</f>
        <v>-1.051169902289569E-3</v>
      </c>
      <c r="D115" s="5">
        <f>EnergyLJ($A115,$C$2,$C$3,shape_factors!D$2,$C$4,shape_factors!D$3)</f>
        <v>-6.5831957681734589E-3</v>
      </c>
      <c r="E115" s="5">
        <f>EnergyLJ($A115,$C$2,$C$3,shape_factors!E$2,$C$4,shape_factors!E$3)</f>
        <v>-1.9613492780789945E-3</v>
      </c>
      <c r="F115" s="5">
        <f>EnergyLJ($A115,$C$2,$C$3,shape_factors!F$2,$C$4,shape_factors!F$3)</f>
        <v>-9.045996714079445E-4</v>
      </c>
      <c r="G115" s="5">
        <f>EnergyLJ($A115,$C$2,$C$3,shape_factors!G$2,$C$4,shape_factors!G$3)</f>
        <v>-1.2237389415807722E-3</v>
      </c>
      <c r="H115" s="5">
        <f>EnergyLJ($A115,$C$2,$C$3,shape_factors!H$2,$C$4,shape_factors!H$3)</f>
        <v>-3.6036381893646587E-2</v>
      </c>
      <c r="I115" s="5">
        <f>EnergyLJ($A115,$C$2,$C$3,shape_factors!I$2,$C$4,shape_factors!I$3)</f>
        <v>-2.5191041192273384E-3</v>
      </c>
      <c r="J115" s="5">
        <f>EnergyLJ($A115,$C$2,$C$3,shape_factors!J$2,$C$4,shape_factors!J$3)</f>
        <v>-4.5779881853008349E-4</v>
      </c>
      <c r="K115" s="5">
        <f>EnergyLJ($A115,$C$2,$C$3,shape_factors!K$2,$C$4,shape_factors!K$3)</f>
        <v>-5.5828267753289221E-4</v>
      </c>
      <c r="L115" s="5">
        <f>EnergyLJ($A115,$C$2,$C$3,shape_factors!L$2,$C$4,shape_factors!L$3)</f>
        <v>-7.774674017815103E-4</v>
      </c>
      <c r="M115" s="5">
        <f>EnergyLJ($A115,$C$2,$C$3,shape_factors!M$2,$C$4,shape_factors!M$3)</f>
        <v>-4.7904572442521095E-4</v>
      </c>
      <c r="N115" s="5">
        <f>EnergyLJ($A115,$C$2,$C$3,shape_factors!N$2,$C$4,shape_factors!N$3)</f>
        <v>-2.9988760640375797E-4</v>
      </c>
      <c r="O115" s="5">
        <f>EnergyLJ($A115,$C$2,$C$3,shape_factors!O$2,$C$4,shape_factors!O$3)</f>
        <v>-2.6717915382191434E-4</v>
      </c>
      <c r="P115" s="5">
        <f>EnergyLJ($A115,$C$2,$C$3,shape_factors!P$2,$C$4,shape_factors!P$3)</f>
        <v>-3.1036674492595693E-4</v>
      </c>
      <c r="Q115" s="5">
        <f>EnergyLJ($A115,$C$2,$C$3,shape_factors!Q$2,$C$4,shape_factors!Q$3)</f>
        <v>-3.2486695504895473E-4</v>
      </c>
      <c r="R115" s="5">
        <f>EnergyLJ($A115,$C$2,$C$3,shape_factors!R$2,$C$4,shape_factors!R$3)</f>
        <v>-9.3098255806364468E-4</v>
      </c>
      <c r="S115" s="5">
        <f>EnergyLJ($A115,$C$2,$C$3,shape_factors!S$2,$C$4,shape_factors!S$3)</f>
        <v>-3.85919125850642E-4</v>
      </c>
      <c r="T115" s="5">
        <f>EnergyLJ($A115,$C$2,$C$3,shape_factors!T$2,$C$4,shape_factors!T$3)</f>
        <v>-2.479484646083667E-4</v>
      </c>
      <c r="U115" s="5">
        <f>EnergyLJ($A115,$C$2,$C$3,shape_factors!U$2,$C$4,shape_factors!U$3)</f>
        <v>-9.1618661547103269E-4</v>
      </c>
    </row>
    <row r="116" spans="1:21" x14ac:dyDescent="0.25">
      <c r="A116">
        <v>23.8</v>
      </c>
      <c r="B116" s="5">
        <f>EnergyLJ($A116,$C$2,$C$3,shape_factors!B$2,$C$4,shape_factors!B$3)</f>
        <v>-4.4041596439610767E-3</v>
      </c>
      <c r="C116" s="5">
        <f>EnergyLJ($A116,$C$2,$C$3,shape_factors!C$2,$C$4,shape_factors!C$3)</f>
        <v>-9.9928076805608939E-4</v>
      </c>
      <c r="D116" s="5">
        <f>EnergyLJ($A116,$C$2,$C$3,shape_factors!D$2,$C$4,shape_factors!D$3)</f>
        <v>-6.2585576876541598E-3</v>
      </c>
      <c r="E116" s="5">
        <f>EnergyLJ($A116,$C$2,$C$3,shape_factors!E$2,$C$4,shape_factors!E$3)</f>
        <v>-1.8645468880743663E-3</v>
      </c>
      <c r="F116" s="5">
        <f>EnergyLJ($A116,$C$2,$C$3,shape_factors!F$2,$C$4,shape_factors!F$3)</f>
        <v>-8.5994451852697198E-4</v>
      </c>
      <c r="G116" s="5">
        <f>EnergyLJ($A116,$C$2,$C$3,shape_factors!G$2,$C$4,shape_factors!G$3)</f>
        <v>-1.163333151157177E-3</v>
      </c>
      <c r="H116" s="5">
        <f>EnergyLJ($A116,$C$2,$C$3,shape_factors!H$2,$C$4,shape_factors!H$3)</f>
        <v>-3.4269054538499606E-2</v>
      </c>
      <c r="I116" s="5">
        <f>EnergyLJ($A116,$C$2,$C$3,shape_factors!I$2,$C$4,shape_factors!I$3)</f>
        <v>-2.3947864438285766E-3</v>
      </c>
      <c r="J116" s="5">
        <f>EnergyLJ($A116,$C$2,$C$3,shape_factors!J$2,$C$4,shape_factors!J$3)</f>
        <v>-4.3519794010983548E-4</v>
      </c>
      <c r="K116" s="5">
        <f>EnergyLJ($A116,$C$2,$C$3,shape_factors!K$2,$C$4,shape_factors!K$3)</f>
        <v>-5.3072156004041829E-4</v>
      </c>
      <c r="L116" s="5">
        <f>EnergyLJ($A116,$C$2,$C$3,shape_factors!L$2,$C$4,shape_factors!L$3)</f>
        <v>-7.3908718306835662E-4</v>
      </c>
      <c r="M116" s="5">
        <f>EnergyLJ($A116,$C$2,$C$3,shape_factors!M$2,$C$4,shape_factors!M$3)</f>
        <v>-4.5539600829490442E-4</v>
      </c>
      <c r="N116" s="5">
        <f>EnergyLJ($A116,$C$2,$C$3,shape_factors!N$2,$C$4,shape_factors!N$3)</f>
        <v>-2.8508215302139165E-4</v>
      </c>
      <c r="O116" s="5">
        <f>EnergyLJ($A116,$C$2,$C$3,shape_factors!O$2,$C$4,shape_factors!O$3)</f>
        <v>-2.5398843809405959E-4</v>
      </c>
      <c r="P116" s="5">
        <f>EnergyLJ($A116,$C$2,$C$3,shape_factors!P$2,$C$4,shape_factors!P$3)</f>
        <v>-2.950439657587239E-4</v>
      </c>
      <c r="Q116" s="5">
        <f>EnergyLJ($A116,$C$2,$C$3,shape_factors!Q$2,$C$4,shape_factors!Q$3)</f>
        <v>-3.0882834429925196E-4</v>
      </c>
      <c r="R116" s="5">
        <f>EnergyLJ($A116,$C$2,$C$3,shape_factors!R$2,$C$4,shape_factors!R$3)</f>
        <v>-8.8502524779028569E-4</v>
      </c>
      <c r="S116" s="5">
        <f>EnergyLJ($A116,$C$2,$C$3,shape_factors!S$2,$C$4,shape_factors!S$3)</f>
        <v>-3.6686659545871167E-4</v>
      </c>
      <c r="T116" s="5">
        <f>EnergyLJ($A116,$C$2,$C$3,shape_factors!T$2,$C$4,shape_factors!T$3)</f>
        <v>-2.3570713078382521E-4</v>
      </c>
      <c r="U116" s="5">
        <f>EnergyLJ($A116,$C$2,$C$3,shape_factors!U$2,$C$4,shape_factors!U$3)</f>
        <v>-8.7095957423181437E-4</v>
      </c>
    </row>
    <row r="117" spans="1:21" x14ac:dyDescent="0.25">
      <c r="A117">
        <v>24</v>
      </c>
      <c r="B117" s="5">
        <f>EnergyLJ($A117,$C$2,$C$3,shape_factors!B$2,$C$4,shape_factors!B$3)</f>
        <v>-4.1886626847546264E-3</v>
      </c>
      <c r="C117" s="5">
        <f>EnergyLJ($A117,$C$2,$C$3,shape_factors!C$2,$C$4,shape_factors!C$3)</f>
        <v>-9.5035510008973311E-4</v>
      </c>
      <c r="D117" s="5">
        <f>EnergyLJ($A117,$C$2,$C$3,shape_factors!D$2,$C$4,shape_factors!D$3)</f>
        <v>-5.9524288022873338E-3</v>
      </c>
      <c r="E117" s="5">
        <f>EnergyLJ($A117,$C$2,$C$3,shape_factors!E$2,$C$4,shape_factors!E$3)</f>
        <v>-1.7732714926291793E-3</v>
      </c>
      <c r="F117" s="5">
        <f>EnergyLJ($A117,$C$2,$C$3,shape_factors!F$2,$C$4,shape_factors!F$3)</f>
        <v>-8.1783980235719945E-4</v>
      </c>
      <c r="G117" s="5">
        <f>EnergyLJ($A117,$C$2,$C$3,shape_factors!G$2,$C$4,shape_factors!G$3)</f>
        <v>-1.1063770444630851E-3</v>
      </c>
      <c r="H117" s="5">
        <f>EnergyLJ($A117,$C$2,$C$3,shape_factors!H$2,$C$4,shape_factors!H$3)</f>
        <v>-3.2601563311073063E-2</v>
      </c>
      <c r="I117" s="5">
        <f>EnergyLJ($A117,$C$2,$C$3,shape_factors!I$2,$C$4,shape_factors!I$3)</f>
        <v>-2.277565556765164E-3</v>
      </c>
      <c r="J117" s="5">
        <f>EnergyLJ($A117,$C$2,$C$3,shape_factors!J$2,$C$4,shape_factors!J$3)</f>
        <v>-4.1388806520254308E-4</v>
      </c>
      <c r="K117" s="5">
        <f>EnergyLJ($A117,$C$2,$C$3,shape_factors!K$2,$C$4,shape_factors!K$3)</f>
        <v>-5.047347357917865E-4</v>
      </c>
      <c r="L117" s="5">
        <f>EnergyLJ($A117,$C$2,$C$3,shape_factors!L$2,$C$4,shape_factors!L$3)</f>
        <v>-7.0289909910060532E-4</v>
      </c>
      <c r="M117" s="5">
        <f>EnergyLJ($A117,$C$2,$C$3,shape_factors!M$2,$C$4,shape_factors!M$3)</f>
        <v>-4.3309719846146597E-4</v>
      </c>
      <c r="N117" s="5">
        <f>EnergyLJ($A117,$C$2,$C$3,shape_factors!N$2,$C$4,shape_factors!N$3)</f>
        <v>-2.7112245489764207E-4</v>
      </c>
      <c r="O117" s="5">
        <f>EnergyLJ($A117,$C$2,$C$3,shape_factors!O$2,$C$4,shape_factors!O$3)</f>
        <v>-2.4155124392635715E-4</v>
      </c>
      <c r="P117" s="5">
        <f>EnergyLJ($A117,$C$2,$C$3,shape_factors!P$2,$C$4,shape_factors!P$3)</f>
        <v>-2.8059649107284513E-4</v>
      </c>
      <c r="Q117" s="5">
        <f>EnergyLJ($A117,$C$2,$C$3,shape_factors!Q$2,$C$4,shape_factors!Q$3)</f>
        <v>-2.9370592543011043E-4</v>
      </c>
      <c r="R117" s="5">
        <f>EnergyLJ($A117,$C$2,$C$3,shape_factors!R$2,$C$4,shape_factors!R$3)</f>
        <v>-8.4169272460178429E-4</v>
      </c>
      <c r="S117" s="5">
        <f>EnergyLJ($A117,$C$2,$C$3,shape_factors!S$2,$C$4,shape_factors!S$3)</f>
        <v>-3.4890240428155485E-4</v>
      </c>
      <c r="T117" s="5">
        <f>EnergyLJ($A117,$C$2,$C$3,shape_factors!T$2,$C$4,shape_factors!T$3)</f>
        <v>-2.2416508903543481E-4</v>
      </c>
      <c r="U117" s="5">
        <f>EnergyLJ($A117,$C$2,$C$3,shape_factors!U$2,$C$4,shape_factors!U$3)</f>
        <v>-8.2831562344085616E-4</v>
      </c>
    </row>
    <row r="118" spans="1:21" x14ac:dyDescent="0.25">
      <c r="A118">
        <v>24.2</v>
      </c>
      <c r="B118" s="5">
        <f>EnergyLJ($A118,$C$2,$C$3,shape_factors!B$2,$C$4,shape_factors!B$3)</f>
        <v>-3.9853609555544579E-3</v>
      </c>
      <c r="C118" s="5">
        <f>EnergyLJ($A118,$C$2,$C$3,shape_factors!C$2,$C$4,shape_factors!C$3)</f>
        <v>-9.0420107879853506E-4</v>
      </c>
      <c r="D118" s="5">
        <f>EnergyLJ($A118,$C$2,$C$3,shape_factors!D$2,$C$4,shape_factors!D$3)</f>
        <v>-5.6636142557257877E-3</v>
      </c>
      <c r="E118" s="5">
        <f>EnergyLJ($A118,$C$2,$C$3,shape_factors!E$2,$C$4,shape_factors!E$3)</f>
        <v>-1.6871654968125588E-3</v>
      </c>
      <c r="F118" s="5">
        <f>EnergyLJ($A118,$C$2,$C$3,shape_factors!F$2,$C$4,shape_factors!F$3)</f>
        <v>-7.7812042627479485E-4</v>
      </c>
      <c r="G118" s="5">
        <f>EnergyLJ($A118,$C$2,$C$3,shape_factors!G$2,$C$4,shape_factors!G$3)</f>
        <v>-1.0526473485352854E-3</v>
      </c>
      <c r="H118" s="5">
        <f>EnergyLJ($A118,$C$2,$C$3,shape_factors!H$2,$C$4,shape_factors!H$3)</f>
        <v>-3.1027558378511861E-2</v>
      </c>
      <c r="I118" s="5">
        <f>EnergyLJ($A118,$C$2,$C$3,shape_factors!I$2,$C$4,shape_factors!I$3)</f>
        <v>-2.1669824216178756E-3</v>
      </c>
      <c r="J118" s="5">
        <f>EnergyLJ($A118,$C$2,$C$3,shape_factors!J$2,$C$4,shape_factors!J$3)</f>
        <v>-3.9378560570196147E-4</v>
      </c>
      <c r="K118" s="5">
        <f>EnergyLJ($A118,$C$2,$C$3,shape_factors!K$2,$C$4,shape_factors!K$3)</f>
        <v>-4.8022027955895894E-4</v>
      </c>
      <c r="L118" s="5">
        <f>EnergyLJ($A118,$C$2,$C$3,shape_factors!L$2,$C$4,shape_factors!L$3)</f>
        <v>-6.6876123841497096E-4</v>
      </c>
      <c r="M118" s="5">
        <f>EnergyLJ($A118,$C$2,$C$3,shape_factors!M$2,$C$4,shape_factors!M$3)</f>
        <v>-4.1206182921050129E-4</v>
      </c>
      <c r="N118" s="5">
        <f>EnergyLJ($A118,$C$2,$C$3,shape_factors!N$2,$C$4,shape_factors!N$3)</f>
        <v>-2.5795374808267252E-4</v>
      </c>
      <c r="O118" s="5">
        <f>EnergyLJ($A118,$C$2,$C$3,shape_factors!O$2,$C$4,shape_factors!O$3)</f>
        <v>-2.2981877887471035E-4</v>
      </c>
      <c r="P118" s="5">
        <f>EnergyLJ($A118,$C$2,$C$3,shape_factors!P$2,$C$4,shape_factors!P$3)</f>
        <v>-2.6696764384670583E-4</v>
      </c>
      <c r="Q118" s="5">
        <f>EnergyLJ($A118,$C$2,$C$3,shape_factors!Q$2,$C$4,shape_factors!Q$3)</f>
        <v>-2.794403743252778E-4</v>
      </c>
      <c r="R118" s="5">
        <f>EnergyLJ($A118,$C$2,$C$3,shape_factors!R$2,$C$4,shape_factors!R$3)</f>
        <v>-8.0081508113406233E-4</v>
      </c>
      <c r="S118" s="5">
        <f>EnergyLJ($A118,$C$2,$C$3,shape_factors!S$2,$C$4,shape_factors!S$3)</f>
        <v>-3.3195608360283776E-4</v>
      </c>
      <c r="T118" s="5">
        <f>EnergyLJ($A118,$C$2,$C$3,shape_factors!T$2,$C$4,shape_factors!T$3)</f>
        <v>-2.1327705799774747E-4</v>
      </c>
      <c r="U118" s="5">
        <f>EnergyLJ($A118,$C$2,$C$3,shape_factors!U$2,$C$4,shape_factors!U$3)</f>
        <v>-7.8808755364340383E-4</v>
      </c>
    </row>
    <row r="119" spans="1:21" x14ac:dyDescent="0.25">
      <c r="A119">
        <v>24.4</v>
      </c>
      <c r="B119" s="5">
        <f>EnergyLJ($A119,$C$2,$C$3,shape_factors!B$2,$C$4,shape_factors!B$3)</f>
        <v>-3.7934726894901676E-3</v>
      </c>
      <c r="C119" s="5">
        <f>EnergyLJ($A119,$C$2,$C$3,shape_factors!C$2,$C$4,shape_factors!C$3)</f>
        <v>-8.6064073659537039E-4</v>
      </c>
      <c r="D119" s="5">
        <f>EnergyLJ($A119,$C$2,$C$3,shape_factors!D$2,$C$4,shape_factors!D$3)</f>
        <v>-5.3910051258553755E-3</v>
      </c>
      <c r="E119" s="5">
        <f>EnergyLJ($A119,$C$2,$C$3,shape_factors!E$2,$C$4,shape_factors!E$3)</f>
        <v>-1.6058971117870065E-3</v>
      </c>
      <c r="F119" s="5">
        <f>EnergyLJ($A119,$C$2,$C$3,shape_factors!F$2,$C$4,shape_factors!F$3)</f>
        <v>-7.406332171703109E-4</v>
      </c>
      <c r="G119" s="5">
        <f>EnergyLJ($A119,$C$2,$C$3,shape_factors!G$2,$C$4,shape_factors!G$3)</f>
        <v>-1.0019369117502416E-3</v>
      </c>
      <c r="H119" s="5">
        <f>EnergyLJ($A119,$C$2,$C$3,shape_factors!H$2,$C$4,shape_factors!H$3)</f>
        <v>-2.9541136169505253E-2</v>
      </c>
      <c r="I119" s="5">
        <f>EnergyLJ($A119,$C$2,$C$3,shape_factors!I$2,$C$4,shape_factors!I$3)</f>
        <v>-2.0626111151295021E-3</v>
      </c>
      <c r="J119" s="5">
        <f>EnergyLJ($A119,$C$2,$C$3,shape_factors!J$2,$C$4,shape_factors!J$3)</f>
        <v>-3.7481301231959797E-4</v>
      </c>
      <c r="K119" s="5">
        <f>EnergyLJ($A119,$C$2,$C$3,shape_factors!K$2,$C$4,shape_factors!K$3)</f>
        <v>-4.5708362915727153E-4</v>
      </c>
      <c r="L119" s="5">
        <f>EnergyLJ($A119,$C$2,$C$3,shape_factors!L$2,$C$4,shape_factors!L$3)</f>
        <v>-6.3654193954680127E-4</v>
      </c>
      <c r="M119" s="5">
        <f>EnergyLJ($A119,$C$2,$C$3,shape_factors!M$2,$C$4,shape_factors!M$3)</f>
        <v>-3.9220875368521207E-4</v>
      </c>
      <c r="N119" s="5">
        <f>EnergyLJ($A119,$C$2,$C$3,shape_factors!N$2,$C$4,shape_factors!N$3)</f>
        <v>-2.4552522549959476E-4</v>
      </c>
      <c r="O119" s="5">
        <f>EnergyLJ($A119,$C$2,$C$3,shape_factors!O$2,$C$4,shape_factors!O$3)</f>
        <v>-2.1874577599120183E-4</v>
      </c>
      <c r="P119" s="5">
        <f>EnergyLJ($A119,$C$2,$C$3,shape_factors!P$2,$C$4,shape_factors!P$3)</f>
        <v>-2.5410484212605948E-4</v>
      </c>
      <c r="Q119" s="5">
        <f>EnergyLJ($A119,$C$2,$C$3,shape_factors!Q$2,$C$4,shape_factors!Q$3)</f>
        <v>-2.6597665315036546E-4</v>
      </c>
      <c r="R119" s="5">
        <f>EnergyLJ($A119,$C$2,$C$3,shape_factors!R$2,$C$4,shape_factors!R$3)</f>
        <v>-7.6223468073995299E-4</v>
      </c>
      <c r="S119" s="5">
        <f>EnergyLJ($A119,$C$2,$C$3,shape_factors!S$2,$C$4,shape_factors!S$3)</f>
        <v>-3.1596225598077329E-4</v>
      </c>
      <c r="T119" s="5">
        <f>EnergyLJ($A119,$C$2,$C$3,shape_factors!T$2,$C$4,shape_factors!T$3)</f>
        <v>-2.0300102815440824E-4</v>
      </c>
      <c r="U119" s="5">
        <f>EnergyLJ($A119,$C$2,$C$3,shape_factors!U$2,$C$4,shape_factors!U$3)</f>
        <v>-7.5012023138875327E-4</v>
      </c>
    </row>
    <row r="120" spans="1:21" x14ac:dyDescent="0.25">
      <c r="A120">
        <v>24.6</v>
      </c>
      <c r="B120" s="5">
        <f>EnergyLJ($A120,$C$2,$C$3,shape_factors!B$2,$C$4,shape_factors!B$3)</f>
        <v>-3.6122719866046355E-3</v>
      </c>
      <c r="C120" s="5">
        <f>EnergyLJ($A120,$C$2,$C$3,shape_factors!C$2,$C$4,shape_factors!C$3)</f>
        <v>-8.1950885571877453E-4</v>
      </c>
      <c r="D120" s="5">
        <f>EnergyLJ($A120,$C$2,$C$3,shape_factors!D$2,$C$4,shape_factors!D$3)</f>
        <v>-5.1335716279355785E-3</v>
      </c>
      <c r="E120" s="5">
        <f>EnergyLJ($A120,$C$2,$C$3,shape_factors!E$2,$C$4,shape_factors!E$3)</f>
        <v>-1.5291583034589349E-3</v>
      </c>
      <c r="F120" s="5">
        <f>EnergyLJ($A120,$C$2,$C$3,shape_factors!F$2,$C$4,shape_factors!F$3)</f>
        <v>-7.0523597656791575E-4</v>
      </c>
      <c r="G120" s="5">
        <f>EnergyLJ($A120,$C$2,$C$3,shape_factors!G$2,$C$4,shape_factors!G$3)</f>
        <v>-9.5405342131395991E-4</v>
      </c>
      <c r="H120" s="5">
        <f>EnergyLJ($A120,$C$2,$C$3,shape_factors!H$2,$C$4,shape_factors!H$3)</f>
        <v>-2.8136805293842337E-2</v>
      </c>
      <c r="I120" s="5">
        <f>EnergyLJ($A120,$C$2,$C$3,shape_factors!I$2,$C$4,shape_factors!I$3)</f>
        <v>-1.9640561965835368E-3</v>
      </c>
      <c r="J120" s="5">
        <f>EnergyLJ($A120,$C$2,$C$3,shape_factors!J$2,$C$4,shape_factors!J$3)</f>
        <v>-3.5689829378340534E-4</v>
      </c>
      <c r="K120" s="5">
        <f>EnergyLJ($A120,$C$2,$C$3,shape_factors!K$2,$C$4,shape_factors!K$3)</f>
        <v>-4.3523699927391939E-4</v>
      </c>
      <c r="L120" s="5">
        <f>EnergyLJ($A120,$C$2,$C$3,shape_factors!L$2,$C$4,shape_factors!L$3)</f>
        <v>-6.0611897521836234E-4</v>
      </c>
      <c r="M120" s="5">
        <f>EnergyLJ($A120,$C$2,$C$3,shape_factors!M$2,$C$4,shape_factors!M$3)</f>
        <v>-3.7346264080010295E-4</v>
      </c>
      <c r="N120" s="5">
        <f>EnergyLJ($A120,$C$2,$C$3,shape_factors!N$2,$C$4,shape_factors!N$3)</f>
        <v>-2.3378972185155412E-4</v>
      </c>
      <c r="O120" s="5">
        <f>EnergyLJ($A120,$C$2,$C$3,shape_factors!O$2,$C$4,shape_factors!O$3)</f>
        <v>-2.0829021307274264E-4</v>
      </c>
      <c r="P120" s="5">
        <f>EnergyLJ($A120,$C$2,$C$3,shape_factors!P$2,$C$4,shape_factors!P$3)</f>
        <v>-2.4195927293006961E-4</v>
      </c>
      <c r="Q120" s="5">
        <f>EnergyLJ($A120,$C$2,$C$3,shape_factors!Q$2,$C$4,shape_factors!Q$3)</f>
        <v>-2.5326366903755712E-4</v>
      </c>
      <c r="R120" s="5">
        <f>EnergyLJ($A120,$C$2,$C$3,shape_factors!R$2,$C$4,shape_factors!R$3)</f>
        <v>-7.2580518100526638E-4</v>
      </c>
      <c r="S120" s="5">
        <f>EnergyLJ($A120,$C$2,$C$3,shape_factors!S$2,$C$4,shape_factors!S$3)</f>
        <v>-3.0086022985778929E-4</v>
      </c>
      <c r="T120" s="5">
        <f>EnergyLJ($A120,$C$2,$C$3,shape_factors!T$2,$C$4,shape_factors!T$3)</f>
        <v>-1.9329800128056187E-4</v>
      </c>
      <c r="U120" s="5">
        <f>EnergyLJ($A120,$C$2,$C$3,shape_factors!U$2,$C$4,shape_factors!U$3)</f>
        <v>-7.142696382261126E-4</v>
      </c>
    </row>
    <row r="121" spans="1:21" x14ac:dyDescent="0.25">
      <c r="A121">
        <v>24.8</v>
      </c>
      <c r="B121" s="5">
        <f>EnergyLJ($A121,$C$2,$C$3,shape_factors!B$2,$C$4,shape_factors!B$3)</f>
        <v>-3.4410844196373219E-3</v>
      </c>
      <c r="C121" s="5">
        <f>EnergyLJ($A121,$C$2,$C$3,shape_factors!C$2,$C$4,shape_factors!C$3)</f>
        <v>-7.8065196171271233E-4</v>
      </c>
      <c r="D121" s="5">
        <f>EnergyLJ($A121,$C$2,$C$3,shape_factors!D$2,$C$4,shape_factors!D$3)</f>
        <v>-4.89035690262659E-3</v>
      </c>
      <c r="E121" s="5">
        <f>EnergyLJ($A121,$C$2,$C$3,shape_factors!E$2,$C$4,shape_factors!E$3)</f>
        <v>-1.4566629189217946E-3</v>
      </c>
      <c r="F121" s="5">
        <f>EnergyLJ($A121,$C$2,$C$3,shape_factors!F$2,$C$4,shape_factors!F$3)</f>
        <v>-6.7179661411691542E-4</v>
      </c>
      <c r="G121" s="5">
        <f>EnergyLJ($A121,$C$2,$C$3,shape_factors!G$2,$C$4,shape_factors!G$3)</f>
        <v>-9.0881823203281455E-4</v>
      </c>
      <c r="H121" s="5">
        <f>EnergyLJ($A121,$C$2,$C$3,shape_factors!H$2,$C$4,shape_factors!H$3)</f>
        <v>-2.680945524411665E-2</v>
      </c>
      <c r="I121" s="5">
        <f>EnergyLJ($A121,$C$2,$C$3,shape_factors!I$2,$C$4,shape_factors!I$3)</f>
        <v>-1.8709503049877123E-3</v>
      </c>
      <c r="J121" s="5">
        <f>EnergyLJ($A121,$C$2,$C$3,shape_factors!J$2,$C$4,shape_factors!J$3)</f>
        <v>-3.3997457780291461E-4</v>
      </c>
      <c r="K121" s="5">
        <f>EnergyLJ($A121,$C$2,$C$3,shape_factors!K$2,$C$4,shape_factors!K$3)</f>
        <v>-4.1459884620852688E-4</v>
      </c>
      <c r="L121" s="5">
        <f>EnergyLJ($A121,$C$2,$C$3,shape_factors!L$2,$C$4,shape_factors!L$3)</f>
        <v>-5.7737880736128191E-4</v>
      </c>
      <c r="M121" s="5">
        <f>EnergyLJ($A121,$C$2,$C$3,shape_factors!M$2,$C$4,shape_factors!M$3)</f>
        <v>-3.5575351585559809E-4</v>
      </c>
      <c r="N121" s="5">
        <f>EnergyLJ($A121,$C$2,$C$3,shape_factors!N$2,$C$4,shape_factors!N$3)</f>
        <v>-2.2270342590692988E-4</v>
      </c>
      <c r="O121" s="5">
        <f>EnergyLJ($A121,$C$2,$C$3,shape_factors!O$2,$C$4,shape_factors!O$3)</f>
        <v>-1.9841305630512979E-4</v>
      </c>
      <c r="P121" s="5">
        <f>EnergyLJ($A121,$C$2,$C$3,shape_factors!P$2,$C$4,shape_factors!P$3)</f>
        <v>-2.3048559449089071E-4</v>
      </c>
      <c r="Q121" s="5">
        <f>EnergyLJ($A121,$C$2,$C$3,shape_factors!Q$2,$C$4,shape_factors!Q$3)</f>
        <v>-2.4125396242575839E-4</v>
      </c>
      <c r="R121" s="5">
        <f>EnergyLJ($A121,$C$2,$C$3,shape_factors!R$2,$C$4,shape_factors!R$3)</f>
        <v>-6.9139064203000138E-4</v>
      </c>
      <c r="S121" s="5">
        <f>EnergyLJ($A121,$C$2,$C$3,shape_factors!S$2,$C$4,shape_factors!S$3)</f>
        <v>-2.8659362938961462E-4</v>
      </c>
      <c r="T121" s="5">
        <f>EnergyLJ($A121,$C$2,$C$3,shape_factors!T$2,$C$4,shape_factors!T$3)</f>
        <v>-1.8413175252662115E-4</v>
      </c>
      <c r="U121" s="5">
        <f>EnergyLJ($A121,$C$2,$C$3,shape_factors!U$2,$C$4,shape_factors!U$3)</f>
        <v>-6.8040199312372732E-4</v>
      </c>
    </row>
    <row r="122" spans="1:21" x14ac:dyDescent="0.25">
      <c r="A122">
        <v>25</v>
      </c>
      <c r="B122" s="5">
        <f>EnergyLJ($A122,$C$2,$C$3,shape_factors!B$2,$C$4,shape_factors!B$3)</f>
        <v>-3.2792830162542128E-3</v>
      </c>
      <c r="C122" s="5">
        <f>EnergyLJ($A122,$C$2,$C$3,shape_factors!C$2,$C$4,shape_factors!C$3)</f>
        <v>-7.4392740358485447E-4</v>
      </c>
      <c r="D122" s="5">
        <f>EnergyLJ($A122,$C$2,$C$3,shape_factors!D$2,$C$4,shape_factors!D$3)</f>
        <v>-4.6604713346452683E-3</v>
      </c>
      <c r="E122" s="5">
        <f>EnergyLJ($A122,$C$2,$C$3,shape_factors!E$2,$C$4,shape_factors!E$3)</f>
        <v>-1.3881449740325729E-3</v>
      </c>
      <c r="F122" s="5">
        <f>EnergyLJ($A122,$C$2,$C$3,shape_factors!F$2,$C$4,shape_factors!F$3)</f>
        <v>-6.4019235572011432E-4</v>
      </c>
      <c r="G122" s="5">
        <f>EnergyLJ($A122,$C$2,$C$3,shape_factors!G$2,$C$4,shape_factors!G$3)</f>
        <v>-8.6606529592208616E-4</v>
      </c>
      <c r="H122" s="5">
        <f>EnergyLJ($A122,$C$2,$C$3,shape_factors!H$2,$C$4,shape_factors!H$3)</f>
        <v>-2.5554327641203491E-2</v>
      </c>
      <c r="I122" s="5">
        <f>EnergyLJ($A122,$C$2,$C$3,shape_factors!I$2,$C$4,shape_factors!I$3)</f>
        <v>-1.7829519627421601E-3</v>
      </c>
      <c r="J122" s="5">
        <f>EnergyLJ($A122,$C$2,$C$3,shape_factors!J$2,$C$4,shape_factors!J$3)</f>
        <v>-3.2397970987494275E-4</v>
      </c>
      <c r="K122" s="5">
        <f>EnergyLJ($A122,$C$2,$C$3,shape_factors!K$2,$C$4,shape_factors!K$3)</f>
        <v>-3.9509337874128297E-4</v>
      </c>
      <c r="L122" s="5">
        <f>EnergyLJ($A122,$C$2,$C$3,shape_factors!L$2,$C$4,shape_factors!L$3)</f>
        <v>-5.5021590631945964E-4</v>
      </c>
      <c r="M122" s="5">
        <f>EnergyLJ($A122,$C$2,$C$3,shape_factors!M$2,$C$4,shape_factors!M$3)</f>
        <v>-3.3901634074604079E-4</v>
      </c>
      <c r="N122" s="5">
        <f>EnergyLJ($A122,$C$2,$C$3,shape_factors!N$2,$C$4,shape_factors!N$3)</f>
        <v>-2.1222561758838147E-4</v>
      </c>
      <c r="O122" s="5">
        <f>EnergyLJ($A122,$C$2,$C$3,shape_factors!O$2,$C$4,shape_factors!O$3)</f>
        <v>-1.8907802600854056E-4</v>
      </c>
      <c r="P122" s="5">
        <f>EnergyLJ($A122,$C$2,$C$3,shape_factors!P$2,$C$4,shape_factors!P$3)</f>
        <v>-2.1964166416274026E-4</v>
      </c>
      <c r="Q122" s="5">
        <f>EnergyLJ($A122,$C$2,$C$3,shape_factors!Q$2,$C$4,shape_factors!Q$3)</f>
        <v>-2.2990342226792955E-4</v>
      </c>
      <c r="R122" s="5">
        <f>EnergyLJ($A122,$C$2,$C$3,shape_factors!R$2,$C$4,shape_factors!R$3)</f>
        <v>-6.5886471151497801E-4</v>
      </c>
      <c r="S122" s="5">
        <f>EnergyLJ($A122,$C$2,$C$3,shape_factors!S$2,$C$4,shape_factors!S$3)</f>
        <v>-2.7311005618281065E-4</v>
      </c>
      <c r="T122" s="5">
        <f>EnergyLJ($A122,$C$2,$C$3,shape_factors!T$2,$C$4,shape_factors!T$3)</f>
        <v>-1.7546861301427603E-4</v>
      </c>
      <c r="U122" s="5">
        <f>EnergyLJ($A122,$C$2,$C$3,shape_factors!U$2,$C$4,shape_factors!U$3)</f>
        <v>-6.4839295047730756E-4</v>
      </c>
    </row>
    <row r="123" spans="1:21" x14ac:dyDescent="0.25">
      <c r="A123">
        <v>25.2</v>
      </c>
      <c r="B123" s="5">
        <f>EnergyLJ($A123,$C$2,$C$3,shape_factors!B$2,$C$4,shape_factors!B$3)</f>
        <v>-3.1262845829087668E-3</v>
      </c>
      <c r="C123" s="5">
        <f>EnergyLJ($A123,$C$2,$C$3,shape_factors!C$2,$C$4,shape_factors!C$3)</f>
        <v>-7.0920251256847587E-4</v>
      </c>
      <c r="D123" s="5">
        <f>EnergyLJ($A123,$C$2,$C$3,shape_factors!D$2,$C$4,shape_factors!D$3)</f>
        <v>-4.4430873531746485E-3</v>
      </c>
      <c r="E123" s="5">
        <f>EnergyLJ($A123,$C$2,$C$3,shape_factors!E$2,$C$4,shape_factors!E$3)</f>
        <v>-1.3233570871378764E-3</v>
      </c>
      <c r="F123" s="5">
        <f>EnergyLJ($A123,$C$2,$C$3,shape_factors!F$2,$C$4,shape_factors!F$3)</f>
        <v>-6.1030901934388886E-4</v>
      </c>
      <c r="G123" s="5">
        <f>EnergyLJ($A123,$C$2,$C$3,shape_factors!G$2,$C$4,shape_factors!G$3)</f>
        <v>-8.2564018326148768E-4</v>
      </c>
      <c r="H123" s="5">
        <f>EnergyLJ($A123,$C$2,$C$3,shape_factors!H$2,$C$4,shape_factors!H$3)</f>
        <v>-2.4366989806058021E-2</v>
      </c>
      <c r="I123" s="5">
        <f>EnergyLJ($A123,$C$2,$C$3,shape_factors!I$2,$C$4,shape_factors!I$3)</f>
        <v>-1.6997435666128186E-3</v>
      </c>
      <c r="J123" s="5">
        <f>EnergyLJ($A123,$C$2,$C$3,shape_factors!J$2,$C$4,shape_factors!J$3)</f>
        <v>-3.0885588640052939E-4</v>
      </c>
      <c r="K123" s="5">
        <f>EnergyLJ($A123,$C$2,$C$3,shape_factors!K$2,$C$4,shape_factors!K$3)</f>
        <v>-3.7665011082723272E-4</v>
      </c>
      <c r="L123" s="5">
        <f>EnergyLJ($A123,$C$2,$C$3,shape_factors!L$2,$C$4,shape_factors!L$3)</f>
        <v>-5.2453212825020134E-4</v>
      </c>
      <c r="M123" s="5">
        <f>EnergyLJ($A123,$C$2,$C$3,shape_factors!M$2,$C$4,shape_factors!M$3)</f>
        <v>-3.2319063006841335E-4</v>
      </c>
      <c r="N123" s="5">
        <f>EnergyLJ($A123,$C$2,$C$3,shape_factors!N$2,$C$4,shape_factors!N$3)</f>
        <v>-2.0231842755159504E-4</v>
      </c>
      <c r="O123" s="5">
        <f>EnergyLJ($A123,$C$2,$C$3,shape_factors!O$2,$C$4,shape_factors!O$3)</f>
        <v>-1.8025138242231583E-4</v>
      </c>
      <c r="P123" s="5">
        <f>EnergyLJ($A123,$C$2,$C$3,shape_factors!P$2,$C$4,shape_factors!P$3)</f>
        <v>-2.093882896056068E-4</v>
      </c>
      <c r="Q123" s="5">
        <f>EnergyLJ($A123,$C$2,$C$3,shape_factors!Q$2,$C$4,shape_factors!Q$3)</f>
        <v>-2.1917102559907808E-4</v>
      </c>
      <c r="R123" s="5">
        <f>EnergyLJ($A123,$C$2,$C$3,shape_factors!R$2,$C$4,shape_factors!R$3)</f>
        <v>-6.2810987949706064E-4</v>
      </c>
      <c r="S123" s="5">
        <f>EnergyLJ($A123,$C$2,$C$3,shape_factors!S$2,$C$4,shape_factors!S$3)</f>
        <v>-2.6036077996426685E-4</v>
      </c>
      <c r="T123" s="5">
        <f>EnergyLJ($A123,$C$2,$C$3,shape_factors!T$2,$C$4,shape_factors!T$3)</f>
        <v>-1.6727727103080342E-4</v>
      </c>
      <c r="U123" s="5">
        <f>EnergyLJ($A123,$C$2,$C$3,shape_factors!U$2,$C$4,shape_factors!U$3)</f>
        <v>-6.1812686666403935E-4</v>
      </c>
    </row>
    <row r="124" spans="1:21" x14ac:dyDescent="0.25">
      <c r="A124">
        <v>25.4</v>
      </c>
      <c r="B124" s="5">
        <f>EnergyLJ($A124,$C$2,$C$3,shape_factors!B$2,$C$4,shape_factors!B$3)</f>
        <v>-2.9815463389677621E-3</v>
      </c>
      <c r="C124" s="5">
        <f>EnergyLJ($A124,$C$2,$C$3,shape_factors!C$2,$C$4,shape_factors!C$3)</f>
        <v>-6.7635383222110169E-4</v>
      </c>
      <c r="D124" s="5">
        <f>EnergyLJ($A124,$C$2,$C$3,shape_factors!D$2,$C$4,shape_factors!D$3)</f>
        <v>-4.2374346699668095E-3</v>
      </c>
      <c r="E124" s="5">
        <f>EnergyLJ($A124,$C$2,$C$3,shape_factors!E$2,$C$4,shape_factors!E$3)</f>
        <v>-1.2620690454615293E-3</v>
      </c>
      <c r="F124" s="5">
        <f>EnergyLJ($A124,$C$2,$C$3,shape_factors!F$2,$C$4,shape_factors!F$3)</f>
        <v>-5.8204035225109248E-4</v>
      </c>
      <c r="G124" s="5">
        <f>EnergyLJ($A124,$C$2,$C$3,shape_factors!G$2,$C$4,shape_factors!G$3)</f>
        <v>-7.8739918664620136E-4</v>
      </c>
      <c r="H124" s="5">
        <f>EnergyLJ($A124,$C$2,$C$3,shape_factors!H$2,$C$4,shape_factors!H$3)</f>
        <v>-2.3243310459496212E-2</v>
      </c>
      <c r="I124" s="5">
        <f>EnergyLJ($A124,$C$2,$C$3,shape_factors!I$2,$C$4,shape_factors!I$3)</f>
        <v>-1.621029548742204E-3</v>
      </c>
      <c r="J124" s="5">
        <f>EnergyLJ($A124,$C$2,$C$3,shape_factors!J$2,$C$4,shape_factors!J$3)</f>
        <v>-2.9454931893748982E-4</v>
      </c>
      <c r="K124" s="5">
        <f>EnergyLJ($A124,$C$2,$C$3,shape_factors!K$2,$C$4,shape_factors!K$3)</f>
        <v>-3.5920345224631727E-4</v>
      </c>
      <c r="L124" s="5">
        <f>EnergyLJ($A124,$C$2,$C$3,shape_factors!L$2,$C$4,shape_factors!L$3)</f>
        <v>-5.0023614534039059E-4</v>
      </c>
      <c r="M124" s="5">
        <f>EnergyLJ($A124,$C$2,$C$3,shape_factors!M$2,$C$4,shape_factors!M$3)</f>
        <v>-3.0822009980917823E-4</v>
      </c>
      <c r="N124" s="5">
        <f>EnergyLJ($A124,$C$2,$C$3,shape_factors!N$2,$C$4,shape_factors!N$3)</f>
        <v>-1.9294661717162014E-4</v>
      </c>
      <c r="O124" s="5">
        <f>EnergyLJ($A124,$C$2,$C$3,shape_factors!O$2,$C$4,shape_factors!O$3)</f>
        <v>-1.7190172967366659E-4</v>
      </c>
      <c r="P124" s="5">
        <f>EnergyLJ($A124,$C$2,$C$3,shape_factors!P$2,$C$4,shape_factors!P$3)</f>
        <v>-1.9968900108885098E-4</v>
      </c>
      <c r="Q124" s="5">
        <f>EnergyLJ($A124,$C$2,$C$3,shape_factors!Q$2,$C$4,shape_factors!Q$3)</f>
        <v>-2.0901859920968824E-4</v>
      </c>
      <c r="R124" s="5">
        <f>EnergyLJ($A124,$C$2,$C$3,shape_factors!R$2,$C$4,shape_factors!R$3)</f>
        <v>-5.9901679629252038E-4</v>
      </c>
      <c r="S124" s="5">
        <f>EnergyLJ($A124,$C$2,$C$3,shape_factors!S$2,$C$4,shape_factors!S$3)</f>
        <v>-2.4830045550455304E-4</v>
      </c>
      <c r="T124" s="5">
        <f>EnergyLJ($A124,$C$2,$C$3,shape_factors!T$2,$C$4,shape_factors!T$3)</f>
        <v>-1.595285900996635E-4</v>
      </c>
      <c r="U124" s="5">
        <f>EnergyLJ($A124,$C$2,$C$3,shape_factors!U$2,$C$4,shape_factors!U$3)</f>
        <v>-5.894961288035477E-4</v>
      </c>
    </row>
    <row r="125" spans="1:21" x14ac:dyDescent="0.25">
      <c r="A125">
        <v>25.6</v>
      </c>
      <c r="B125" s="5">
        <f>EnergyLJ($A125,$C$2,$C$3,shape_factors!B$2,$C$4,shape_factors!B$3)</f>
        <v>-2.8445628328217596E-3</v>
      </c>
      <c r="C125" s="5">
        <f>EnergyLJ($A125,$C$2,$C$3,shape_factors!C$2,$C$4,shape_factors!C$3)</f>
        <v>-6.4526641331474096E-4</v>
      </c>
      <c r="D125" s="5">
        <f>EnergyLJ($A125,$C$2,$C$3,shape_factors!D$2,$C$4,shape_factors!D$3)</f>
        <v>-4.0427959153905933E-3</v>
      </c>
      <c r="E125" s="5">
        <f>EnergyLJ($A125,$C$2,$C$3,shape_factors!E$2,$C$4,shape_factors!E$3)</f>
        <v>-1.2040664920020233E-3</v>
      </c>
      <c r="F125" s="5">
        <f>EnergyLJ($A125,$C$2,$C$3,shape_factors!F$2,$C$4,shape_factors!F$3)</f>
        <v>-5.5528742401975064E-4</v>
      </c>
      <c r="G125" s="5">
        <f>EnergyLJ($A125,$C$2,$C$3,shape_factors!G$2,$C$4,shape_factors!G$3)</f>
        <v>-7.51208500420953E-4</v>
      </c>
      <c r="H125" s="5">
        <f>EnergyLJ($A125,$C$2,$C$3,shape_factors!H$2,$C$4,shape_factors!H$3)</f>
        <v>-2.2179437369070232E-2</v>
      </c>
      <c r="I125" s="5">
        <f>EnergyLJ($A125,$C$2,$C$3,shape_factors!I$2,$C$4,shape_factors!I$3)</f>
        <v>-1.5465346921381704E-3</v>
      </c>
      <c r="J125" s="5">
        <f>EnergyLJ($A125,$C$2,$C$3,shape_factors!J$2,$C$4,shape_factors!J$3)</f>
        <v>-2.8100992672883742E-4</v>
      </c>
      <c r="K125" s="5">
        <f>EnergyLJ($A125,$C$2,$C$3,shape_factors!K$2,$C$4,shape_factors!K$3)</f>
        <v>-3.4269233372362395E-4</v>
      </c>
      <c r="L125" s="5">
        <f>EnergyLJ($A125,$C$2,$C$3,shape_factors!L$2,$C$4,shape_factors!L$3)</f>
        <v>-4.7724292398951967E-4</v>
      </c>
      <c r="M125" s="5">
        <f>EnergyLJ($A125,$C$2,$C$3,shape_factors!M$2,$C$4,shape_factors!M$3)</f>
        <v>-2.9405234561711782E-4</v>
      </c>
      <c r="N125" s="5">
        <f>EnergyLJ($A125,$C$2,$C$3,shape_factors!N$2,$C$4,shape_factors!N$3)</f>
        <v>-1.8407737706186453E-4</v>
      </c>
      <c r="O125" s="5">
        <f>EnergyLJ($A125,$C$2,$C$3,shape_factors!O$2,$C$4,shape_factors!O$3)</f>
        <v>-1.6399983625957427E-4</v>
      </c>
      <c r="P125" s="5">
        <f>EnergyLJ($A125,$C$2,$C$3,shape_factors!P$2,$C$4,shape_factors!P$3)</f>
        <v>-1.9050984297436753E-4</v>
      </c>
      <c r="Q125" s="5">
        <f>EnergyLJ($A125,$C$2,$C$3,shape_factors!Q$2,$C$4,shape_factors!Q$3)</f>
        <v>-1.9941060139376312E-4</v>
      </c>
      <c r="R125" s="5">
        <f>EnergyLJ($A125,$C$2,$C$3,shape_factors!R$2,$C$4,shape_factors!R$3)</f>
        <v>-5.7148364784792647E-4</v>
      </c>
      <c r="S125" s="5">
        <f>EnergyLJ($A125,$C$2,$C$3,shape_factors!S$2,$C$4,shape_factors!S$3)</f>
        <v>-2.3688686338344745E-4</v>
      </c>
      <c r="T125" s="5">
        <f>EnergyLJ($A125,$C$2,$C$3,shape_factors!T$2,$C$4,shape_factors!T$3)</f>
        <v>-1.5219544237674606E-4</v>
      </c>
      <c r="U125" s="5">
        <f>EnergyLJ($A125,$C$2,$C$3,shape_factors!U$2,$C$4,shape_factors!U$3)</f>
        <v>-5.6240054001692962E-4</v>
      </c>
    </row>
    <row r="126" spans="1:21" x14ac:dyDescent="0.25">
      <c r="A126">
        <v>25.8</v>
      </c>
      <c r="B126" s="5">
        <f>EnergyLJ($A126,$C$2,$C$3,shape_factors!B$2,$C$4,shape_factors!B$3)</f>
        <v>-2.7148631144627714E-3</v>
      </c>
      <c r="C126" s="5">
        <f>EnergyLJ($A126,$C$2,$C$3,shape_factors!C$2,$C$4,shape_factors!C$3)</f>
        <v>-6.1583316761773847E-4</v>
      </c>
      <c r="D126" s="5">
        <f>EnergyLJ($A126,$C$2,$C$3,shape_factors!D$2,$C$4,shape_factors!D$3)</f>
        <v>-3.8585026365391306E-3</v>
      </c>
      <c r="E126" s="5">
        <f>EnergyLJ($A126,$C$2,$C$3,shape_factors!E$2,$C$4,shape_factors!E$3)</f>
        <v>-1.1491497219833125E-3</v>
      </c>
      <c r="F126" s="5">
        <f>EnergyLJ($A126,$C$2,$C$3,shape_factors!F$2,$C$4,shape_factors!F$3)</f>
        <v>-5.2995807026635976E-4</v>
      </c>
      <c r="G126" s="5">
        <f>EnergyLJ($A126,$C$2,$C$3,shape_factors!G$2,$C$4,shape_factors!G$3)</f>
        <v>-7.1694346863471995E-4</v>
      </c>
      <c r="H126" s="5">
        <f>EnergyLJ($A126,$C$2,$C$3,shape_factors!H$2,$C$4,shape_factors!H$3)</f>
        <v>-2.1171776778065428E-2</v>
      </c>
      <c r="I126" s="5">
        <f>EnergyLJ($A126,$C$2,$C$3,shape_factors!I$2,$C$4,shape_factors!I$3)</f>
        <v>-1.4760025866094506E-3</v>
      </c>
      <c r="J126" s="5">
        <f>EnergyLJ($A126,$C$2,$C$3,shape_factors!J$2,$C$4,shape_factors!J$3)</f>
        <v>-2.6819105492962886E-4</v>
      </c>
      <c r="K126" s="5">
        <f>EnergyLJ($A126,$C$2,$C$3,shape_factors!K$2,$C$4,shape_factors!K$3)</f>
        <v>-3.2705986337830444E-4</v>
      </c>
      <c r="L126" s="5">
        <f>EnergyLJ($A126,$C$2,$C$3,shape_factors!L$2,$C$4,shape_factors!L$3)</f>
        <v>-4.5547324658962331E-4</v>
      </c>
      <c r="M126" s="5">
        <f>EnergyLJ($A126,$C$2,$C$3,shape_factors!M$2,$C$4,shape_factors!M$3)</f>
        <v>-2.8063854796540286E-4</v>
      </c>
      <c r="N126" s="5">
        <f>EnergyLJ($A126,$C$2,$C$3,shape_factors!N$2,$C$4,shape_factors!N$3)</f>
        <v>-1.7568014243597805E-4</v>
      </c>
      <c r="O126" s="5">
        <f>EnergyLJ($A126,$C$2,$C$3,shape_factors!O$2,$C$4,shape_factors!O$3)</f>
        <v>-1.5651847053615872E-4</v>
      </c>
      <c r="P126" s="5">
        <f>EnergyLJ($A126,$C$2,$C$3,shape_factors!P$2,$C$4,shape_factors!P$3)</f>
        <v>-1.8181918263058213E-4</v>
      </c>
      <c r="Q126" s="5">
        <f>EnergyLJ($A126,$C$2,$C$3,shape_factors!Q$2,$C$4,shape_factors!Q$3)</f>
        <v>-1.9031392194118928E-4</v>
      </c>
      <c r="R126" s="5">
        <f>EnergyLJ($A126,$C$2,$C$3,shape_factors!R$2,$C$4,shape_factors!R$3)</f>
        <v>-5.4541558326990725E-4</v>
      </c>
      <c r="S126" s="5">
        <f>EnergyLJ($A126,$C$2,$C$3,shape_factors!S$2,$C$4,shape_factors!S$3)</f>
        <v>-2.2608067242407929E-4</v>
      </c>
      <c r="T126" s="5">
        <f>EnergyLJ($A126,$C$2,$C$3,shape_factors!T$2,$C$4,shape_factors!T$3)</f>
        <v>-1.4525255597477919E-4</v>
      </c>
      <c r="U126" s="5">
        <f>EnergyLJ($A126,$C$2,$C$3,shape_factors!U$2,$C$4,shape_factors!U$3)</f>
        <v>-5.3674675603789738E-4</v>
      </c>
    </row>
    <row r="127" spans="1:21" x14ac:dyDescent="0.25">
      <c r="A127">
        <v>26</v>
      </c>
      <c r="B127" s="5">
        <f>EnergyLJ($A127,$C$2,$C$3,shape_factors!B$2,$C$4,shape_factors!B$3)</f>
        <v>-2.5920081414870454E-3</v>
      </c>
      <c r="C127" s="5">
        <f>EnergyLJ($A127,$C$2,$C$3,shape_factors!C$2,$C$4,shape_factors!C$3)</f>
        <v>-5.8795427524550436E-4</v>
      </c>
      <c r="D127" s="5">
        <f>EnergyLJ($A127,$C$2,$C$3,shape_factors!D$2,$C$4,shape_factors!D$3)</f>
        <v>-3.6839316249763989E-3</v>
      </c>
      <c r="E127" s="5">
        <f>EnergyLJ($A127,$C$2,$C$3,shape_factors!E$2,$C$4,shape_factors!E$3)</f>
        <v>-1.0971325789721578E-3</v>
      </c>
      <c r="F127" s="5">
        <f>EnergyLJ($A127,$C$2,$C$3,shape_factors!F$2,$C$4,shape_factors!F$3)</f>
        <v>-5.0596638248992325E-4</v>
      </c>
      <c r="G127" s="5">
        <f>EnergyLJ($A127,$C$2,$C$3,shape_factors!G$2,$C$4,shape_factors!G$3)</f>
        <v>-6.8448789532479912E-4</v>
      </c>
      <c r="H127" s="5">
        <f>EnergyLJ($A127,$C$2,$C$3,shape_factors!H$2,$C$4,shape_factors!H$3)</f>
        <v>-2.0216974466153413E-2</v>
      </c>
      <c r="I127" s="5">
        <f>EnergyLJ($A127,$C$2,$C$3,shape_factors!I$2,$C$4,shape_factors!I$3)</f>
        <v>-1.4091942124848484E-3</v>
      </c>
      <c r="J127" s="5">
        <f>EnergyLJ($A127,$C$2,$C$3,shape_factors!J$2,$C$4,shape_factors!J$3)</f>
        <v>-2.5604921620730862E-4</v>
      </c>
      <c r="K127" s="5">
        <f>EnergyLJ($A127,$C$2,$C$3,shape_factors!K$2,$C$4,shape_factors!K$3)</f>
        <v>-3.1225301166734078E-4</v>
      </c>
      <c r="L127" s="5">
        <f>EnergyLJ($A127,$C$2,$C$3,shape_factors!L$2,$C$4,shape_factors!L$3)</f>
        <v>-4.348532729599852E-4</v>
      </c>
      <c r="M127" s="5">
        <f>EnergyLJ($A127,$C$2,$C$3,shape_factors!M$2,$C$4,shape_factors!M$3)</f>
        <v>-2.6793320177031767E-4</v>
      </c>
      <c r="N127" s="5">
        <f>EnergyLJ($A127,$C$2,$C$3,shape_factors!N$2,$C$4,shape_factors!N$3)</f>
        <v>-1.6772642378846194E-4</v>
      </c>
      <c r="O127" s="5">
        <f>EnergyLJ($A127,$C$2,$C$3,shape_factors!O$2,$C$4,shape_factors!O$3)</f>
        <v>-1.4943224985737404E-4</v>
      </c>
      <c r="P127" s="5">
        <f>EnergyLJ($A127,$C$2,$C$3,shape_factors!P$2,$C$4,shape_factors!P$3)</f>
        <v>-1.7358753519994396E-4</v>
      </c>
      <c r="Q127" s="5">
        <f>EnergyLJ($A127,$C$2,$C$3,shape_factors!Q$2,$C$4,shape_factors!Q$3)</f>
        <v>-1.816976987235149E-4</v>
      </c>
      <c r="R127" s="5">
        <f>EnergyLJ($A127,$C$2,$C$3,shape_factors!R$2,$C$4,shape_factors!R$3)</f>
        <v>-5.2072418981683258E-4</v>
      </c>
      <c r="S127" s="5">
        <f>EnergyLJ($A127,$C$2,$C$3,shape_factors!S$2,$C$4,shape_factors!S$3)</f>
        <v>-2.1584522183510369E-4</v>
      </c>
      <c r="T127" s="5">
        <f>EnergyLJ($A127,$C$2,$C$3,shape_factors!T$2,$C$4,shape_factors!T$3)</f>
        <v>-1.3867637495539449E-4</v>
      </c>
      <c r="U127" s="5">
        <f>EnergyLJ($A127,$C$2,$C$3,shape_factors!U$2,$C$4,shape_factors!U$3)</f>
        <v>-5.1244776853370995E-4</v>
      </c>
    </row>
    <row r="128" spans="1:21" x14ac:dyDescent="0.25">
      <c r="A128">
        <v>26.2</v>
      </c>
      <c r="B128" s="5">
        <f>EnergyLJ($A128,$C$2,$C$3,shape_factors!B$2,$C$4,shape_factors!B$3)</f>
        <v>-2.4755883977006744E-3</v>
      </c>
      <c r="C128" s="5">
        <f>EnergyLJ($A128,$C$2,$C$3,shape_factors!C$2,$C$4,shape_factors!C$3)</f>
        <v>-5.6153664077436246E-4</v>
      </c>
      <c r="D128" s="5">
        <f>EnergyLJ($A128,$C$2,$C$3,shape_factors!D$2,$C$4,shape_factors!D$3)</f>
        <v>-3.5185015448111331E-3</v>
      </c>
      <c r="E128" s="5">
        <f>EnergyLJ($A128,$C$2,$C$3,shape_factors!E$2,$C$4,shape_factors!E$3)</f>
        <v>-1.0478414417334993E-3</v>
      </c>
      <c r="F128" s="5">
        <f>EnergyLJ($A128,$C$2,$C$3,shape_factors!F$2,$C$4,shape_factors!F$3)</f>
        <v>-4.8323223989819283E-4</v>
      </c>
      <c r="G128" s="5">
        <f>EnergyLJ($A128,$C$2,$C$3,shape_factors!G$2,$C$4,shape_factors!G$3)</f>
        <v>-6.5373341154006384E-4</v>
      </c>
      <c r="H128" s="5">
        <f>EnergyLJ($A128,$C$2,$C$3,shape_factors!H$2,$C$4,shape_factors!H$3)</f>
        <v>-1.9311898304455764E-2</v>
      </c>
      <c r="I128" s="5">
        <f>EnergyLJ($A128,$C$2,$C$3,shape_factors!I$2,$C$4,shape_factors!I$3)</f>
        <v>-1.3458866406788153E-3</v>
      </c>
      <c r="J128" s="5">
        <f>EnergyLJ($A128,$C$2,$C$3,shape_factors!J$2,$C$4,shape_factors!J$3)</f>
        <v>-2.4454385361673254E-4</v>
      </c>
      <c r="K128" s="5">
        <f>EnergyLJ($A128,$C$2,$C$3,shape_factors!K$2,$C$4,shape_factors!K$3)</f>
        <v>-2.9822232226585859E-4</v>
      </c>
      <c r="L128" s="5">
        <f>EnergyLJ($A128,$C$2,$C$3,shape_factors!L$2,$C$4,shape_factors!L$3)</f>
        <v>-4.1531413787758708E-4</v>
      </c>
      <c r="M128" s="5">
        <f>EnergyLJ($A128,$C$2,$C$3,shape_factors!M$2,$C$4,shape_factors!M$3)</f>
        <v>-2.5589386827063018E-4</v>
      </c>
      <c r="N128" s="5">
        <f>EnergyLJ($A128,$C$2,$C$3,shape_factors!N$2,$C$4,shape_factors!N$3)</f>
        <v>-1.6018965151812445E-4</v>
      </c>
      <c r="O128" s="5">
        <f>EnergyLJ($A128,$C$2,$C$3,shape_factors!O$2,$C$4,shape_factors!O$3)</f>
        <v>-1.4271750213702892E-4</v>
      </c>
      <c r="P128" s="5">
        <f>EnergyLJ($A128,$C$2,$C$3,shape_factors!P$2,$C$4,shape_factors!P$3)</f>
        <v>-1.6578740279602763E-4</v>
      </c>
      <c r="Q128" s="5">
        <f>EnergyLJ($A128,$C$2,$C$3,shape_factors!Q$2,$C$4,shape_factors!Q$3)</f>
        <v>-1.7353314938282528E-4</v>
      </c>
      <c r="R128" s="5">
        <f>EnergyLJ($A128,$C$2,$C$3,shape_factors!R$2,$C$4,shape_factors!R$3)</f>
        <v>-4.9732701109371708E-4</v>
      </c>
      <c r="S128" s="5">
        <f>EnergyLJ($A128,$C$2,$C$3,shape_factors!S$2,$C$4,shape_factors!S$3)</f>
        <v>-2.0614632129103131E-4</v>
      </c>
      <c r="T128" s="5">
        <f>EnergyLJ($A128,$C$2,$C$3,shape_factors!T$2,$C$4,shape_factors!T$3)</f>
        <v>-1.3244493085098753E-4</v>
      </c>
      <c r="U128" s="5">
        <f>EnergyLJ($A128,$C$2,$C$3,shape_factors!U$2,$C$4,shape_factors!U$3)</f>
        <v>-4.8942243094458925E-4</v>
      </c>
    </row>
    <row r="129" spans="1:21" x14ac:dyDescent="0.25">
      <c r="A129">
        <v>26.4</v>
      </c>
      <c r="B129" s="5">
        <f>EnergyLJ($A129,$C$2,$C$3,shape_factors!B$2,$C$4,shape_factors!B$3)</f>
        <v>-2.3652217054975994E-3</v>
      </c>
      <c r="C129" s="5">
        <f>EnergyLJ($A129,$C$2,$C$3,shape_factors!C$2,$C$4,shape_factors!C$3)</f>
        <v>-5.3649339377603259E-4</v>
      </c>
      <c r="D129" s="5">
        <f>EnergyLJ($A129,$C$2,$C$3,shape_factors!D$2,$C$4,shape_factors!D$3)</f>
        <v>-3.3616698345779968E-3</v>
      </c>
      <c r="E129" s="5">
        <f>EnergyLJ($A129,$C$2,$C$3,shape_factors!E$2,$C$4,shape_factors!E$3)</f>
        <v>-1.0011142937544038E-3</v>
      </c>
      <c r="F129" s="5">
        <f>EnergyLJ($A129,$C$2,$C$3,shape_factors!F$2,$C$4,shape_factors!F$3)</f>
        <v>-4.6168087947667601E-4</v>
      </c>
      <c r="G129" s="5">
        <f>EnergyLJ($A129,$C$2,$C$3,shape_factors!G$2,$C$4,shape_factors!G$3)</f>
        <v>-6.245788940519426E-4</v>
      </c>
      <c r="H129" s="5">
        <f>EnergyLJ($A129,$C$2,$C$3,shape_factors!H$2,$C$4,shape_factors!H$3)</f>
        <v>-1.8453622179811269E-2</v>
      </c>
      <c r="I129" s="5">
        <f>EnergyLJ($A129,$C$2,$C$3,shape_factors!I$2,$C$4,shape_factors!I$3)</f>
        <v>-1.2858718387652643E-3</v>
      </c>
      <c r="J129" s="5">
        <f>EnergyLJ($A129,$C$2,$C$3,shape_factors!J$2,$C$4,shape_factors!J$3)</f>
        <v>-2.3363712285362872E-4</v>
      </c>
      <c r="K129" s="5">
        <f>EnergyLJ($A129,$C$2,$C$3,shape_factors!K$2,$C$4,shape_factors!K$3)</f>
        <v>-2.8492164657258393E-4</v>
      </c>
      <c r="L129" s="5">
        <f>EnergyLJ($A129,$C$2,$C$3,shape_factors!L$2,$C$4,shape_factors!L$3)</f>
        <v>-3.9679158148757512E-4</v>
      </c>
      <c r="M129" s="5">
        <f>EnergyLJ($A129,$C$2,$C$3,shape_factors!M$2,$C$4,shape_factors!M$3)</f>
        <v>-2.4448094718355261E-4</v>
      </c>
      <c r="N129" s="5">
        <f>EnergyLJ($A129,$C$2,$C$3,shape_factors!N$2,$C$4,shape_factors!N$3)</f>
        <v>-1.5304503325134716E-4</v>
      </c>
      <c r="O129" s="5">
        <f>EnergyLJ($A129,$C$2,$C$3,shape_factors!O$2,$C$4,shape_factors!O$3)</f>
        <v>-1.3635213872651184E-4</v>
      </c>
      <c r="P129" s="5">
        <f>EnergyLJ($A129,$C$2,$C$3,shape_factors!P$2,$C$4,shape_factors!P$3)</f>
        <v>-1.583931268438293E-4</v>
      </c>
      <c r="Q129" s="5">
        <f>EnergyLJ($A129,$C$2,$C$3,shape_factors!Q$2,$C$4,shape_factors!Q$3)</f>
        <v>-1.6579341677729582E-4</v>
      </c>
      <c r="R129" s="5">
        <f>EnergyLJ($A129,$C$2,$C$3,shape_factors!R$2,$C$4,shape_factors!R$3)</f>
        <v>-4.7514710460229979E-4</v>
      </c>
      <c r="S129" s="5">
        <f>EnergyLJ($A129,$C$2,$C$3,shape_factors!S$2,$C$4,shape_factors!S$3)</f>
        <v>-1.9695206735169258E-4</v>
      </c>
      <c r="T129" s="5">
        <f>EnergyLJ($A129,$C$2,$C$3,shape_factors!T$2,$C$4,shape_factors!T$3)</f>
        <v>-1.2653772468838777E-4</v>
      </c>
      <c r="U129" s="5">
        <f>EnergyLJ($A129,$C$2,$C$3,shape_factors!U$2,$C$4,shape_factors!U$3)</f>
        <v>-4.67595023054471E-4</v>
      </c>
    </row>
    <row r="130" spans="1:21" x14ac:dyDescent="0.25">
      <c r="A130">
        <v>26.6</v>
      </c>
      <c r="B130" s="5">
        <f>EnergyLJ($A130,$C$2,$C$3,shape_factors!B$2,$C$4,shape_factors!B$3)</f>
        <v>-2.260551214968582E-3</v>
      </c>
      <c r="C130" s="5">
        <f>EnergyLJ($A130,$C$2,$C$3,shape_factors!C$2,$C$4,shape_factors!C$3)</f>
        <v>-5.1274342984590016E-4</v>
      </c>
      <c r="D130" s="5">
        <f>EnergyLJ($A130,$C$2,$C$3,shape_factors!D$2,$C$4,shape_factors!D$3)</f>
        <v>-3.2129298589151371E-3</v>
      </c>
      <c r="E130" s="5">
        <f>EnergyLJ($A130,$C$2,$C$3,shape_factors!E$2,$C$4,shape_factors!E$3)</f>
        <v>-9.567998681380669E-4</v>
      </c>
      <c r="F130" s="5">
        <f>EnergyLJ($A130,$C$2,$C$3,shape_factors!F$2,$C$4,shape_factors!F$3)</f>
        <v>-4.4124250091898956E-4</v>
      </c>
      <c r="G130" s="5">
        <f>EnergyLJ($A130,$C$2,$C$3,shape_factors!G$2,$C$4,shape_factors!G$3)</f>
        <v>-5.9692993118496524E-4</v>
      </c>
      <c r="H130" s="5">
        <f>EnergyLJ($A130,$C$2,$C$3,shape_factors!H$2,$C$4,shape_factors!H$3)</f>
        <v>-1.7639411174003632E-2</v>
      </c>
      <c r="I130" s="5">
        <f>EnergyLJ($A130,$C$2,$C$3,shape_factors!I$2,$C$4,shape_factors!I$3)</f>
        <v>-1.2289555737080029E-3</v>
      </c>
      <c r="J130" s="5">
        <f>EnergyLJ($A130,$C$2,$C$3,shape_factors!J$2,$C$4,shape_factors!J$3)</f>
        <v>-2.2329369217197325E-4</v>
      </c>
      <c r="K130" s="5">
        <f>EnergyLJ($A130,$C$2,$C$3,shape_factors!K$2,$C$4,shape_factors!K$3)</f>
        <v>-2.7230789975047829E-4</v>
      </c>
      <c r="L130" s="5">
        <f>EnergyLJ($A130,$C$2,$C$3,shape_factors!L$2,$C$4,shape_factors!L$3)</f>
        <v>-3.7922560968596812E-4</v>
      </c>
      <c r="M130" s="5">
        <f>EnergyLJ($A130,$C$2,$C$3,shape_factors!M$2,$C$4,shape_factors!M$3)</f>
        <v>-2.3365746734335354E-4</v>
      </c>
      <c r="N130" s="5">
        <f>EnergyLJ($A130,$C$2,$C$3,shape_factors!N$2,$C$4,shape_factors!N$3)</f>
        <v>-1.4626942274128301E-4</v>
      </c>
      <c r="O130" s="5">
        <f>EnergyLJ($A130,$C$2,$C$3,shape_factors!O$2,$C$4,shape_factors!O$3)</f>
        <v>-1.3031553760678267E-4</v>
      </c>
      <c r="P130" s="5">
        <f>EnergyLJ($A130,$C$2,$C$3,shape_factors!P$2,$C$4,shape_factors!P$3)</f>
        <v>-1.5138075240016209E-4</v>
      </c>
      <c r="Q130" s="5">
        <f>EnergyLJ($A130,$C$2,$C$3,shape_factors!Q$2,$C$4,shape_factors!Q$3)</f>
        <v>-1.5845342696605558E-4</v>
      </c>
      <c r="R130" s="5">
        <f>EnergyLJ($A130,$C$2,$C$3,shape_factors!R$2,$C$4,shape_factors!R$3)</f>
        <v>-4.5411263516664715E-4</v>
      </c>
      <c r="S130" s="5">
        <f>EnergyLJ($A130,$C$2,$C$3,shape_factors!S$2,$C$4,shape_factors!S$3)</f>
        <v>-1.882326747750664E-4</v>
      </c>
      <c r="T130" s="5">
        <f>EnergyLJ($A130,$C$2,$C$3,shape_factors!T$2,$C$4,shape_factors!T$3)</f>
        <v>-1.2093561858490523E-4</v>
      </c>
      <c r="U130" s="5">
        <f>EnergyLJ($A130,$C$2,$C$3,shape_factors!U$2,$C$4,shape_factors!U$3)</f>
        <v>-4.46894850868533E-4</v>
      </c>
    </row>
    <row r="131" spans="1:21" x14ac:dyDescent="0.25">
      <c r="A131">
        <v>26.8</v>
      </c>
      <c r="B131" s="5">
        <f>EnergyLJ($A131,$C$2,$C$3,shape_factors!B$2,$C$4,shape_factors!B$3)</f>
        <v>-2.1612435543075102E-3</v>
      </c>
      <c r="C131" s="5">
        <f>EnergyLJ($A131,$C$2,$C$3,shape_factors!C$2,$C$4,shape_factors!C$3)</f>
        <v>-4.9021098857131708E-4</v>
      </c>
      <c r="D131" s="5">
        <f>EnergyLJ($A131,$C$2,$C$3,shape_factors!D$2,$C$4,shape_factors!D$3)</f>
        <v>-3.0718082882836167E-3</v>
      </c>
      <c r="E131" s="5">
        <f>EnergyLJ($A131,$C$2,$C$3,shape_factors!E$2,$C$4,shape_factors!E$3)</f>
        <v>-9.1475686126155813E-4</v>
      </c>
      <c r="F131" s="5">
        <f>EnergyLJ($A131,$C$2,$C$3,shape_factors!F$2,$C$4,shape_factors!F$3)</f>
        <v>-4.218519033585002E-4</v>
      </c>
      <c r="G131" s="5">
        <f>EnergyLJ($A131,$C$2,$C$3,shape_factors!G$2,$C$4,shape_factors!G$3)</f>
        <v>-5.7069833163261841E-4</v>
      </c>
      <c r="H131" s="5">
        <f>EnergyLJ($A131,$C$2,$C$3,shape_factors!H$2,$C$4,shape_factors!H$3)</f>
        <v>-1.6866707893686779E-2</v>
      </c>
      <c r="I131" s="5">
        <f>EnergyLJ($A131,$C$2,$C$3,shape_factors!I$2,$C$4,shape_factors!I$3)</f>
        <v>-1.1749564027821716E-3</v>
      </c>
      <c r="J131" s="5">
        <f>EnergyLJ($A131,$C$2,$C$3,shape_factors!J$2,$C$4,shape_factors!J$3)</f>
        <v>-2.1348055841383643E-4</v>
      </c>
      <c r="K131" s="5">
        <f>EnergyLJ($A131,$C$2,$C$3,shape_factors!K$2,$C$4,shape_factors!K$3)</f>
        <v>-2.6034083641135247E-4</v>
      </c>
      <c r="L131" s="5">
        <f>EnergyLJ($A131,$C$2,$C$3,shape_factors!L$2,$C$4,shape_factors!L$3)</f>
        <v>-3.6256018184325107E-4</v>
      </c>
      <c r="M131" s="5">
        <f>EnergyLJ($A131,$C$2,$C$3,shape_factors!M$2,$C$4,shape_factors!M$3)</f>
        <v>-2.2338889419931641E-4</v>
      </c>
      <c r="N131" s="5">
        <f>EnergyLJ($A131,$C$2,$C$3,shape_factors!N$2,$C$4,shape_factors!N$3)</f>
        <v>-1.3984119932604247E-4</v>
      </c>
      <c r="O131" s="5">
        <f>EnergyLJ($A131,$C$2,$C$3,shape_factors!O$2,$C$4,shape_factors!O$3)</f>
        <v>-1.2458843598848411E-4</v>
      </c>
      <c r="P131" s="5">
        <f>EnergyLJ($A131,$C$2,$C$3,shape_factors!P$2,$C$4,shape_factors!P$3)</f>
        <v>-1.4472790340171188E-4</v>
      </c>
      <c r="Q131" s="5">
        <f>EnergyLJ($A131,$C$2,$C$3,shape_factors!Q$2,$C$4,shape_factors!Q$3)</f>
        <v>-1.5148975863182285E-4</v>
      </c>
      <c r="R131" s="5">
        <f>EnergyLJ($A131,$C$2,$C$3,shape_factors!R$2,$C$4,shape_factors!R$3)</f>
        <v>-4.3415650108531348E-4</v>
      </c>
      <c r="S131" s="5">
        <f>EnergyLJ($A131,$C$2,$C$3,shape_factors!S$2,$C$4,shape_factors!S$3)</f>
        <v>-1.799603214152488E-4</v>
      </c>
      <c r="T131" s="5">
        <f>EnergyLJ($A131,$C$2,$C$3,shape_factors!T$2,$C$4,shape_factors!T$3)</f>
        <v>-1.1562073607576145E-4</v>
      </c>
      <c r="U131" s="5">
        <f>EnergyLJ($A131,$C$2,$C$3,shape_factors!U$2,$C$4,shape_factors!U$3)</f>
        <v>-4.2725587869838985E-4</v>
      </c>
    </row>
    <row r="132" spans="1:21" x14ac:dyDescent="0.25">
      <c r="A132">
        <v>27</v>
      </c>
      <c r="B132" s="5">
        <f>EnergyLJ($A132,$C$2,$C$3,shape_factors!B$2,$C$4,shape_factors!B$3)</f>
        <v>-2.0669871275275794E-3</v>
      </c>
      <c r="C132" s="5">
        <f>EnergyLJ($A132,$C$2,$C$3,shape_factors!C$2,$C$4,shape_factors!C$3)</f>
        <v>-4.6882526522142086E-4</v>
      </c>
      <c r="D132" s="5">
        <f>EnergyLJ($A132,$C$2,$C$3,shape_factors!D$2,$C$4,shape_factors!D$3)</f>
        <v>-2.9378626870049424E-3</v>
      </c>
      <c r="E132" s="5">
        <f>EnergyLJ($A132,$C$2,$C$3,shape_factors!E$2,$C$4,shape_factors!E$3)</f>
        <v>-8.7485320921316175E-4</v>
      </c>
      <c r="F132" s="5">
        <f>EnergyLJ($A132,$C$2,$C$3,shape_factors!F$2,$C$4,shape_factors!F$3)</f>
        <v>-4.034481511299414E-4</v>
      </c>
      <c r="G132" s="5">
        <f>EnergyLJ($A132,$C$2,$C$3,shape_factors!G$2,$C$4,shape_factors!G$3)</f>
        <v>-5.4580167251411737E-4</v>
      </c>
      <c r="H132" s="5">
        <f>EnergyLJ($A132,$C$2,$C$3,shape_factors!H$2,$C$4,shape_factors!H$3)</f>
        <v>-1.613311985583047E-2</v>
      </c>
      <c r="I132" s="5">
        <f>EnergyLJ($A132,$C$2,$C$3,shape_factors!I$2,$C$4,shape_factors!I$3)</f>
        <v>-1.1237047450174766E-3</v>
      </c>
      <c r="J132" s="5">
        <f>EnergyLJ($A132,$C$2,$C$3,shape_factors!J$2,$C$4,shape_factors!J$3)</f>
        <v>-2.0416687774677249E-4</v>
      </c>
      <c r="K132" s="5">
        <f>EnergyLJ($A132,$C$2,$C$3,shape_factors!K$2,$C$4,shape_factors!K$3)</f>
        <v>-2.4898284423182146E-4</v>
      </c>
      <c r="L132" s="5">
        <f>EnergyLJ($A132,$C$2,$C$3,shape_factors!L$2,$C$4,shape_factors!L$3)</f>
        <v>-3.4674292348585228E-4</v>
      </c>
      <c r="M132" s="5">
        <f>EnergyLJ($A132,$C$2,$C$3,shape_factors!M$2,$C$4,shape_factors!M$3)</f>
        <v>-2.1364295270303406E-4</v>
      </c>
      <c r="N132" s="5">
        <f>EnergyLJ($A132,$C$2,$C$3,shape_factors!N$2,$C$4,shape_factors!N$3)</f>
        <v>-1.337401570249859E-4</v>
      </c>
      <c r="O132" s="5">
        <f>EnergyLJ($A132,$C$2,$C$3,shape_factors!O$2,$C$4,shape_factors!O$3)</f>
        <v>-1.1915283149962791E-4</v>
      </c>
      <c r="P132" s="5">
        <f>EnergyLJ($A132,$C$2,$C$3,shape_factors!P$2,$C$4,shape_factors!P$3)</f>
        <v>-1.3841366788773499E-4</v>
      </c>
      <c r="Q132" s="5">
        <f>EnergyLJ($A132,$C$2,$C$3,shape_factors!Q$2,$C$4,shape_factors!Q$3)</f>
        <v>-1.4488052294382223E-4</v>
      </c>
      <c r="R132" s="5">
        <f>EnergyLJ($A132,$C$2,$C$3,shape_factors!R$2,$C$4,shape_factors!R$3)</f>
        <v>-4.1521599015821223E-4</v>
      </c>
      <c r="S132" s="5">
        <f>EnergyLJ($A132,$C$2,$C$3,shape_factors!S$2,$C$4,shape_factors!S$3)</f>
        <v>-1.7210900552088924E-4</v>
      </c>
      <c r="T132" s="5">
        <f>EnergyLJ($A132,$C$2,$C$3,shape_factors!T$2,$C$4,shape_factors!T$3)</f>
        <v>-1.1057637041136494E-4</v>
      </c>
      <c r="U132" s="5">
        <f>EnergyLJ($A132,$C$2,$C$3,shape_factors!U$2,$C$4,shape_factors!U$3)</f>
        <v>-4.0861639064826964E-4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interaction_energies</vt:lpstr>
      <vt:lpstr>shape_factors</vt:lpstr>
      <vt:lpstr>Parameters_i</vt:lpstr>
      <vt:lpstr>Cys</vt:lpstr>
      <vt:lpstr>Met</vt:lpstr>
      <vt:lpstr>Phe</vt:lpstr>
      <vt:lpstr>Ile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Peulen, Thomas</dc:creator>
  <cp:lastModifiedBy>Peulen, Thomas</cp:lastModifiedBy>
  <dcterms:created xsi:type="dcterms:W3CDTF">2014-05-15T08:06:12Z</dcterms:created>
  <dcterms:modified xsi:type="dcterms:W3CDTF">2014-05-16T18:07:23Z</dcterms:modified>
</cp:coreProperties>
</file>